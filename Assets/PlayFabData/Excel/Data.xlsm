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650B4E79-1163-4DD1-BD80-7423CF57EBF2}" xr6:coauthVersionLast="47" xr6:coauthVersionMax="47" xr10:uidLastSave="{00000000-0000-0000-0000-000000000000}"/>
  <bookViews>
    <workbookView xWindow="-28920" yWindow="-120" windowWidth="29040" windowHeight="15840" firstSheet="8" activeTab="11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CF81" i="7" l="1"/>
  <c r="CA81" i="7"/>
  <c r="CF80" i="7"/>
  <c r="CA80" i="7"/>
  <c r="CF79" i="7"/>
  <c r="CA79" i="7"/>
  <c r="CF78" i="7"/>
  <c r="CA78" i="7"/>
  <c r="CF77" i="7"/>
  <c r="CA77" i="7"/>
  <c r="CF76" i="7"/>
  <c r="CA76" i="7"/>
  <c r="CF75" i="7"/>
  <c r="CA75" i="7"/>
  <c r="CF74" i="7"/>
  <c r="CA74" i="7"/>
  <c r="CF73" i="7"/>
  <c r="CA73" i="7"/>
  <c r="CF72" i="7"/>
  <c r="CA72" i="7"/>
  <c r="CF71" i="7"/>
  <c r="CA71" i="7"/>
  <c r="CF70" i="7"/>
  <c r="CA70" i="7"/>
  <c r="CF69" i="7"/>
  <c r="CA69" i="7"/>
  <c r="CF68" i="7"/>
  <c r="CA68" i="7"/>
  <c r="CF67" i="7"/>
  <c r="CA67" i="7"/>
  <c r="CF66" i="7"/>
  <c r="CA66" i="7"/>
  <c r="CF65" i="7"/>
  <c r="CA65" i="7"/>
  <c r="CF64" i="7"/>
  <c r="CA64" i="7"/>
  <c r="CF63" i="7"/>
  <c r="CA63" i="7"/>
  <c r="CF62" i="7"/>
  <c r="CA62" i="7"/>
  <c r="CA57" i="7"/>
  <c r="CA58" i="7"/>
  <c r="CA59" i="7"/>
  <c r="CA60" i="7"/>
  <c r="CA61" i="7"/>
  <c r="CA82" i="7"/>
  <c r="CA83" i="7"/>
  <c r="CA84" i="7"/>
  <c r="CA85" i="7"/>
  <c r="CA86" i="7"/>
  <c r="CA87" i="7"/>
  <c r="CA88" i="7"/>
  <c r="CA89" i="7"/>
  <c r="CA90" i="7"/>
  <c r="CA91" i="7"/>
  <c r="CA92" i="7"/>
  <c r="CA93" i="7"/>
  <c r="CA94" i="7"/>
  <c r="CA95" i="7"/>
  <c r="CA96" i="7"/>
  <c r="CA97" i="7"/>
  <c r="CA98" i="7"/>
  <c r="CA99" i="7"/>
  <c r="CA100" i="7"/>
  <c r="CA101" i="7"/>
  <c r="CA102" i="7"/>
  <c r="CA103" i="7"/>
  <c r="CA104" i="7"/>
  <c r="CA105" i="7"/>
  <c r="CA106" i="7"/>
  <c r="CA107" i="7"/>
  <c r="CA108" i="7"/>
  <c r="CA109" i="7"/>
  <c r="CA110" i="7"/>
  <c r="CA111" i="7"/>
  <c r="CA112" i="7"/>
  <c r="CA113" i="7"/>
  <c r="CA114" i="7"/>
  <c r="CA115" i="7"/>
  <c r="CA116" i="7"/>
  <c r="CF12" i="7"/>
  <c r="CF13" i="7"/>
  <c r="CF14" i="7"/>
  <c r="CF15" i="7"/>
  <c r="CF16" i="7"/>
  <c r="CF17" i="7"/>
  <c r="CF18" i="7"/>
  <c r="CF19" i="7"/>
  <c r="CF20" i="7"/>
  <c r="CF21" i="7"/>
  <c r="CF22" i="7"/>
  <c r="CF23" i="7"/>
  <c r="CF24" i="7"/>
  <c r="CF25" i="7"/>
  <c r="CF26" i="7"/>
  <c r="CF27" i="7"/>
  <c r="CF28" i="7"/>
  <c r="CF29" i="7"/>
  <c r="CF30" i="7"/>
  <c r="CF31" i="7"/>
  <c r="CF32" i="7"/>
  <c r="CF33" i="7"/>
  <c r="CF34" i="7"/>
  <c r="CF35" i="7"/>
  <c r="CF36" i="7"/>
  <c r="CF37" i="7"/>
  <c r="CF38" i="7"/>
  <c r="CF39" i="7"/>
  <c r="CF40" i="7"/>
  <c r="CF41" i="7"/>
  <c r="CF42" i="7"/>
  <c r="CF43" i="7"/>
  <c r="CF44" i="7"/>
  <c r="CF45" i="7"/>
  <c r="CF46" i="7"/>
  <c r="CF47" i="7"/>
  <c r="CF48" i="7"/>
  <c r="CF49" i="7"/>
  <c r="CF50" i="7"/>
  <c r="CF51" i="7"/>
  <c r="CF52" i="7"/>
  <c r="CF53" i="7"/>
  <c r="CF54" i="7"/>
  <c r="CF55" i="7"/>
  <c r="CF56" i="7"/>
  <c r="CF57" i="7"/>
  <c r="CF58" i="7"/>
  <c r="CF59" i="7"/>
  <c r="CF60" i="7"/>
  <c r="CF61" i="7"/>
  <c r="CF82" i="7"/>
  <c r="CF83" i="7"/>
  <c r="CF84" i="7"/>
  <c r="CF85" i="7"/>
  <c r="CF86" i="7"/>
  <c r="CF87" i="7"/>
  <c r="CF88" i="7"/>
  <c r="CF89" i="7"/>
  <c r="CF90" i="7"/>
  <c r="CF91" i="7"/>
  <c r="CF92" i="7"/>
  <c r="CF93" i="7"/>
  <c r="CF94" i="7"/>
  <c r="CF95" i="7"/>
  <c r="CF96" i="7"/>
  <c r="CF97" i="7"/>
  <c r="CF98" i="7"/>
  <c r="CF99" i="7"/>
  <c r="CF100" i="7"/>
  <c r="CF101" i="7"/>
  <c r="CF102" i="7"/>
  <c r="CF103" i="7"/>
  <c r="CF104" i="7"/>
  <c r="CF105" i="7"/>
  <c r="CF106" i="7"/>
  <c r="CF107" i="7"/>
  <c r="CF108" i="7"/>
  <c r="CF109" i="7"/>
  <c r="CF110" i="7"/>
  <c r="CF111" i="7"/>
  <c r="CF112" i="7"/>
  <c r="CF113" i="7"/>
  <c r="CF114" i="7"/>
  <c r="CF115" i="7"/>
  <c r="CF116" i="7"/>
  <c r="CF11" i="7"/>
  <c r="CA11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29" i="7"/>
  <c r="CA30" i="7"/>
  <c r="CA31" i="7"/>
  <c r="CA32" i="7"/>
  <c r="CA33" i="7"/>
  <c r="CA34" i="7"/>
  <c r="CA35" i="7"/>
  <c r="CA36" i="7"/>
  <c r="CA37" i="7"/>
  <c r="CA38" i="7"/>
  <c r="CA39" i="7"/>
  <c r="CA40" i="7"/>
  <c r="CA41" i="7"/>
  <c r="CA42" i="7"/>
  <c r="CA43" i="7"/>
  <c r="CA44" i="7"/>
  <c r="CA45" i="7"/>
  <c r="CA46" i="7"/>
  <c r="CA47" i="7"/>
  <c r="CA48" i="7"/>
  <c r="CA49" i="7"/>
  <c r="CA50" i="7"/>
  <c r="CA51" i="7"/>
  <c r="CA52" i="7"/>
  <c r="CA53" i="7"/>
  <c r="CA54" i="7"/>
  <c r="CA55" i="7"/>
  <c r="CA56" i="7"/>
  <c r="CA12" i="7"/>
  <c r="CA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<sst xmlns="http://schemas.openxmlformats.org/spreadsheetml/2006/main" count="4932" uniqueCount="2023">
  <si>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</si>
  <si>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</si>
  <si>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</si>
  <si>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</si>
  <si>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</si>
  <si>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</si>
  <si>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</si>
  <si>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</si>
  <si>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</si>
  <si>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</si>
  <si>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</si>
  <si>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</si>
  <si>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</si>
  <si>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</si>
  <si>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</si>
  <si>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</si>
  <si>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</si>
  <si>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</si>
  <si>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</si>
  <si>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</si>
  <si>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</si>
  <si>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</si>
  <si>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</si>
  <si>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</si>
  <si>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</si>
  <si>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</si>
  <si>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</si>
  <si>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</si>
  <si>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</si>
  <si>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</si>
  <si>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</si>
  <si>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</si>
  <si>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</si>
  <si>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</si>
  <si>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</si>
  <si>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</si>
  <si>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</si>
  <si>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</si>
  <si>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</si>
  <si>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</si>
  <si>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</si>
  <si>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</si>
  <si>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</si>
  <si>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</si>
  <si>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</si>
  <si>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</si>
  <si>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</si>
  <si>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</si>
  <si>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</si>
  <si>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</si>
  <si>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</si>
  <si>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</si>
  <si>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</si>
  <si>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</si>
  <si>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</si>
  <si>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</si>
  <si>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</si>
  <si>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</si>
  <si>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</si>
  <si>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</si>
  <si>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</si>
  <si>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</si>
  <si>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</si>
  <si>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</si>
  <si>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</si>
  <si>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</si>
  <si>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</si>
  <si>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</si>
  <si>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</si>
  <si>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</si>
  <si>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</si>
  <si>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</si>
  <si>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</si>
  <si>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</si>
  <si>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</si>
  <si>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</si>
  <si>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</si>
  <si>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</si>
  <si>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</si>
  <si>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</si>
  <si>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</si>
  <si>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</si>
  <si>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</si>
  <si>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</si>
  <si>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</si>
  <si>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</si>
  <si>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</si>
  <si>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</si>
  <si>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</si>
  <si>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</si>
  <si>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</si>
  <si>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</si>
  <si>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</si>
  <si>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</si>
  <si>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</si>
  <si>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</si>
  <si>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</si>
  <si>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</si>
  <si>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</si>
  <si>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</si>
  <si>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</si>
  <si>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</si>
  <si>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</si>
  <si>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</si>
  <si>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</si>
  <si>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</si>
  <si>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</si>
  <si>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</si>
  <si>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</si>
  <si>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</si>
  <si>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</si>
  <si>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</si>
  <si>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</si>
  <si>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</si>
  <si>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</si>
  <si>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</si>
  <si>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</si>
  <si>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</si>
  <si>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</si>
  <si>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</si>
  <si>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</si>
  <si>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</si>
  <si>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</si>
  <si>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</si>
  <si>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</si>
  <si>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</si>
  <si>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</si>
  <si>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</si>
  <si>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</si>
  <si>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</si>
  <si>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</si>
  <si>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</si>
  <si>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</si>
  <si>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</si>
  <si>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</si>
  <si>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</si>
  <si>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</si>
  <si>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</si>
  <si>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</si>
  <si>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</si>
  <si>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</si>
  <si>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</si>
  <si>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</si>
  <si>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</si>
  <si>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</si>
  <si>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</si>
  <si>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</si>
  <si>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</si>
  <si>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</si>
  <si>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</si>
  <si>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</si>
  <si>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</si>
  <si>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</si>
  <si>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</si>
  <si>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</si>
  <si>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</si>
  <si>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</si>
  <si>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</si>
  <si>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</si>
  <si>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</si>
  <si>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</si>
  <si>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</si>
  <si>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</si>
  <si>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</si>
  <si>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</si>
  <si>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</si>
  <si>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</si>
  <si>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</si>
  <si>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</si>
  <si>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</si>
  <si>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</si>
  <si>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</si>
  <si>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</si>
  <si>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</si>
  <si>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</si>
  <si>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</si>
  <si>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</si>
  <si>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</si>
  <si>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</si>
  <si>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</si>
  <si>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</si>
  <si>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</si>
  <si>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</si>
  <si>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</si>
  <si>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</si>
  <si>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</si>
  <si>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</si>
  <si>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</si>
  <si>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</si>
  <si>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</si>
  <si>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</si>
  <si>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</si>
  <si>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</si>
  <si>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</si>
  <si>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</si>
  <si>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</si>
  <si>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</si>
  <si>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</si>
  <si>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</si>
  <si>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</si>
  <si>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</si>
  <si>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</si>
  <si>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</si>
  <si>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</si>
  <si>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</si>
  <si>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</si>
  <si>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</si>
  <si>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</si>
  <si>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</si>
  <si>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</si>
  <si>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</si>
  <si>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</si>
  <si>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</si>
  <si>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</si>
  <si>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</si>
  <si>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</si>
  <si>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</si>
  <si>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</si>
  <si>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</si>
  <si>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</si>
  <si>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</si>
  <si>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</si>
  <si>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</si>
  <si>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</si>
  <si>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</si>
  <si>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</si>
  <si>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</si>
  <si>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</si>
  <si>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</si>
  <si>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</si>
  <si>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</si>
  <si>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</si>
  <si>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</si>
  <si>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</si>
  <si>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</si>
  <si>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</si>
  <si>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</si>
  <si>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</si>
  <si>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</si>
  <si>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</si>
  <si>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</si>
  <si>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</si>
  <si>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</si>
  <si>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</si>
  <si>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</si>
  <si>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</si>
  <si>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</si>
  <si>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</si>
  <si>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</si>
  <si>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</si>
  <si>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</si>
  <si>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</si>
  <si>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</si>
  <si>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</si>
  <si>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</si>
  <si>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</si>
  <si>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</si>
  <si>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</si>
  <si>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</si>
  <si>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</si>
  <si>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</si>
  <si>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</si>
  <si>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</si>
  <si>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</si>
  <si>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</si>
  <si>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</si>
  <si>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</si>
  <si>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</si>
  <si>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</si>
  <si>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</si>
  <si>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</si>
  <si>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</si>
  <si>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</si>
  <si>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</si>
  <si>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</si>
  <si>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</si>
  <si>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</si>
  <si>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</si>
  <si>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</si>
  <si>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</si>
  <si>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</si>
  <si>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</si>
  <si>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</si>
  <si>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</si>
  <si>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</si>
  <si>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</si>
  <si>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</si>
  <si>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</si>
  <si>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</si>
  <si>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</si>
  <si>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</si>
  <si>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</si>
  <si>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</si>
  <si>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</si>
  <si>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</si>
  <si>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</si>
  <si>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</si>
  <si>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</si>
  <si>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</si>
  <si>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</si>
  <si>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</si>
  <si>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</si>
  <si>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</si>
  <si>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</si>
  <si>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</si>
  <si>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</si>
  <si>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</si>
  <si>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</si>
  <si>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</si>
  <si>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</si>
  <si>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</si>
  <si>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</si>
  <si>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</si>
  <si>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</si>
  <si>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</si>
  <si>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</si>
  <si>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</si>
  <si>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</si>
  <si>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</si>
  <si>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</si>
  <si>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</si>
  <si>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</si>
  <si>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</si>
  <si>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</si>
  <si>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</si>
  <si>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</si>
  <si>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</si>
  <si>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</si>
  <si>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</si>
  <si>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</si>
  <si>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</si>
  <si>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</si>
  <si>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</si>
  <si>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</si>
  <si>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</si>
  <si>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</si>
  <si>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</si>
  <si>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</si>
  <si>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</si>
  <si>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</si>
  <si>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</si>
  <si>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</si>
  <si>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</si>
  <si>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</si>
  <si>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</si>
  <si>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</si>
  <si>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</si>
  <si>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</si>
  <si>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</si>
  <si>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</si>
  <si>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</si>
  <si>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</si>
  <si>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</si>
  <si>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</si>
  <si>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</si>
  <si>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</si>
  <si>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</si>
  <si>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</si>
  <si>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</si>
  <si>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</si>
  <si>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</si>
  <si>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</si>
  <si>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</si>
  <si>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</si>
  <si>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</si>
  <si>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</si>
  <si>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</si>
  <si>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</si>
  <si>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</si>
  <si>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</si>
  <si>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</si>
  <si>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</si>
  <si>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</si>
  <si>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</si>
  <si>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</si>
  <si>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</si>
  <si>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</si>
  <si>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</si>
  <si>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</si>
  <si>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</si>
  <si>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</si>
  <si>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</si>
  <si>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</si>
  <si>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</si>
  <si>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</si>
  <si>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</si>
  <si>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</si>
  <si>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</si>
  <si>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</si>
  <si>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</si>
  <si>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</si>
  <si>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</si>
  <si>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</si>
  <si>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</si>
  <si>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</si>
  <si>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</si>
  <si>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</si>
  <si>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</si>
  <si>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</si>
  <si>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</si>
  <si>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</si>
  <si>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</si>
  <si>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</si>
  <si>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</si>
  <si>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</si>
  <si>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</si>
  <si>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</si>
  <si>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</si>
  <si>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</si>
  <si>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</si>
  <si>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</si>
  <si>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</si>
  <si>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</si>
  <si>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</si>
  <si>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</si>
  <si>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</si>
  <si>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</si>
  <si>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</si>
  <si>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</si>
  <si>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</si>
  <si>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</si>
  <si>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</si>
  <si>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</si>
  <si>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</si>
  <si>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</si>
  <si>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</si>
  <si>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</si>
  <si>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</si>
  <si>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</si>
  <si>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</si>
  <si>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</si>
  <si>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</si>
  <si>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</si>
  <si>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</si>
  <si>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</si>
  <si>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</si>
  <si>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</si>
  <si>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</si>
  <si>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</si>
  <si>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</si>
  <si>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</si>
  <si>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</si>
  <si>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</si>
  <si>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</si>
  <si>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</si>
  <si>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</si>
  <si>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</si>
  <si>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</si>
  <si>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</si>
  <si>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</si>
  <si>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</si>
  <si>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</si>
  <si>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</si>
  <si>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</si>
  <si>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</si>
  <si>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</si>
  <si>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</si>
  <si>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</si>
  <si>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</si>
  <si>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</si>
  <si>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</si>
  <si>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</si>
  <si>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</si>
  <si>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</si>
  <si>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</si>
  <si>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</si>
  <si>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</si>
  <si>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</si>
  <si>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</si>
  <si>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</si>
  <si>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</si>
  <si>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</si>
  <si>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</si>
  <si>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</si>
  <si>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</si>
  <si>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</si>
  <si>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</si>
  <si>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</si>
  <si>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</si>
  <si>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</si>
  <si>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</si>
  <si>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</si>
  <si>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</si>
  <si>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</si>
  <si>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</si>
  <si>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</si>
  <si>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</si>
  <si>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</si>
  <si>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</si>
  <si>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</si>
  <si>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</si>
  <si>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</si>
  <si>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</si>
  <si>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</si>
  <si>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</si>
  <si>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</si>
  <si>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</si>
  <si>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</si>
  <si>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</si>
  <si>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</si>
  <si>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</si>
  <si>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</si>
  <si>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</si>
  <si>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</si>
  <si>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</si>
  <si>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</si>
  <si>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</si>
  <si>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</si>
  <si>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</si>
  <si>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</si>
  <si>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</si>
  <si>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</si>
  <si>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</si>
  <si>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</si>
  <si>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</si>
  <si>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</si>
  <si>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</si>
  <si>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</si>
  <si>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</si>
  <si>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</si>
  <si>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</si>
  <si>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</si>
  <si>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</si>
  <si>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</si>
  <si>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</si>
  <si>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</si>
  <si>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</si>
  <si>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</si>
  <si>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</si>
  <si>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</si>
  <si>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</si>
  <si>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</si>
  <si>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</si>
  <si>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</si>
  <si>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</si>
  <si>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</si>
  <si>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</si>
  <si>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</si>
  <si>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</si>
  <si>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</si>
  <si>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</si>
  <si>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</si>
  <si>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</si>
  <si>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</si>
  <si>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</si>
  <si>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</si>
  <si>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</si>
  <si>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</si>
  <si>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</si>
  <si>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</si>
  <si>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</si>
  <si>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</si>
  <si>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</si>
  <si>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</si>
  <si>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</si>
  <si>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</si>
  <si>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</si>
  <si>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</si>
  <si>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</si>
  <si>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</si>
  <si>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</si>
  <si>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</si>
  <si>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</si>
  <si>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</si>
  <si>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</si>
  <si>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</si>
  <si>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</si>
  <si>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</si>
  <si>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</si>
  <si>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</si>
  <si>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</si>
  <si>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</si>
  <si>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</si>
  <si>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</si>
  <si>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</si>
  <si>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</si>
  <si>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</si>
  <si>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</si>
  <si>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</si>
  <si>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</si>
  <si>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</si>
  <si>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</si>
  <si>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</si>
  <si>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</si>
  <si>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</si>
  <si>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</si>
  <si>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</si>
  <si>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</si>
  <si>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</si>
  <si>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</si>
  <si>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</si>
  <si>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</si>
  <si>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</si>
  <si>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</si>
  <si>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</si>
  <si>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</si>
  <si>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</si>
  <si>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</si>
  <si>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</si>
  <si>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</si>
  <si>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</si>
  <si>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</si>
  <si>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</si>
  <si>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</si>
  <si>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</si>
  <si>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</si>
  <si>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</si>
  <si>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</si>
  <si>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</si>
  <si>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</si>
  <si>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</si>
  <si>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</si>
  <si>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</si>
  <si>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</si>
  <si>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</si>
  <si>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</si>
  <si>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</si>
  <si>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</si>
  <si>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</si>
  <si>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</si>
  <si>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</si>
  <si>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</si>
  <si>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</si>
  <si>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</si>
  <si>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</si>
  <si>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</si>
  <si>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</si>
  <si>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</si>
  <si>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</si>
  <si>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</si>
  <si>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</si>
  <si>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</si>
  <si>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</si>
  <si>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</si>
  <si>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</si>
  <si>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</si>
  <si>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</si>
  <si>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</si>
  <si>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</si>
  <si>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</si>
  <si>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</si>
  <si>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</si>
  <si>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</si>
  <si>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</si>
  <si>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</si>
  <si>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</si>
  <si>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</si>
  <si>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</si>
  <si>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</si>
  <si>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</si>
  <si>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</si>
  <si>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</si>
  <si>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</si>
  <si>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</si>
  <si>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</si>
  <si>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</si>
  <si>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</si>
  <si>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</si>
  <si>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</si>
  <si>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</si>
  <si>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</si>
  <si>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</si>
  <si>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</si>
  <si>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</si>
  <si>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</si>
  <si>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</si>
  <si>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</si>
  <si>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</si>
  <si>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</si>
  <si>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</si>
  <si>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</si>
  <si>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</si>
  <si>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</si>
  <si>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</si>
  <si>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</si>
  <si>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</si>
  <si>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</si>
  <si>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</si>
  <si>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</si>
  <si>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</si>
  <si>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</si>
  <si>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</si>
  <si>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</si>
  <si>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</si>
  <si>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</si>
  <si>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</si>
  <si>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</si>
  <si>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</si>
  <si>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</si>
  <si>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</si>
  <si>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</si>
  <si>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</si>
  <si>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</si>
  <si>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</si>
  <si>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</si>
  <si>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</si>
  <si>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</si>
  <si>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</si>
  <si>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</si>
  <si>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</si>
  <si>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</si>
  <si>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</si>
  <si>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</si>
  <si>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</si>
  <si>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</si>
  <si>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</si>
  <si>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</si>
  <si>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</si>
  <si>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</si>
  <si>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</si>
  <si>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</si>
  <si>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</si>
  <si>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</si>
  <si>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</si>
  <si>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</si>
  <si>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</si>
  <si>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</si>
  <si>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</si>
  <si>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</si>
  <si>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</si>
  <si>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</si>
  <si>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</si>
  <si>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</si>
  <si>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</si>
  <si>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</si>
  <si>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</si>
  <si>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</si>
  <si>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</si>
  <si>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</si>
  <si>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</si>
  <si>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</si>
  <si>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</si>
  <si>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</si>
  <si>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</si>
  <si>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</si>
  <si>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</si>
  <si>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</si>
  <si>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</si>
  <si>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</si>
  <si>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</si>
  <si>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</si>
  <si>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</si>
  <si>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</si>
  <si>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</si>
  <si>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</si>
  <si>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</si>
  <si>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</si>
  <si>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</si>
  <si>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</si>
  <si>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</si>
  <si>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</si>
  <si>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</si>
  <si>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</si>
  <si>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</si>
  <si>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</si>
  <si>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</si>
  <si>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</si>
  <si>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</si>
  <si>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</si>
  <si>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</si>
  <si>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</si>
  <si>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</si>
  <si>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</si>
  <si>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</si>
  <si>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</si>
  <si>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</si>
  <si>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</si>
  <si>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</si>
  <si>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</si>
  <si>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</si>
  <si>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</si>
  <si>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</si>
  <si>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</si>
  <si>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</si>
  <si>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</si>
  <si>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</si>
  <si>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</si>
  <si>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</si>
  <si>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</si>
  <si>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</si>
  <si>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</si>
  <si>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</si>
  <si>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</si>
  <si>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</si>
  <si>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</si>
  <si>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</si>
  <si>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</si>
  <si>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</si>
  <si>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</si>
  <si>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</si>
  <si>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</si>
  <si>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</si>
  <si>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</si>
  <si>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</si>
  <si>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</si>
  <si>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</si>
  <si>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</si>
  <si>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</si>
  <si>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</si>
  <si>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</si>
  <si>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</si>
  <si>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</si>
  <si>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</si>
  <si>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</si>
  <si>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</si>
  <si>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</si>
  <si>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</si>
  <si>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</si>
  <si>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</si>
  <si>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</si>
  <si>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</si>
  <si>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</si>
  <si>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</si>
  <si>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</si>
  <si>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</si>
  <si>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</si>
  <si>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</si>
  <si>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</si>
  <si>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</si>
  <si>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</si>
  <si>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</si>
  <si>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</si>
  <si>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</si>
  <si>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</si>
  <si>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</si>
  <si>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</si>
  <si>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</si>
  <si>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</si>
  <si>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</si>
  <si>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</si>
  <si>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</si>
  <si>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</si>
  <si>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</si>
  <si>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</si>
  <si>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</si>
  <si>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</si>
  <si>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</si>
  <si>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</si>
  <si>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</si>
  <si>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</si>
  <si>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</si>
  <si>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</si>
  <si>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</si>
  <si>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</si>
  <si>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</si>
  <si>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</si>
  <si>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</si>
  <si>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</si>
  <si>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</si>
  <si>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</si>
  <si>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</si>
  <si>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</si>
  <si>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</si>
  <si>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</si>
  <si>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</si>
  <si>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</si>
  <si>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</si>
  <si>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</si>
  <si>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</si>
  <si>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</si>
  <si>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</si>
  <si>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</si>
  <si>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</si>
  <si>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</si>
  <si>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</si>
  <si>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</si>
  <si>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</si>
  <si>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</si>
  <si>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</si>
  <si>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</si>
  <si>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</si>
  <si>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</si>
  <si>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</si>
  <si>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</si>
  <si>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</si>
  <si>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</si>
  <si>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</si>
  <si>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</si>
  <si>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</si>
  <si>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</si>
  <si>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</si>
  <si>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</si>
  <si>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</si>
  <si>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</si>
  <si>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</si>
  <si>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</si>
  <si>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</si>
  <si>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</si>
  <si>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</si>
  <si>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</si>
  <si>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</si>
  <si>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</si>
  <si>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</si>
  <si>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</si>
  <si>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</si>
  <si>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</si>
  <si>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</si>
  <si>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</si>
  <si>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</si>
  <si>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</si>
  <si>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</si>
  <si>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</si>
  <si>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</si>
  <si>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</si>
  <si>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</si>
  <si>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</si>
  <si>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</si>
  <si>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</si>
  <si>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</si>
  <si>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</si>
  <si>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</si>
  <si>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</si>
  <si>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</si>
  <si>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</si>
  <si>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</si>
  <si>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</si>
  <si>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</si>
  <si>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</si>
  <si>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</si>
  <si>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</si>
  <si>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</si>
  <si>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</si>
  <si>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</si>
  <si>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</si>
  <si>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</si>
  <si>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</si>
  <si>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</si>
  <si>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</si>
  <si>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</si>
  <si>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</si>
  <si>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</si>
  <si>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</si>
  <si>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</si>
  <si>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</si>
  <si>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</si>
  <si>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</si>
  <si>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</si>
  <si>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</si>
  <si>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</si>
  <si>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</si>
  <si>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</si>
  <si>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</si>
  <si>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</si>
  <si>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</si>
  <si>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</si>
  <si>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</si>
  <si>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</si>
  <si>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</si>
  <si>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</si>
  <si>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</si>
  <si>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</si>
  <si>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</si>
  <si>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</si>
  <si>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</si>
  <si>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</si>
  <si>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</si>
  <si>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</si>
  <si>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</si>
  <si>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</si>
  <si>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</si>
  <si>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</si>
  <si>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</si>
  <si>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</si>
  <si>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</si>
  <si>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</si>
  <si>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</si>
  <si>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</si>
  <si>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</si>
  <si>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</si>
  <si>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</si>
  <si>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</si>
  <si>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</si>
  <si>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</si>
  <si>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</si>
  <si>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</si>
  <si>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</si>
  <si>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</si>
  <si>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</si>
  <si>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</si>
  <si>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</si>
  <si>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</si>
  <si>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</si>
  <si>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</si>
  <si>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</si>
  <si>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</si>
  <si>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</si>
  <si>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</si>
  <si>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</si>
  <si>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</si>
  <si>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</si>
  <si>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</si>
  <si>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</si>
  <si>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</si>
  <si>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</si>
  <si>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</si>
  <si>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</si>
  <si>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</si>
  <si>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</si>
  <si>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</si>
  <si>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</si>
  <si>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</si>
  <si>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</si>
  <si>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</si>
  <si>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</si>
  <si>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</si>
  <si>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</si>
  <si>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</si>
  <si>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</si>
  <si>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</si>
  <si>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</si>
  <si>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</si>
  <si>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</si>
  <si>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</si>
  <si>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</si>
  <si>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</si>
  <si>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</si>
  <si>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</si>
  <si>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</si>
  <si>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</si>
  <si>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</si>
  <si>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</si>
  <si>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</si>
  <si>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</si>
  <si>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</si>
  <si>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</si>
  <si>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</si>
  <si>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</si>
  <si>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</si>
  <si>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</si>
  <si>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</si>
  <si>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</si>
  <si>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</si>
  <si>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</si>
  <si>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</si>
  <si>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</si>
  <si>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</si>
  <si>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</si>
  <si>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</si>
  <si>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</si>
  <si>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</si>
  <si>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</si>
  <si>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</si>
  <si>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</si>
  <si>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</si>
  <si>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</si>
  <si>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</si>
  <si>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</si>
  <si>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</si>
  <si>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</si>
  <si>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</si>
  <si>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</si>
  <si>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</si>
  <si>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</si>
  <si>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</si>
  <si>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</si>
  <si>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</si>
  <si>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</si>
  <si>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</si>
  <si>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</si>
  <si>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</si>
  <si>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</si>
  <si>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</si>
  <si>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</si>
  <si>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</si>
  <si>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</si>
  <si>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</si>
  <si>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</si>
  <si>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</si>
  <si>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</si>
  <si>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</si>
  <si>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</si>
  <si>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</si>
  <si>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</si>
  <si>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</si>
  <si>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</si>
  <si>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</si>
  <si>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</si>
  <si>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</si>
  <si>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</si>
  <si>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</si>
  <si>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</si>
  <si>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</si>
  <si>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</si>
  <si>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</si>
  <si>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</si>
  <si>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</si>
  <si>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</si>
  <si>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</si>
  <si>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</si>
  <si>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</si>
  <si>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</si>
  <si>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</si>
  <si>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</si>
  <si>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</si>
  <si>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</si>
  <si>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</si>
  <si>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</si>
  <si>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</si>
  <si>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</si>
  <si>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</si>
  <si>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</si>
  <si>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</si>
  <si>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</si>
  <si>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</si>
  <si>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</si>
  <si>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</si>
  <si>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</si>
  <si>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</si>
  <si>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</si>
  <si>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</si>
  <si>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</si>
  <si>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</si>
  <si>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</si>
  <si>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</si>
  <si>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</si>
  <si>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</si>
  <si>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</si>
  <si>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</si>
  <si>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</si>
  <si>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</si>
  <si>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</si>
  <si>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</si>
  <si>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</si>
  <si>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</si>
  <si>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</si>
  <si>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</si>
  <si>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</si>
  <si>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</si>
  <si>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</si>
  <si>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</si>
  <si>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</si>
  <si>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</si>
  <si>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</si>
  <si>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</si>
  <si>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</si>
  <si>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</si>
  <si>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</si>
  <si>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</si>
  <si>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</si>
  <si>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</si>
  <si>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</si>
  <si>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</si>
  <si>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</si>
  <si>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</si>
  <si>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</si>
  <si>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</si>
  <si>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</si>
  <si>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</si>
  <si>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</si>
  <si>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</si>
  <si>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</si>
  <si>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</si>
  <si>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</si>
  <si>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</si>
  <si>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</si>
  <si>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</si>
  <si>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</si>
  <si>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</si>
  <si>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</si>
  <si>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</si>
  <si>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</si>
  <si>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</si>
  <si>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</si>
  <si>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</si>
  <si>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</si>
  <si>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</si>
  <si>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</si>
  <si>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</si>
  <si>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</si>
  <si>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</si>
  <si>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</si>
  <si>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</si>
  <si>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</si>
  <si>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</si>
  <si>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</si>
  <si>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</si>
  <si>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</si>
  <si>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</si>
  <si>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</si>
  <si>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</si>
  <si>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</si>
  <si>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</si>
  <si>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</si>
  <si>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</si>
  <si>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</si>
  <si>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</si>
  <si>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</si>
  <si>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</si>
  <si>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</si>
  <si>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</si>
  <si>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</si>
  <si>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</si>
  <si>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</si>
  <si>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</si>
  <si>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</si>
  <si>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</si>
  <si>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</si>
  <si>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</si>
  <si>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</si>
  <si>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</si>
  <si>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</si>
  <si>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</si>
  <si>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</si>
  <si>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</si>
  <si>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</si>
  <si>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</si>
  <si>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</si>
  <si>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</si>
  <si>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</si>
  <si>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</si>
  <si>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</si>
  <si>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</si>
  <si>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</si>
  <si>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</si>
  <si>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</si>
  <si>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</si>
  <si>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</si>
  <si>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</si>
  <si>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</si>
  <si>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</si>
  <si>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</si>
  <si>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</si>
  <si>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</si>
  <si>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</si>
  <si>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</si>
  <si>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</si>
  <si>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</si>
  <si>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</si>
  <si>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</si>
  <si>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</si>
  <si>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</si>
  <si>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</si>
  <si>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</si>
  <si>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</si>
  <si>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</si>
  <si>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</si>
  <si>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</si>
  <si>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</si>
  <si>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</si>
  <si>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</si>
  <si>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</si>
  <si>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</si>
  <si>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</si>
  <si>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</si>
  <si>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</si>
  <si>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</si>
  <si>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</si>
  <si>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</si>
  <si>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</si>
  <si>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</si>
  <si>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</si>
  <si>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</si>
  <si>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</si>
  <si>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</si>
  <si>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</si>
  <si>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</si>
  <si>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</si>
  <si>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</si>
  <si>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</si>
  <si>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</si>
  <si>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</si>
  <si>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</si>
  <si>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</si>
  <si>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</si>
  <si>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</si>
  <si>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</si>
  <si>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</si>
  <si>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</si>
  <si>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</si>
  <si>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</si>
  <si>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</si>
  <si>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</si>
  <si>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</si>
  <si>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</si>
  <si>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</si>
  <si>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</si>
  <si>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</si>
  <si>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</si>
  <si>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</si>
  <si>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</si>
  <si>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</si>
  <si>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</si>
  <si>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</si>
  <si>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</si>
  <si>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</si>
  <si>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</si>
  <si>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</si>
  <si>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</si>
  <si>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</si>
  <si>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</si>
  <si>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</si>
  <si>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</si>
  <si>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</si>
  <si>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</si>
  <si>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</si>
  <si>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</si>
  <si>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</si>
  <si>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</si>
  <si>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</si>
  <si>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</si>
  <si>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</si>
  <si>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</si>
  <si>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</si>
  <si>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</si>
  <si>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</si>
  <si>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</si>
  <si>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</si>
  <si>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</si>
  <si>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</si>
  <si>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</si>
  <si>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</si>
  <si>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</si>
  <si>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</si>
  <si>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</si>
  <si>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</si>
  <si>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</si>
  <si>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</si>
  <si>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</si>
  <si>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</si>
  <si>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</si>
  <si>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</si>
  <si>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</si>
  <si>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</si>
  <si>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</si>
  <si>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</si>
  <si>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</si>
  <si>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</si>
  <si>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</si>
  <si>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</si>
  <si>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</si>
  <si>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</si>
  <si>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</si>
  <si>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</si>
  <si>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</si>
  <si>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</si>
  <si>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</si>
  <si>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</si>
  <si>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</si>
  <si>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</si>
  <si>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</si>
  <si>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</si>
  <si>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</si>
  <si>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</si>
  <si>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</si>
  <si>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</si>
  <si>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</si>
  <si>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</si>
  <si>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</si>
  <si>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</si>
  <si>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</si>
  <si>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</si>
  <si>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</si>
  <si>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</si>
  <si>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</si>
  <si>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</si>
  <si>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</si>
  <si>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</si>
  <si>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</si>
  <si>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</si>
  <si>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</si>
  <si>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</si>
  <si>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</si>
  <si>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</si>
  <si>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</si>
  <si>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</si>
  <si>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</si>
  <si>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</si>
  <si>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</si>
  <si>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</si>
  <si>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</si>
  <si>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</si>
  <si>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</si>
  <si>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</si>
  <si>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</si>
  <si>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</si>
  <si>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</si>
  <si>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</si>
  <si>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</si>
  <si>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</si>
  <si>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</si>
  <si>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</si>
  <si>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</si>
  <si>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</si>
  <si>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</si>
  <si>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</si>
  <si>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</si>
  <si>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</si>
  <si>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</si>
  <si>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</si>
  <si>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</si>
  <si>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</si>
  <si>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</si>
  <si>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</si>
  <si>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</si>
  <si>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</si>
  <si>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</si>
  <si>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</si>
  <si>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</si>
  <si>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</si>
  <si>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</si>
  <si>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</si>
  <si>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</si>
  <si>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</si>
  <si>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</si>
  <si>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</si>
  <si>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</si>
  <si>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</si>
  <si>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</si>
  <si>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</si>
  <si>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</si>
  <si>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</si>
  <si>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</si>
  <si>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</si>
  <si>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</si>
  <si>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</si>
  <si>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</si>
  <si>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</si>
  <si>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</si>
  <si>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</si>
  <si>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</si>
  <si>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</si>
  <si>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</si>
  <si>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</si>
  <si>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</si>
  <si>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</si>
  <si>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</si>
  <si>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</si>
  <si>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</si>
  <si>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</si>
  <si>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</si>
  <si>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</si>
  <si>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</si>
  <si>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</si>
  <si>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</si>
  <si>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</si>
  <si>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</si>
  <si>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</si>
  <si>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</si>
  <si>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</si>
  <si>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</si>
  <si>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</si>
  <si>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</si>
  <si>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</si>
  <si>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</si>
  <si>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</si>
  <si>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</si>
  <si>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</si>
  <si>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</si>
  <si>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</si>
  <si>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</si>
  <si>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</si>
  <si>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</si>
  <si>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</si>
  <si>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</si>
  <si>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</si>
  <si>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</si>
  <si>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</si>
  <si>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</si>
  <si>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</si>
  <si>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</si>
  <si>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</si>
  <si>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</si>
  <si>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</si>
  <si>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</si>
  <si>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</si>
  <si>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</si>
  <si>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</si>
  <si>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</si>
  <si>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</si>
  <si>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</si>
  <si>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</si>
  <si>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</si>
  <si>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</si>
  <si>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</si>
  <si>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</si>
  <si>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</si>
  <si>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</si>
  <si>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</si>
  <si>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</si>
  <si>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</si>
  <si>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</si>
  <si>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</si>
  <si>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</si>
  <si>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</si>
  <si>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</si>
  <si>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</si>
  <si>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</si>
  <si>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</si>
  <si>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</si>
  <si>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</si>
  <si>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</si>
  <si>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</si>
  <si>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</si>
  <si>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</si>
  <si>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</si>
  <si>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</si>
  <si>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</si>
  <si>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</si>
  <si>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</si>
  <si>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</si>
  <si>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</si>
  <si>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</si>
  <si>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</si>
  <si>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</si>
  <si>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</si>
  <si>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</si>
  <si>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</si>
  <si>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</si>
  <si>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</si>
  <si>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</si>
  <si>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</si>
  <si>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</si>
  <si>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</si>
  <si>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</si>
  <si>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</si>
  <si>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</si>
  <si>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</si>
  <si>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</si>
  <si>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</si>
  <si>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</si>
  <si>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</si>
  <si>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</si>
  <si>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</si>
  <si>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</si>
  <si>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</si>
  <si>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</si>
  <si>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</si>
  <si>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</si>
  <si>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</si>
  <si>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</si>
  <si>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</si>
  <si>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</si>
  <si>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</si>
  <si>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</si>
  <si>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</si>
  <si>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</si>
  <si>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</si>
  <si>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</si>
  <si>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</si>
  <si>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</si>
  <si>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</si>
  <si>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</si>
  <si>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</si>
  <si>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</si>
  <si>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</si>
  <si>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</si>
  <si>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</si>
  <si>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</si>
  <si>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</si>
  <si>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</si>
  <si>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</si>
  <si>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</si>
  <si>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</si>
  <si>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</si>
  <si>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</si>
  <si>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</si>
  <si>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</si>
  <si>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</si>
  <si>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</si>
  <si>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</si>
  <si>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</si>
  <si>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</si>
  <si>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</si>
  <si>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</si>
  <si>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</si>
  <si>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</si>
  <si>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</si>
  <si>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</si>
  <si>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</si>
  <si>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</si>
  <si>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</si>
  <si>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</si>
  <si>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</si>
  <si>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</si>
  <si>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</si>
  <si>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</si>
  <si>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</si>
  <si>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</si>
  <si>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</si>
  <si>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</si>
  <si>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</si>
  <si>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</si>
  <si>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</si>
  <si>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</si>
  <si>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</si>
  <si>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</si>
  <si>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</si>
  <si>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</si>
  <si>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</si>
  <si>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</si>
  <si>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</si>
  <si>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</si>
  <si>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</si>
  <si>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</si>
  <si>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</si>
  <si>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</si>
  <si>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</si>
  <si>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</si>
  <si>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</si>
  <si>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</si>
  <si>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</si>
  <si>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</si>
  <si>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</si>
  <si>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</si>
  <si>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</si>
  <si>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</si>
  <si>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</si>
  <si>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</si>
  <si>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</si>
  <si>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</si>
  <si>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</si>
  <si>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</si>
  <si>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</si>
  <si>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</si>
  <si>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</si>
  <si>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</si>
  <si>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</si>
  <si>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</si>
  <si>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</si>
  <si>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</si>
  <si>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</si>
  <si>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</si>
  <si>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</si>
  <si>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</si>
  <si>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</si>
  <si>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</si>
  <si>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</si>
  <si>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</si>
  <si>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</si>
  <si>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</si>
  <si>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</si>
  <si>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</si>
  <si>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</si>
  <si>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</si>
  <si>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</si>
  <si>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</si>
  <si>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</si>
  <si>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</si>
  <si>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</si>
  <si>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</si>
  <si>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</si>
  <si>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</si>
  <si>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</si>
  <si>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</si>
  <si>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</si>
  <si>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</si>
  <si>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</si>
  <si>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</si>
  <si>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</si>
  <si>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</si>
  <si>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</si>
  <si>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</si>
  <si>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</si>
  <si>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</si>
  <si>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</si>
  <si>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</si>
  <si>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</si>
  <si>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</si>
  <si>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</si>
  <si>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</si>
  <si>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</si>
  <si>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</si>
  <si>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</si>
  <si>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</si>
  <si>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</si>
  <si>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</si>
  <si>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</si>
  <si>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</si>
  <si>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</si>
  <si>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</si>
  <si>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</si>
  <si>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</si>
  <si>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</si>
  <si>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</si>
  <si>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</si>
  <si>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</si>
  <si>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</si>
  <si>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</si>
  <si>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</si>
  <si>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</si>
  <si>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</si>
  <si>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</si>
  <si>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</si>
  <si>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</si>
  <si>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</si>
  <si>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</si>
  <si>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</si>
  <si>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</si>
  <si>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</si>
  <si>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</si>
  <si>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</si>
  <si>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</si>
  <si>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</si>
  <si>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</si>
  <si>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</si>
  <si>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</si>
  <si>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</si>
  <si>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</si>
  <si>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</si>
  <si>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</si>
  <si>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</si>
  <si>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</si>
  <si>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</si>
  <si>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</si>
  <si>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</si>
  <si>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</si>
  <si>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</si>
  <si>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</si>
  <si>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</si>
  <si>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</si>
  <si>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</si>
  <si>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</si>
  <si>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</si>
  <si>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</si>
  <si>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</si>
  <si>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</si>
  <si>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</si>
  <si>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</si>
  <si>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</si>
  <si>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</si>
  <si>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</si>
  <si>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</si>
  <si>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</si>
  <si>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</si>
  <si>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</si>
  <si>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</si>
  <si>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</si>
  <si>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</si>
  <si>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</si>
  <si>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</si>
  <si>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</si>
  <si>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</si>
  <si>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</si>
  <si>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</si>
  <si>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</si>
  <si>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</si>
  <si>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</si>
  <si>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</si>
  <si>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</si>
  <si>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</si>
  <si>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</si>
  <si>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</si>
  <si>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</si>
  <si>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</si>
  <si>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</si>
  <si>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</si>
  <si>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</si>
  <si>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</si>
  <si>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</si>
  <si>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</si>
  <si>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</si>
  <si>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</si>
  <si>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</si>
  <si>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</si>
  <si>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</si>
  <si>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</si>
  <si>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</si>
  <si>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</si>
  <si>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</si>
  <si>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</si>
  <si>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</si>
  <si>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</si>
  <si>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</si>
  <si>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</si>
  <si>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</si>
  <si>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</si>
  <si>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</si>
  <si>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</si>
  <si>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</si>
  <si>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</si>
  <si>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</si>
  <si>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</si>
  <si>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</si>
  <si>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</si>
  <si>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</si>
  <si>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</si>
  <si>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</si>
  <si>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</si>
  <si>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</si>
  <si>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</si>
  <si>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</si>
  <si>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</si>
  <si>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</si>
  <si>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</si>
  <si>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</si>
  <si>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</si>
  <si>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</si>
  <si>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</si>
  <si>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</si>
  <si>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</si>
  <si>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</si>
  <si>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</si>
  <si>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</si>
  <si>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</si>
  <si>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</si>
  <si>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</si>
  <si>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</si>
  <si>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</si>
  <si>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</si>
  <si>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</si>
  <si>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</si>
  <si>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</si>
  <si>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</si>
  <si>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</si>
  <si>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</si>
  <si>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</si>
  <si>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</si>
  <si>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</si>
  <si>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</si>
  <si>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</si>
  <si>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</si>
  <si>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</si>
  <si>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</si>
  <si>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</si>
  <si>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</si>
  <si>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</si>
  <si>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</si>
  <si>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</si>
  <si>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</si>
  <si>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</si>
  <si>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</si>
  <si>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</si>
  <si>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</si>
  <si>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</si>
  <si>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</si>
  <si>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</si>
  <si>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</si>
  <si>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</si>
  <si>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</si>
  <si>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</si>
  <si>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</si>
  <si>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</si>
  <si>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</si>
  <si>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</si>
  <si>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</si>
  <si>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</si>
  <si>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</si>
  <si>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</si>
  <si>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</si>
  <si>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</si>
  <si>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</si>
  <si>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</si>
  <si>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</si>
  <si>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</si>
  <si>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</si>
  <si>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</si>
  <si>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</si>
  <si>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</si>
  <si>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</si>
  <si>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</si>
  <si>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</si>
  <si>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</si>
  <si>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</si>
  <si>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</si>
  <si>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</si>
  <si>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</si>
  <si>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</si>
  <si>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</si>
  <si>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</si>
  <si>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</si>
  <si>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</si>
  <si>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</si>
  <si>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</si>
  <si>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</si>
  <si>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</si>
  <si>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</si>
  <si>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</si>
  <si>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</si>
  <si>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</si>
  <si>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</si>
  <si>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</si>
  <si>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</si>
  <si>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</si>
  <si>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</si>
  <si>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</si>
  <si>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</si>
  <si>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</si>
  <si>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</si>
  <si>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</si>
  <si>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</si>
  <si>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</si>
  <si>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</si>
  <si>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</si>
  <si>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</si>
  <si>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</si>
  <si>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</si>
  <si>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</si>
  <si>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</si>
  <si>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</si>
  <si>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</si>
  <si>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</si>
  <si>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</si>
  <si>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</si>
  <si>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</si>
  <si>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</si>
  <si>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</si>
  <si>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</si>
  <si>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</si>
  <si>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</si>
  <si>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</si>
  <si>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</si>
  <si>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</si>
  <si>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</si>
  <si>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</si>
  <si>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</si>
  <si>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</si>
  <si>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</si>
  <si>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</si>
  <si>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</si>
  <si>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</si>
  <si>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</si>
  <si>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</si>
  <si>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</si>
  <si>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</si>
  <si>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</si>
  <si>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</si>
  <si>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</si>
  <si>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</si>
  <si>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</si>
  <si>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</si>
  <si>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</si>
  <si>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</si>
  <si>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</si>
  <si>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</si>
  <si>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</si>
  <si>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</si>
  <si>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</si>
  <si>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</si>
  <si>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</si>
  <si>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</si>
  <si>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</si>
  <si>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</si>
  <si>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</si>
  <si>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</si>
  <si>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</si>
  <si>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</si>
  <si>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</si>
  <si>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</si>
  <si>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</si>
  <si>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</si>
  <si>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</si>
  <si>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</si>
  <si>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</si>
  <si>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</si>
  <si>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</si>
  <si>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</si>
  <si>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</si>
  <si>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</si>
  <si>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</si>
  <si>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</si>
  <si>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</si>
  <si>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</si>
  <si>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</si>
  <si>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</si>
  <si>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</si>
  <si>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</si>
  <si>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</si>
  <si>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</si>
  <si>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</si>
  <si>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</si>
  <si>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</si>
  <si>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</si>
  <si>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</si>
  <si>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</si>
  <si>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</si>
  <si>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</si>
  <si>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</si>
  <si>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</si>
  <si>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</si>
  <si>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</si>
  <si>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</si>
  <si>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</si>
  <si>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</si>
  <si>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</si>
  <si>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</si>
  <si>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</si>
  <si>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</si>
  <si>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</si>
  <si>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</si>
  <si>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</si>
  <si>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</si>
  <si>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</si>
  <si>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</si>
  <si>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</si>
  <si>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</si>
  <si>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</si>
  <si>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</si>
  <si>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</si>
  <si>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</si>
  <si>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</si>
  <si>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</si>
  <si>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</si>
  <si>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</si>
  <si>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</si>
  <si>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</si>
  <si>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</si>
  <si>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</si>
  <si>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</si>
  <si>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</si>
  <si>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</si>
  <si>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</si>
  <si>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レッドドラゴン降臨 超級</t>
    <rPh sb="10" eb="12">
      <t>チョウキュウ</t>
    </rPh>
    <phoneticPr fontId="5"/>
  </si>
  <si>
    <t>レッドドラゴン降臨 地獄級</t>
    <rPh sb="10" eb="12">
      <t>ジゴク</t>
    </rPh>
    <rPh sb="12" eb="13">
      <t>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</si>
  <si>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</si>
  <si>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</si>
  <si>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</si>
  <si>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ブルードラゴン降臨 超級</t>
    <rPh sb="10" eb="12">
      <t>チョウキュウ</t>
    </rPh>
    <phoneticPr fontId="5"/>
  </si>
  <si>
    <t>ブルードラゴン降臨 地獄級</t>
    <rPh sb="10" eb="12">
      <t>ジゴク</t>
    </rPh>
    <rPh sb="12" eb="13">
      <t>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</si>
  <si>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</si>
  <si>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</si>
  <si>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</si>
  <si>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グリーンドラゴン降臨 超級</t>
    <rPh sb="11" eb="13">
      <t>チョウキュウ</t>
    </rPh>
    <phoneticPr fontId="5"/>
  </si>
  <si>
    <t>グリーンドラゴン降臨 地獄級</t>
    <rPh sb="11" eb="13">
      <t>ジゴク</t>
    </rPh>
    <rPh sb="13" eb="14">
      <t>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</si>
  <si>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</si>
  <si>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</si>
  <si>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</si>
  <si>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ホーリードラゴン降臨 超級</t>
    <rPh sb="11" eb="13">
      <t>チョウキュウ</t>
    </rPh>
    <phoneticPr fontId="5"/>
  </si>
  <si>
    <t>ホーリードラゴン降臨 地獄級</t>
    <rPh sb="11" eb="13">
      <t>ジゴク</t>
    </rPh>
    <rPh sb="13" eb="14">
      <t>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</si>
  <si>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</si>
  <si>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</si>
  <si>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</si>
  <si>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ダークドラゴン降臨 超級</t>
    <rPh sb="10" eb="12">
      <t>チョウキュウ</t>
    </rPh>
    <phoneticPr fontId="5"/>
  </si>
  <si>
    <t>ダークドラゴン降臨 地獄級</t>
    <rPh sb="10" eb="12">
      <t>ジゴク</t>
    </rPh>
    <rPh sb="12" eb="13">
      <t>キュウ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</si>
</sst>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38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topLeftCell="A34" workbookViewId="0">
      <selection activeCell="C45" sqref="C45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104</v>
      </c>
      <c r="E4" s="3" t="s">
        <v>1756</v>
      </c>
      <c r="F4" s="3" t="s">
        <v>1790</v>
      </c>
      <c r="G4" s="3" t="s">
        <v>23</v>
      </c>
      <c r="H4" s="3"/>
      <c r="I4" s="3" t="s">
        <v>1930</v>
      </c>
      <c r="J4" s="3" t="s">
        <v>1931</v>
      </c>
      <c r="K4" s="3" t="s">
        <v>1932</v>
      </c>
      <c r="L4" s="3" t="s">
        <v>1933</v>
      </c>
      <c r="M4" s="3" t="s">
        <v>1730</v>
      </c>
      <c r="N4" s="3" t="s">
        <v>1731</v>
      </c>
      <c r="O4" s="3" t="s">
        <v>1732</v>
      </c>
      <c r="P4" s="3" t="s">
        <v>1736</v>
      </c>
      <c r="Q4" s="3" t="s">
        <v>1738</v>
      </c>
      <c r="R4" s="3" t="s">
        <v>1739</v>
      </c>
      <c r="S4" s="3" t="s">
        <v>1742</v>
      </c>
      <c r="T4" s="3" t="s">
        <v>1746</v>
      </c>
      <c r="U4" s="3" t="s">
        <v>1747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1934</v>
      </c>
      <c r="J8" s="4" t="s">
        <v>1934</v>
      </c>
      <c r="K8" s="4" t="s">
        <v>1934</v>
      </c>
      <c r="L8" s="4" t="s">
        <v>1934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6" t="s">
        <v>11</v>
      </c>
      <c r="C9" s="6" t="s">
        <v>16</v>
      </c>
      <c r="D9" s="6" t="s">
        <v>1758</v>
      </c>
      <c r="E9" s="6" t="s">
        <v>1757</v>
      </c>
      <c r="F9" s="6" t="s">
        <v>1791</v>
      </c>
      <c r="G9" s="6" t="s">
        <v>21</v>
      </c>
      <c r="H9" s="6"/>
      <c r="I9" s="6" t="s">
        <v>1935</v>
      </c>
      <c r="J9" s="6" t="s">
        <v>1936</v>
      </c>
      <c r="K9" s="6" t="s">
        <v>1937</v>
      </c>
      <c r="L9" s="6" t="s">
        <v>1938</v>
      </c>
      <c r="M9" s="6" t="s">
        <v>1733</v>
      </c>
      <c r="N9" s="6" t="s">
        <v>1734</v>
      </c>
      <c r="O9" s="6" t="s">
        <v>1735</v>
      </c>
      <c r="P9" s="6" t="s">
        <v>1737</v>
      </c>
      <c r="Q9" s="6" t="s">
        <v>1740</v>
      </c>
      <c r="R9" s="6" t="s">
        <v>1741</v>
      </c>
      <c r="S9" s="6" t="s">
        <v>1743</v>
      </c>
      <c r="T9" s="6" t="s">
        <v>1744</v>
      </c>
      <c r="U9" s="6" t="s">
        <v>1745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6" t="s">
        <v>12</v>
      </c>
      <c r="B10" s="6"/>
      <c r="C10" s="6"/>
      <c r="D10" s="6" t="s">
        <v>105</v>
      </c>
      <c r="E10" s="6" t="s">
        <v>1759</v>
      </c>
      <c r="F10" s="6"/>
      <c r="G10" s="6" t="s">
        <v>24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7" t="s">
        <v>13</v>
      </c>
      <c r="B11" s="7">
        <v>1</v>
      </c>
      <c r="C11" s="7" t="s">
        <v>543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544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545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546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547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548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549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550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551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552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553</v>
      </c>
      <c r="D21" s="7">
        <v>1</v>
      </c>
      <c r="E21" s="7">
        <v>3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554</v>
      </c>
      <c r="D22" s="7">
        <v>2</v>
      </c>
      <c r="E22" s="7">
        <v>3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555</v>
      </c>
      <c r="D23" s="7">
        <v>3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556</v>
      </c>
      <c r="D24" s="7">
        <v>4</v>
      </c>
      <c r="E24" s="7">
        <v>3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557</v>
      </c>
      <c r="D25" s="10">
        <v>5</v>
      </c>
      <c r="E25" s="7">
        <v>3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558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559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560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561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562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563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564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565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566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567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568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569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570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571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572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1991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1992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1993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599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600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573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574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575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576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577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578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106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579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580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581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582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583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584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585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586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587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588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589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107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590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591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592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593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594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595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596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597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598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599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600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601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602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603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604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605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19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25</v>
      </c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26</v>
      </c>
      <c r="D4" s="3" t="s">
        <v>174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228</v>
      </c>
      <c r="M4" s="3" t="s">
        <v>182</v>
      </c>
      <c r="N4" s="3"/>
      <c r="O4" s="3"/>
      <c r="P4" s="3"/>
      <c r="Q4" s="3"/>
      <c r="R4" s="3"/>
      <c r="S4" s="3" t="s">
        <v>185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 t="s">
        <v>183</v>
      </c>
      <c r="T6" s="3" t="s">
        <v>184</v>
      </c>
      <c r="U6" s="3" t="s">
        <v>224</v>
      </c>
      <c r="V6" s="3" t="s">
        <v>183</v>
      </c>
      <c r="W6" s="3" t="s">
        <v>184</v>
      </c>
      <c r="X6" s="3" t="s">
        <v>224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7</v>
      </c>
      <c r="D8" s="4" t="s">
        <v>20</v>
      </c>
      <c r="E8" s="4" t="s">
        <v>8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20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 t="s">
        <v>7</v>
      </c>
      <c r="T8" s="4" t="s">
        <v>7</v>
      </c>
      <c r="U8" s="4" t="s">
        <v>96</v>
      </c>
      <c r="V8" s="4" t="s">
        <v>7</v>
      </c>
      <c r="W8" s="4" t="s">
        <v>7</v>
      </c>
      <c r="X8" s="4" t="s">
        <v>96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126.75" customHeight="1">
      <c r="A9" s="56" t="s">
        <v>10</v>
      </c>
      <c r="B9" s="5" t="s">
        <v>11</v>
      </c>
      <c r="C9" s="5" t="s">
        <v>27</v>
      </c>
      <c r="D9" s="5" t="s">
        <v>175</v>
      </c>
      <c r="E9" s="5" t="s">
        <v>178</v>
      </c>
      <c r="F9" s="6" t="s">
        <v>124</v>
      </c>
      <c r="G9" s="6" t="s">
        <v>31</v>
      </c>
      <c r="H9" s="6" t="s">
        <v>33</v>
      </c>
      <c r="I9" s="6" t="s">
        <v>124</v>
      </c>
      <c r="J9" s="6" t="s">
        <v>31</v>
      </c>
      <c r="K9" s="6" t="s">
        <v>33</v>
      </c>
      <c r="L9" s="6" t="s">
        <v>229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6" t="s">
        <v>186</v>
      </c>
      <c r="T9" s="6" t="s">
        <v>187</v>
      </c>
      <c r="U9" s="6" t="s">
        <v>225</v>
      </c>
      <c r="V9" s="6" t="s">
        <v>186</v>
      </c>
      <c r="W9" s="6" t="s">
        <v>187</v>
      </c>
      <c r="X9" s="6" t="s">
        <v>225</v>
      </c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5"/>
      <c r="I10" s="5"/>
      <c r="J10" s="5"/>
      <c r="K10" s="5"/>
      <c r="L10" s="18"/>
      <c r="M10" s="19" t="s">
        <v>226</v>
      </c>
      <c r="N10" s="19"/>
      <c r="O10" s="19"/>
      <c r="P10" s="19" t="s">
        <v>226</v>
      </c>
      <c r="Q10" s="19"/>
      <c r="R10" s="19"/>
      <c r="S10" s="19" t="s">
        <v>226</v>
      </c>
      <c r="T10" s="18"/>
      <c r="U10" s="19"/>
      <c r="V10" s="19" t="s">
        <v>226</v>
      </c>
      <c r="W10" s="19"/>
      <c r="X10" s="19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1001001</v>
      </c>
      <c r="C11" s="7">
        <v>1</v>
      </c>
      <c r="D11" s="5">
        <v>3001001</v>
      </c>
      <c r="E11" s="5" t="s">
        <v>179</v>
      </c>
      <c r="F11" s="7">
        <v>1</v>
      </c>
      <c r="G11" s="7">
        <v>1</v>
      </c>
      <c r="H11" s="7">
        <v>5</v>
      </c>
      <c r="I11" s="7"/>
      <c r="J11" s="7"/>
      <c r="K11" s="7"/>
      <c r="L11" s="7">
        <v>1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57"/>
      <c r="B12" s="7">
        <v>1001002</v>
      </c>
      <c r="C12" s="7">
        <v>1</v>
      </c>
      <c r="D12" s="7">
        <v>3001002</v>
      </c>
      <c r="E12" s="7" t="s">
        <v>180</v>
      </c>
      <c r="F12" s="7">
        <v>1</v>
      </c>
      <c r="G12" s="7">
        <v>1</v>
      </c>
      <c r="H12" s="7">
        <v>50</v>
      </c>
      <c r="I12" s="7"/>
      <c r="J12" s="7"/>
      <c r="K12" s="7"/>
      <c r="L12" s="7">
        <v>2</v>
      </c>
      <c r="M12" s="7"/>
      <c r="N12" s="7"/>
      <c r="O12" s="26"/>
      <c r="P12" s="7"/>
      <c r="Q12" s="7"/>
      <c r="R12" s="26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1002001</v>
      </c>
      <c r="C13" s="7">
        <v>2</v>
      </c>
      <c r="D13" s="5">
        <v>3002001</v>
      </c>
      <c r="E13" s="5" t="s">
        <v>179</v>
      </c>
      <c r="F13" s="7">
        <v>1</v>
      </c>
      <c r="G13" s="7">
        <v>1</v>
      </c>
      <c r="H13" s="7">
        <v>5</v>
      </c>
      <c r="I13" s="7"/>
      <c r="J13" s="7"/>
      <c r="K13" s="7"/>
      <c r="L13" s="7">
        <v>1</v>
      </c>
      <c r="M13" s="7">
        <v>3</v>
      </c>
      <c r="N13" s="7"/>
      <c r="O13" s="26" t="s">
        <v>231</v>
      </c>
      <c r="P13" s="7">
        <v>4</v>
      </c>
      <c r="Q13" s="7"/>
      <c r="R13" s="26" t="s">
        <v>230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1002002</v>
      </c>
      <c r="C14" s="7">
        <v>2</v>
      </c>
      <c r="D14" s="7">
        <v>3002002</v>
      </c>
      <c r="E14" s="7" t="s">
        <v>180</v>
      </c>
      <c r="F14" s="7">
        <v>1</v>
      </c>
      <c r="G14" s="7">
        <v>1</v>
      </c>
      <c r="H14" s="7">
        <v>50</v>
      </c>
      <c r="I14" s="7"/>
      <c r="J14" s="7"/>
      <c r="K14" s="7"/>
      <c r="L14" s="7">
        <v>2</v>
      </c>
      <c r="M14" s="7">
        <v>3</v>
      </c>
      <c r="N14" s="7"/>
      <c r="O14" s="26" t="s">
        <v>231</v>
      </c>
      <c r="P14" s="7">
        <v>4</v>
      </c>
      <c r="Q14" s="7"/>
      <c r="R14" s="26" t="s">
        <v>230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26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26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 t="s">
        <v>38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35</v>
      </c>
      <c r="D11" s="7" t="s">
        <v>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36</v>
      </c>
      <c r="D12" s="7" t="s">
        <v>40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191</v>
      </c>
      <c r="D13" s="7" t="s">
        <v>193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192</v>
      </c>
      <c r="D14" s="7" t="s">
        <v>194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0" workbookViewId="0">
      <selection activeCell="G23" sqref="G23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1769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1770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1771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1772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1773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1774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1775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1776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1777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1778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1779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1780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1781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1782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1783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1784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1785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1786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1787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1788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1789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1989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98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99</v>
      </c>
      <c r="D9" s="6" t="s">
        <v>101</v>
      </c>
      <c r="E9" s="6" t="s">
        <v>103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13" workbookViewId="0">
      <selection activeCell="E110" sqref="E1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112</v>
      </c>
      <c r="E9" s="6" t="s">
        <v>111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D21" sqref="D21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116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117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6" t="s">
        <v>0</v>
      </c>
      <c r="B2" s="7" t="s">
        <v>118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6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6" t="s">
        <v>151</v>
      </c>
      <c r="H9" s="6" t="s">
        <v>119</v>
      </c>
      <c r="I9" s="5" t="s">
        <v>33</v>
      </c>
      <c r="J9" s="6" t="s">
        <v>151</v>
      </c>
      <c r="K9" s="6" t="s">
        <v>119</v>
      </c>
      <c r="L9" s="5" t="s">
        <v>33</v>
      </c>
      <c r="M9" s="6" t="s">
        <v>151</v>
      </c>
      <c r="N9" s="6" t="s">
        <v>119</v>
      </c>
      <c r="O9" s="5" t="s">
        <v>33</v>
      </c>
      <c r="P9" s="6" t="s">
        <v>151</v>
      </c>
      <c r="Q9" s="6" t="s">
        <v>119</v>
      </c>
      <c r="R9" s="5" t="s">
        <v>33</v>
      </c>
      <c r="S9" s="6" t="s">
        <v>794</v>
      </c>
      <c r="T9" s="6" t="s">
        <v>119</v>
      </c>
      <c r="U9" s="5" t="s">
        <v>33</v>
      </c>
      <c r="V9" s="6" t="s">
        <v>794</v>
      </c>
      <c r="W9" s="6" t="s">
        <v>119</v>
      </c>
      <c r="X9" s="5" t="s">
        <v>33</v>
      </c>
      <c r="Y9" s="6" t="s">
        <v>794</v>
      </c>
      <c r="Z9" s="6" t="s">
        <v>119</v>
      </c>
      <c r="AA9" s="5" t="s">
        <v>33</v>
      </c>
      <c r="AB9" s="6" t="s">
        <v>794</v>
      </c>
      <c r="AC9" s="6" t="s">
        <v>119</v>
      </c>
      <c r="AD9" s="5" t="s">
        <v>33</v>
      </c>
      <c r="AE9" s="6" t="s">
        <v>794</v>
      </c>
      <c r="AF9" s="6" t="s">
        <v>119</v>
      </c>
      <c r="AG9" s="5" t="s">
        <v>33</v>
      </c>
      <c r="AH9" s="6" t="s">
        <v>794</v>
      </c>
      <c r="AI9" s="6" t="s">
        <v>119</v>
      </c>
      <c r="AJ9" s="5" t="s">
        <v>33</v>
      </c>
      <c r="AK9" s="6" t="s">
        <v>795</v>
      </c>
      <c r="AL9" s="6" t="s">
        <v>119</v>
      </c>
      <c r="AM9" s="5" t="s">
        <v>33</v>
      </c>
      <c r="AN9" s="6" t="s">
        <v>795</v>
      </c>
      <c r="AO9" s="6" t="s">
        <v>119</v>
      </c>
      <c r="AP9" s="5" t="s">
        <v>33</v>
      </c>
      <c r="AQ9" s="6" t="s">
        <v>795</v>
      </c>
      <c r="AR9" s="6" t="s">
        <v>119</v>
      </c>
      <c r="AS9" s="5" t="s">
        <v>33</v>
      </c>
      <c r="AT9" s="6" t="s">
        <v>795</v>
      </c>
      <c r="AU9" s="6" t="s">
        <v>119</v>
      </c>
      <c r="AV9" s="5" t="s">
        <v>33</v>
      </c>
      <c r="AW9" s="6" t="s">
        <v>795</v>
      </c>
      <c r="AX9" s="6" t="s">
        <v>119</v>
      </c>
      <c r="AY9" s="5" t="s">
        <v>33</v>
      </c>
      <c r="AZ9" s="6" t="s">
        <v>795</v>
      </c>
      <c r="BA9" s="6" t="s">
        <v>119</v>
      </c>
      <c r="BB9" s="5" t="s">
        <v>33</v>
      </c>
      <c r="BC9" s="6" t="s">
        <v>796</v>
      </c>
      <c r="BD9" s="6" t="s">
        <v>119</v>
      </c>
      <c r="BE9" s="5" t="s">
        <v>33</v>
      </c>
      <c r="BF9" s="6" t="s">
        <v>796</v>
      </c>
      <c r="BG9" s="6" t="s">
        <v>119</v>
      </c>
      <c r="BH9" s="5" t="s">
        <v>33</v>
      </c>
      <c r="BI9" s="6" t="s">
        <v>796</v>
      </c>
      <c r="BJ9" s="6" t="s">
        <v>119</v>
      </c>
      <c r="BK9" s="5" t="s">
        <v>33</v>
      </c>
      <c r="BL9" s="6" t="s">
        <v>796</v>
      </c>
      <c r="BM9" s="6" t="s">
        <v>119</v>
      </c>
      <c r="BN9" s="5" t="s">
        <v>33</v>
      </c>
      <c r="BO9" s="6" t="s">
        <v>796</v>
      </c>
      <c r="BP9" s="6" t="s">
        <v>119</v>
      </c>
      <c r="BQ9" s="5" t="s">
        <v>33</v>
      </c>
      <c r="BR9" s="6" t="s">
        <v>796</v>
      </c>
      <c r="BS9" s="6" t="s">
        <v>119</v>
      </c>
      <c r="BT9" s="5" t="s">
        <v>33</v>
      </c>
      <c r="BU9" s="6" t="s">
        <v>797</v>
      </c>
      <c r="BV9" s="6" t="s">
        <v>119</v>
      </c>
      <c r="BW9" s="5" t="s">
        <v>33</v>
      </c>
      <c r="BX9" s="6" t="s">
        <v>797</v>
      </c>
      <c r="BY9" s="6" t="s">
        <v>119</v>
      </c>
      <c r="BZ9" s="5" t="s">
        <v>33</v>
      </c>
      <c r="CA9" s="6" t="s">
        <v>797</v>
      </c>
      <c r="CB9" s="6" t="s">
        <v>119</v>
      </c>
      <c r="CC9" s="5" t="s">
        <v>33</v>
      </c>
      <c r="CD9" s="6" t="s">
        <v>797</v>
      </c>
      <c r="CE9" s="6" t="s">
        <v>119</v>
      </c>
      <c r="CF9" s="5" t="s">
        <v>33</v>
      </c>
      <c r="CG9" s="6" t="s">
        <v>797</v>
      </c>
      <c r="CH9" s="6" t="s">
        <v>119</v>
      </c>
      <c r="CI9" s="5" t="s">
        <v>33</v>
      </c>
      <c r="CJ9" s="6" t="s">
        <v>797</v>
      </c>
      <c r="CK9" s="6" t="s">
        <v>119</v>
      </c>
      <c r="CL9" s="5" t="s">
        <v>33</v>
      </c>
      <c r="CM9" s="6" t="s">
        <v>798</v>
      </c>
      <c r="CN9" s="6" t="s">
        <v>119</v>
      </c>
      <c r="CO9" s="5" t="s">
        <v>33</v>
      </c>
      <c r="CP9" s="6" t="s">
        <v>798</v>
      </c>
      <c r="CQ9" s="6" t="s">
        <v>119</v>
      </c>
      <c r="CR9" s="5" t="s">
        <v>33</v>
      </c>
      <c r="CS9" s="6" t="s">
        <v>798</v>
      </c>
      <c r="CT9" s="6" t="s">
        <v>119</v>
      </c>
      <c r="CU9" s="5" t="s">
        <v>33</v>
      </c>
      <c r="CV9" s="6" t="s">
        <v>798</v>
      </c>
      <c r="CW9" s="6" t="s">
        <v>119</v>
      </c>
      <c r="CX9" s="5" t="s">
        <v>33</v>
      </c>
      <c r="CY9" s="6" t="s">
        <v>798</v>
      </c>
      <c r="CZ9" s="6" t="s">
        <v>119</v>
      </c>
      <c r="DA9" s="5" t="s">
        <v>33</v>
      </c>
      <c r="DB9" s="6" t="s">
        <v>798</v>
      </c>
      <c r="DC9" s="6" t="s">
        <v>119</v>
      </c>
      <c r="DD9" s="5" t="s">
        <v>33</v>
      </c>
      <c r="DE9" s="6" t="s">
        <v>799</v>
      </c>
      <c r="DF9" s="6" t="s">
        <v>119</v>
      </c>
      <c r="DG9" s="5" t="s">
        <v>33</v>
      </c>
      <c r="DH9" s="6" t="s">
        <v>799</v>
      </c>
      <c r="DI9" s="6" t="s">
        <v>119</v>
      </c>
      <c r="DJ9" s="5" t="s">
        <v>33</v>
      </c>
      <c r="DK9" s="6" t="s">
        <v>799</v>
      </c>
      <c r="DL9" s="6" t="s">
        <v>119</v>
      </c>
      <c r="DM9" s="5" t="s">
        <v>33</v>
      </c>
      <c r="DN9" s="6" t="s">
        <v>799</v>
      </c>
      <c r="DO9" s="6" t="s">
        <v>119</v>
      </c>
      <c r="DP9" s="5" t="s">
        <v>33</v>
      </c>
      <c r="DQ9" s="6" t="s">
        <v>799</v>
      </c>
      <c r="DR9" s="6" t="s">
        <v>119</v>
      </c>
      <c r="DS9" s="5" t="s">
        <v>33</v>
      </c>
      <c r="DT9" s="6" t="s">
        <v>799</v>
      </c>
      <c r="DU9" s="6" t="s">
        <v>119</v>
      </c>
      <c r="DV9" s="5" t="s">
        <v>33</v>
      </c>
      <c r="DW9" s="6" t="s">
        <v>800</v>
      </c>
      <c r="DX9" s="6" t="s">
        <v>119</v>
      </c>
      <c r="DY9" s="5" t="s">
        <v>33</v>
      </c>
      <c r="DZ9" s="6" t="s">
        <v>800</v>
      </c>
      <c r="EA9" s="6" t="s">
        <v>119</v>
      </c>
      <c r="EB9" s="5" t="s">
        <v>33</v>
      </c>
      <c r="EC9" s="6" t="s">
        <v>800</v>
      </c>
      <c r="ED9" s="6" t="s">
        <v>119</v>
      </c>
      <c r="EE9" s="5" t="s">
        <v>33</v>
      </c>
      <c r="EF9" s="6" t="s">
        <v>800</v>
      </c>
      <c r="EG9" s="6" t="s">
        <v>119</v>
      </c>
      <c r="EH9" s="5" t="s">
        <v>33</v>
      </c>
      <c r="EI9" s="6" t="s">
        <v>800</v>
      </c>
      <c r="EJ9" s="6" t="s">
        <v>119</v>
      </c>
      <c r="EK9" s="5" t="s">
        <v>33</v>
      </c>
      <c r="EL9" s="6" t="s">
        <v>800</v>
      </c>
      <c r="EM9" s="6" t="s">
        <v>119</v>
      </c>
      <c r="EN9" s="5" t="s">
        <v>33</v>
      </c>
      <c r="EO9" s="6" t="s">
        <v>801</v>
      </c>
      <c r="EP9" s="6" t="s">
        <v>119</v>
      </c>
      <c r="EQ9" s="5" t="s">
        <v>33</v>
      </c>
      <c r="ER9" s="6" t="s">
        <v>801</v>
      </c>
      <c r="ES9" s="6" t="s">
        <v>119</v>
      </c>
      <c r="ET9" s="5" t="s">
        <v>33</v>
      </c>
      <c r="EU9" s="6" t="s">
        <v>801</v>
      </c>
      <c r="EV9" s="6" t="s">
        <v>119</v>
      </c>
      <c r="EW9" s="5" t="s">
        <v>33</v>
      </c>
      <c r="EX9" s="6" t="s">
        <v>801</v>
      </c>
      <c r="EY9" s="6" t="s">
        <v>119</v>
      </c>
      <c r="EZ9" s="5" t="s">
        <v>33</v>
      </c>
      <c r="FA9" s="6" t="s">
        <v>801</v>
      </c>
      <c r="FB9" s="6" t="s">
        <v>119</v>
      </c>
      <c r="FC9" s="5" t="s">
        <v>33</v>
      </c>
      <c r="FD9" s="6" t="s">
        <v>801</v>
      </c>
      <c r="FE9" s="6" t="s">
        <v>119</v>
      </c>
      <c r="FF9" s="5" t="s">
        <v>33</v>
      </c>
      <c r="FG9" s="6" t="s">
        <v>802</v>
      </c>
      <c r="FH9" s="6" t="s">
        <v>119</v>
      </c>
      <c r="FI9" s="5" t="s">
        <v>33</v>
      </c>
      <c r="FJ9" s="6" t="s">
        <v>802</v>
      </c>
      <c r="FK9" s="6" t="s">
        <v>119</v>
      </c>
      <c r="FL9" s="5" t="s">
        <v>33</v>
      </c>
      <c r="FM9" s="6" t="s">
        <v>802</v>
      </c>
      <c r="FN9" s="6" t="s">
        <v>119</v>
      </c>
      <c r="FO9" s="5" t="s">
        <v>33</v>
      </c>
      <c r="FP9" s="6" t="s">
        <v>802</v>
      </c>
      <c r="FQ9" s="6" t="s">
        <v>119</v>
      </c>
      <c r="FR9" s="5" t="s">
        <v>33</v>
      </c>
      <c r="FS9" s="6" t="s">
        <v>802</v>
      </c>
      <c r="FT9" s="6" t="s">
        <v>119</v>
      </c>
      <c r="FU9" s="5" t="s">
        <v>33</v>
      </c>
      <c r="FV9" s="6" t="s">
        <v>802</v>
      </c>
      <c r="FW9" s="6" t="s">
        <v>119</v>
      </c>
      <c r="FX9" s="5" t="s">
        <v>33</v>
      </c>
      <c r="FY9" s="6" t="s">
        <v>803</v>
      </c>
      <c r="FZ9" s="6" t="s">
        <v>119</v>
      </c>
      <c r="GA9" s="5" t="s">
        <v>33</v>
      </c>
      <c r="GB9" s="6" t="s">
        <v>803</v>
      </c>
      <c r="GC9" s="6" t="s">
        <v>119</v>
      </c>
      <c r="GD9" s="5" t="s">
        <v>33</v>
      </c>
      <c r="GE9" s="6" t="s">
        <v>803</v>
      </c>
      <c r="GF9" s="6" t="s">
        <v>119</v>
      </c>
      <c r="GG9" s="5" t="s">
        <v>33</v>
      </c>
      <c r="GH9" s="6" t="s">
        <v>803</v>
      </c>
      <c r="GI9" s="6" t="s">
        <v>119</v>
      </c>
      <c r="GJ9" s="5" t="s">
        <v>33</v>
      </c>
      <c r="GK9" s="6" t="s">
        <v>803</v>
      </c>
      <c r="GL9" s="6" t="s">
        <v>119</v>
      </c>
      <c r="GM9" s="5" t="s">
        <v>33</v>
      </c>
      <c r="GN9" s="6" t="s">
        <v>803</v>
      </c>
      <c r="GO9" s="6" t="s">
        <v>119</v>
      </c>
      <c r="GP9" s="5" t="s">
        <v>33</v>
      </c>
      <c r="GQ9" s="6" t="s">
        <v>804</v>
      </c>
      <c r="GR9" s="6" t="s">
        <v>119</v>
      </c>
      <c r="GS9" s="5" t="s">
        <v>33</v>
      </c>
      <c r="GT9" s="6" t="s">
        <v>804</v>
      </c>
      <c r="GU9" s="6" t="s">
        <v>119</v>
      </c>
      <c r="GV9" s="5" t="s">
        <v>33</v>
      </c>
      <c r="GW9" s="6" t="s">
        <v>804</v>
      </c>
      <c r="GX9" s="6" t="s">
        <v>119</v>
      </c>
      <c r="GY9" s="5" t="s">
        <v>33</v>
      </c>
      <c r="GZ9" s="6" t="s">
        <v>804</v>
      </c>
      <c r="HA9" s="6" t="s">
        <v>119</v>
      </c>
      <c r="HB9" s="5" t="s">
        <v>33</v>
      </c>
      <c r="HC9" s="6" t="s">
        <v>804</v>
      </c>
      <c r="HD9" s="6" t="s">
        <v>119</v>
      </c>
      <c r="HE9" s="5" t="s">
        <v>33</v>
      </c>
      <c r="HF9" s="6" t="s">
        <v>804</v>
      </c>
      <c r="HG9" s="6" t="s">
        <v>119</v>
      </c>
      <c r="HH9" s="5" t="s">
        <v>33</v>
      </c>
      <c r="HI9" s="6" t="s">
        <v>805</v>
      </c>
      <c r="HJ9" s="6" t="s">
        <v>119</v>
      </c>
      <c r="HK9" s="5" t="s">
        <v>33</v>
      </c>
      <c r="HL9" s="6" t="s">
        <v>805</v>
      </c>
      <c r="HM9" s="6" t="s">
        <v>119</v>
      </c>
      <c r="HN9" s="5" t="s">
        <v>33</v>
      </c>
      <c r="HO9" s="6" t="s">
        <v>805</v>
      </c>
      <c r="HP9" s="6" t="s">
        <v>119</v>
      </c>
      <c r="HQ9" s="5" t="s">
        <v>33</v>
      </c>
      <c r="HR9" s="6" t="s">
        <v>805</v>
      </c>
      <c r="HS9" s="6" t="s">
        <v>119</v>
      </c>
      <c r="HT9" s="5" t="s">
        <v>33</v>
      </c>
      <c r="HU9" s="6" t="s">
        <v>805</v>
      </c>
      <c r="HV9" s="6" t="s">
        <v>119</v>
      </c>
      <c r="HW9" s="5" t="s">
        <v>33</v>
      </c>
      <c r="HX9" s="6" t="s">
        <v>805</v>
      </c>
      <c r="HY9" s="6" t="s">
        <v>119</v>
      </c>
      <c r="HZ9" s="5" t="s">
        <v>33</v>
      </c>
      <c r="IA9" s="6" t="s">
        <v>806</v>
      </c>
      <c r="IB9" s="6" t="s">
        <v>119</v>
      </c>
      <c r="IC9" s="5" t="s">
        <v>33</v>
      </c>
      <c r="ID9" s="6" t="s">
        <v>806</v>
      </c>
      <c r="IE9" s="6" t="s">
        <v>119</v>
      </c>
      <c r="IF9" s="5" t="s">
        <v>33</v>
      </c>
    </row>
    <row r="10" spans="1:240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7" t="s">
        <v>108</v>
      </c>
      <c r="B11" s="38">
        <v>1001001</v>
      </c>
      <c r="C11" s="6" t="s">
        <v>167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57"/>
      <c r="B12" s="38">
        <v>1002001</v>
      </c>
      <c r="C12" s="6" t="s">
        <v>168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51">
        <v>1002002</v>
      </c>
      <c r="C13" s="49" t="s">
        <v>169</v>
      </c>
      <c r="D13" s="49">
        <v>1</v>
      </c>
      <c r="E13" s="49">
        <v>2</v>
      </c>
      <c r="F13" s="49">
        <v>100</v>
      </c>
      <c r="G13" s="49">
        <v>2</v>
      </c>
      <c r="H13" s="49">
        <v>1</v>
      </c>
      <c r="I13" s="50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1000300010001</v>
      </c>
      <c r="C14" s="6" t="s">
        <v>1801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1000300010002</v>
      </c>
      <c r="C15" s="6" t="s">
        <v>1802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1000300010003</v>
      </c>
      <c r="C16" s="6" t="s">
        <v>1803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1000300010004</v>
      </c>
      <c r="C17" s="6" t="s">
        <v>1804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1000300010005</v>
      </c>
      <c r="C18" s="6" t="s">
        <v>1805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1000300020001</v>
      </c>
      <c r="C19" s="6" t="s">
        <v>1851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1000300020002</v>
      </c>
      <c r="C20" s="6" t="s">
        <v>1852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1000300020003</v>
      </c>
      <c r="C21" s="6" t="s">
        <v>1853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1000300020004</v>
      </c>
      <c r="C22" s="6" t="s">
        <v>1854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1000300020005</v>
      </c>
      <c r="C23" s="6" t="s">
        <v>1855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1000300030001</v>
      </c>
      <c r="C24" s="6" t="s">
        <v>1856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1000300030002</v>
      </c>
      <c r="C25" s="6" t="s">
        <v>1857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1000300030003</v>
      </c>
      <c r="C26" s="6" t="s">
        <v>1858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1000300030004</v>
      </c>
      <c r="C27" s="6" t="s">
        <v>1859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1000300030005</v>
      </c>
      <c r="C28" s="6" t="s">
        <v>1860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1000300040001</v>
      </c>
      <c r="C29" s="6" t="s">
        <v>1861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1000300040002</v>
      </c>
      <c r="C30" s="6" t="s">
        <v>1862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1000300040003</v>
      </c>
      <c r="C31" s="6" t="s">
        <v>1863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1000300040004</v>
      </c>
      <c r="C32" s="6" t="s">
        <v>1864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1000300040005</v>
      </c>
      <c r="C33" s="6" t="s">
        <v>1865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1000300050001</v>
      </c>
      <c r="C34" s="6" t="s">
        <v>1866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1000300050002</v>
      </c>
      <c r="C35" s="6" t="s">
        <v>1867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1000300050003</v>
      </c>
      <c r="C36" s="6" t="s">
        <v>1868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1000300050004</v>
      </c>
      <c r="C37" s="6" t="s">
        <v>1869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1000300050005</v>
      </c>
      <c r="C38" s="6" t="s">
        <v>1870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1000300060001</v>
      </c>
      <c r="C39" s="6" t="s">
        <v>1871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1000300060002</v>
      </c>
      <c r="C40" s="6" t="s">
        <v>1872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1000300060003</v>
      </c>
      <c r="C41" s="6" t="s">
        <v>1873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1000300060004</v>
      </c>
      <c r="C42" s="6" t="s">
        <v>1874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1000300060005</v>
      </c>
      <c r="C43" s="6" t="s">
        <v>1875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1000300070001</v>
      </c>
      <c r="C44" s="6" t="s">
        <v>1876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1000300070002</v>
      </c>
      <c r="C45" s="6" t="s">
        <v>1877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1000300070003</v>
      </c>
      <c r="C46" s="6" t="s">
        <v>1878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1000300070004</v>
      </c>
      <c r="C47" s="6" t="s">
        <v>1879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1000300070005</v>
      </c>
      <c r="C48" s="6" t="s">
        <v>1880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2001001</v>
      </c>
      <c r="C49" s="6" t="s">
        <v>170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2002001</v>
      </c>
      <c r="C50" s="6" t="s">
        <v>171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2002002</v>
      </c>
      <c r="C51" s="6" t="s">
        <v>172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2000300010001</v>
      </c>
      <c r="C52" s="6" t="s">
        <v>1796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2000300010002</v>
      </c>
      <c r="C53" s="6" t="s">
        <v>1797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2000300010003</v>
      </c>
      <c r="C54" s="6" t="s">
        <v>1798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2000300010004</v>
      </c>
      <c r="C55" s="6" t="s">
        <v>1799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2000300010005</v>
      </c>
      <c r="C56" s="6" t="s">
        <v>1800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2000300020001</v>
      </c>
      <c r="C57" s="6" t="s">
        <v>1821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2000300020002</v>
      </c>
      <c r="C58" s="6" t="s">
        <v>1822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2000300020003</v>
      </c>
      <c r="C59" s="6" t="s">
        <v>1823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2000300020004</v>
      </c>
      <c r="C60" s="6" t="s">
        <v>1824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2000300020005</v>
      </c>
      <c r="C61" s="6" t="s">
        <v>1825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2000300030001</v>
      </c>
      <c r="C62" s="6" t="s">
        <v>1826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2000300030002</v>
      </c>
      <c r="C63" s="6" t="s">
        <v>1827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2000300030003</v>
      </c>
      <c r="C64" s="6" t="s">
        <v>1828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2000300030004</v>
      </c>
      <c r="C65" s="6" t="s">
        <v>1829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2000300030005</v>
      </c>
      <c r="C66" s="6" t="s">
        <v>1830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2000300040001</v>
      </c>
      <c r="C67" s="6" t="s">
        <v>1831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2000300040002</v>
      </c>
      <c r="C68" s="6" t="s">
        <v>1832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2000300040003</v>
      </c>
      <c r="C69" s="6" t="s">
        <v>1833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2000300040004</v>
      </c>
      <c r="C70" s="6" t="s">
        <v>1834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2000300040005</v>
      </c>
      <c r="C71" s="6" t="s">
        <v>1835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2000300050001</v>
      </c>
      <c r="C72" s="6" t="s">
        <v>1836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2000300050002</v>
      </c>
      <c r="C73" s="6" t="s">
        <v>1837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2000300050003</v>
      </c>
      <c r="C74" s="6" t="s">
        <v>1838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2000300050004</v>
      </c>
      <c r="C75" s="6" t="s">
        <v>1839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2000300050005</v>
      </c>
      <c r="C76" s="6" t="s">
        <v>1840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2000300060001</v>
      </c>
      <c r="C77" s="6" t="s">
        <v>1841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2000300060002</v>
      </c>
      <c r="C78" s="6" t="s">
        <v>1842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2000300060003</v>
      </c>
      <c r="C79" s="6" t="s">
        <v>1843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2000300060004</v>
      </c>
      <c r="C80" s="6" t="s">
        <v>1844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2000300060005</v>
      </c>
      <c r="C81" s="6" t="s">
        <v>1845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2000300070001</v>
      </c>
      <c r="C82" s="6" t="s">
        <v>1846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2000300070002</v>
      </c>
      <c r="C83" s="6" t="s">
        <v>1847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2000300070003</v>
      </c>
      <c r="C84" s="6" t="s">
        <v>1848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2000300070004</v>
      </c>
      <c r="C85" s="6" t="s">
        <v>1849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2000300070005</v>
      </c>
      <c r="C86" s="6" t="s">
        <v>1850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38">
        <v>3001001</v>
      </c>
      <c r="C87" s="7" t="s">
        <v>163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15">
        <v>3001002</v>
      </c>
      <c r="C88" s="7" t="s">
        <v>164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38">
        <v>3002001</v>
      </c>
      <c r="C89" s="7" t="s">
        <v>165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15">
        <v>3002002</v>
      </c>
      <c r="C90" s="7" t="s">
        <v>166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9001001</v>
      </c>
      <c r="C91" s="7" t="s">
        <v>188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9001002</v>
      </c>
      <c r="C92" s="7" t="s">
        <v>190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9001003</v>
      </c>
      <c r="C93" s="7" t="s">
        <v>195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9001004</v>
      </c>
      <c r="C94" s="7" t="s">
        <v>189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6"/>
    </row>
    <row r="95" spans="1:213" ht="18.75" customHeight="1">
      <c r="A95" s="8"/>
      <c r="B95" s="38">
        <v>9001005</v>
      </c>
      <c r="C95" s="7" t="s">
        <v>1760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9001006</v>
      </c>
      <c r="C96" s="7" t="s">
        <v>1761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9001007</v>
      </c>
      <c r="C97" s="7" t="s">
        <v>1762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9001008</v>
      </c>
      <c r="C98" s="7" t="s">
        <v>1763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8">
        <v>4001001</v>
      </c>
      <c r="C99" s="7" t="s">
        <v>246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15">
        <v>4001002</v>
      </c>
      <c r="C100" s="7" t="s">
        <v>247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38">
        <v>4001003</v>
      </c>
      <c r="C101" s="7" t="s">
        <v>248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15">
        <v>5001001</v>
      </c>
      <c r="C102" s="7" t="s">
        <v>253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38">
        <v>5001002</v>
      </c>
      <c r="C103" s="7" t="s">
        <v>254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15">
        <v>5001003</v>
      </c>
      <c r="C104" s="7" t="s">
        <v>255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38">
        <v>6001001</v>
      </c>
      <c r="C105" s="7" t="s">
        <v>260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15">
        <v>6001002</v>
      </c>
      <c r="C106" s="7" t="s">
        <v>261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38">
        <v>6001003</v>
      </c>
      <c r="C107" s="7" t="s">
        <v>262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15">
        <v>6001004</v>
      </c>
      <c r="C108" s="7" t="s">
        <v>263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38">
        <v>6001005</v>
      </c>
      <c r="C109" s="7" t="s">
        <v>264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3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38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3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38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3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3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3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38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15"/>
      <c r="C126" s="7"/>
      <c r="D126" s="7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38"/>
      <c r="C127" s="7"/>
      <c r="D127" s="6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15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38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15"/>
      <c r="C130" s="7"/>
      <c r="D130" s="7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38"/>
      <c r="C131" s="7"/>
      <c r="D131" s="6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15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38"/>
      <c r="C133" s="7"/>
      <c r="D133" s="7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15"/>
      <c r="C134" s="7"/>
      <c r="D134" s="6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38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15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38"/>
      <c r="C137" s="7"/>
      <c r="D137" s="7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15"/>
      <c r="C138" s="7"/>
      <c r="D138" s="6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38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15"/>
      <c r="C140" s="7"/>
      <c r="D140" s="7"/>
      <c r="E140" s="7"/>
      <c r="AL140" s="36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6"/>
    </row>
    <row r="141" spans="2:64" ht="18.75" customHeight="1">
      <c r="B141" s="38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8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8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8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8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8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8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8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8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8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8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8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8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8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8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8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8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8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8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8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8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8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spans="2:2" ht="18.75" customHeight="1">
      <c r="B321" s="45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6" t="s">
        <v>0</v>
      </c>
      <c r="B2" s="7" t="s">
        <v>121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6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122</v>
      </c>
      <c r="H6" s="3" t="s">
        <v>29</v>
      </c>
      <c r="I6" s="3" t="s">
        <v>30</v>
      </c>
      <c r="J6" s="3" t="s">
        <v>32</v>
      </c>
      <c r="K6" s="3" t="s">
        <v>122</v>
      </c>
      <c r="L6" s="3" t="s">
        <v>29</v>
      </c>
      <c r="M6" s="3" t="s">
        <v>30</v>
      </c>
      <c r="N6" s="3" t="s">
        <v>32</v>
      </c>
      <c r="O6" s="3" t="s">
        <v>122</v>
      </c>
      <c r="P6" s="3" t="s">
        <v>29</v>
      </c>
      <c r="Q6" s="3" t="s">
        <v>30</v>
      </c>
      <c r="R6" s="3" t="s">
        <v>32</v>
      </c>
      <c r="S6" s="3" t="s">
        <v>122</v>
      </c>
      <c r="T6" s="3" t="s">
        <v>29</v>
      </c>
      <c r="U6" s="3" t="s">
        <v>30</v>
      </c>
      <c r="V6" s="3" t="s">
        <v>32</v>
      </c>
      <c r="W6" s="3" t="s">
        <v>122</v>
      </c>
      <c r="X6" s="3" t="s">
        <v>29</v>
      </c>
      <c r="Y6" s="3" t="s">
        <v>30</v>
      </c>
      <c r="Z6" s="3" t="s">
        <v>32</v>
      </c>
      <c r="AA6" s="3" t="s">
        <v>122</v>
      </c>
      <c r="AB6" s="3" t="s">
        <v>29</v>
      </c>
      <c r="AC6" s="3" t="s">
        <v>30</v>
      </c>
      <c r="AD6" s="3" t="s">
        <v>32</v>
      </c>
      <c r="AE6" s="3" t="s">
        <v>122</v>
      </c>
      <c r="AF6" s="3" t="s">
        <v>29</v>
      </c>
      <c r="AG6" s="3" t="s">
        <v>30</v>
      </c>
      <c r="AH6" s="3" t="s">
        <v>32</v>
      </c>
      <c r="AI6" s="3" t="s">
        <v>122</v>
      </c>
      <c r="AJ6" s="3" t="s">
        <v>29</v>
      </c>
      <c r="AK6" s="3" t="s">
        <v>30</v>
      </c>
      <c r="AL6" s="3" t="s">
        <v>32</v>
      </c>
      <c r="AM6" s="3" t="s">
        <v>122</v>
      </c>
      <c r="AN6" s="3" t="s">
        <v>29</v>
      </c>
      <c r="AO6" s="3" t="s">
        <v>30</v>
      </c>
      <c r="AP6" s="3" t="s">
        <v>32</v>
      </c>
      <c r="AQ6" s="3" t="s">
        <v>122</v>
      </c>
      <c r="AR6" s="3" t="s">
        <v>29</v>
      </c>
      <c r="AS6" s="3" t="s">
        <v>30</v>
      </c>
      <c r="AT6" s="3" t="s">
        <v>32</v>
      </c>
      <c r="AU6" s="3" t="s">
        <v>122</v>
      </c>
      <c r="AV6" s="3" t="s">
        <v>29</v>
      </c>
      <c r="AW6" s="3" t="s">
        <v>30</v>
      </c>
      <c r="AX6" s="3" t="s">
        <v>32</v>
      </c>
      <c r="AY6" s="3" t="s">
        <v>122</v>
      </c>
      <c r="AZ6" s="3" t="s">
        <v>29</v>
      </c>
      <c r="BA6" s="3" t="s">
        <v>30</v>
      </c>
      <c r="BB6" s="3" t="s">
        <v>32</v>
      </c>
      <c r="BC6" s="3" t="s">
        <v>122</v>
      </c>
      <c r="BD6" s="3" t="s">
        <v>29</v>
      </c>
      <c r="BE6" s="3" t="s">
        <v>30</v>
      </c>
      <c r="BF6" s="3" t="s">
        <v>32</v>
      </c>
      <c r="BG6" s="3" t="s">
        <v>122</v>
      </c>
      <c r="BH6" s="3" t="s">
        <v>29</v>
      </c>
      <c r="BI6" s="3" t="s">
        <v>30</v>
      </c>
      <c r="BJ6" s="3" t="s">
        <v>32</v>
      </c>
      <c r="BK6" s="3" t="s">
        <v>122</v>
      </c>
      <c r="BL6" s="3" t="s">
        <v>29</v>
      </c>
      <c r="BM6" s="3" t="s">
        <v>30</v>
      </c>
      <c r="BN6" s="3" t="s">
        <v>32</v>
      </c>
      <c r="BO6" s="3" t="s">
        <v>122</v>
      </c>
      <c r="BP6" s="3" t="s">
        <v>29</v>
      </c>
      <c r="BQ6" s="3" t="s">
        <v>30</v>
      </c>
      <c r="BR6" s="3" t="s">
        <v>32</v>
      </c>
      <c r="BS6" s="3" t="s">
        <v>122</v>
      </c>
      <c r="BT6" s="3" t="s">
        <v>29</v>
      </c>
      <c r="BU6" s="3" t="s">
        <v>30</v>
      </c>
      <c r="BV6" s="3" t="s">
        <v>32</v>
      </c>
      <c r="BW6" s="3" t="s">
        <v>122</v>
      </c>
      <c r="BX6" s="3" t="s">
        <v>29</v>
      </c>
      <c r="BY6" s="3" t="s">
        <v>30</v>
      </c>
      <c r="BZ6" s="3" t="s">
        <v>32</v>
      </c>
      <c r="CA6" s="3" t="s">
        <v>122</v>
      </c>
      <c r="CB6" s="3" t="s">
        <v>29</v>
      </c>
      <c r="CC6" s="3" t="s">
        <v>30</v>
      </c>
      <c r="CD6" s="3" t="s">
        <v>32</v>
      </c>
      <c r="CE6" s="3" t="s">
        <v>122</v>
      </c>
      <c r="CF6" s="3" t="s">
        <v>29</v>
      </c>
      <c r="CG6" s="3" t="s">
        <v>30</v>
      </c>
      <c r="CH6" s="3" t="s">
        <v>32</v>
      </c>
      <c r="CI6" s="3" t="s">
        <v>122</v>
      </c>
      <c r="CJ6" s="3" t="s">
        <v>29</v>
      </c>
      <c r="CK6" s="3" t="s">
        <v>30</v>
      </c>
      <c r="CL6" s="3" t="s">
        <v>32</v>
      </c>
      <c r="CM6" s="3" t="s">
        <v>122</v>
      </c>
      <c r="CN6" s="3" t="s">
        <v>29</v>
      </c>
      <c r="CO6" s="3" t="s">
        <v>30</v>
      </c>
      <c r="CP6" s="3" t="s">
        <v>32</v>
      </c>
      <c r="CQ6" s="3" t="s">
        <v>122</v>
      </c>
      <c r="CR6" s="3" t="s">
        <v>29</v>
      </c>
      <c r="CS6" s="3" t="s">
        <v>30</v>
      </c>
      <c r="CT6" s="3" t="s">
        <v>32</v>
      </c>
      <c r="CU6" s="3" t="s">
        <v>122</v>
      </c>
    </row>
    <row r="7" spans="1:115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5" t="s">
        <v>123</v>
      </c>
      <c r="H9" s="6" t="s">
        <v>124</v>
      </c>
      <c r="I9" s="6" t="s">
        <v>119</v>
      </c>
      <c r="J9" s="5" t="s">
        <v>33</v>
      </c>
      <c r="K9" s="5" t="s">
        <v>123</v>
      </c>
      <c r="L9" s="6" t="s">
        <v>124</v>
      </c>
      <c r="M9" s="6" t="s">
        <v>119</v>
      </c>
      <c r="N9" s="5" t="s">
        <v>33</v>
      </c>
      <c r="O9" s="5" t="s">
        <v>123</v>
      </c>
      <c r="P9" s="6" t="s">
        <v>124</v>
      </c>
      <c r="Q9" s="6" t="s">
        <v>119</v>
      </c>
      <c r="R9" s="5" t="s">
        <v>33</v>
      </c>
      <c r="S9" s="5" t="s">
        <v>123</v>
      </c>
      <c r="T9" s="6" t="s">
        <v>124</v>
      </c>
      <c r="U9" s="6" t="s">
        <v>119</v>
      </c>
      <c r="V9" s="5" t="s">
        <v>33</v>
      </c>
      <c r="W9" s="5" t="s">
        <v>123</v>
      </c>
      <c r="X9" s="6" t="s">
        <v>124</v>
      </c>
      <c r="Y9" s="6" t="s">
        <v>119</v>
      </c>
      <c r="Z9" s="5" t="s">
        <v>33</v>
      </c>
      <c r="AA9" s="5" t="s">
        <v>123</v>
      </c>
      <c r="AB9" s="6" t="s">
        <v>124</v>
      </c>
      <c r="AC9" s="6" t="s">
        <v>119</v>
      </c>
      <c r="AD9" s="5" t="s">
        <v>33</v>
      </c>
      <c r="AE9" s="5" t="s">
        <v>123</v>
      </c>
      <c r="AF9" s="6" t="s">
        <v>124</v>
      </c>
      <c r="AG9" s="6" t="s">
        <v>119</v>
      </c>
      <c r="AH9" s="5" t="s">
        <v>33</v>
      </c>
      <c r="AI9" s="5" t="s">
        <v>123</v>
      </c>
      <c r="AJ9" s="6" t="s">
        <v>124</v>
      </c>
      <c r="AK9" s="6" t="s">
        <v>119</v>
      </c>
      <c r="AL9" s="5" t="s">
        <v>33</v>
      </c>
      <c r="AM9" s="5" t="s">
        <v>123</v>
      </c>
      <c r="AN9" s="6" t="s">
        <v>124</v>
      </c>
      <c r="AO9" s="6" t="s">
        <v>119</v>
      </c>
      <c r="AP9" s="5" t="s">
        <v>33</v>
      </c>
      <c r="AQ9" s="5" t="s">
        <v>123</v>
      </c>
      <c r="AR9" s="6" t="s">
        <v>124</v>
      </c>
      <c r="AS9" s="6" t="s">
        <v>119</v>
      </c>
      <c r="AT9" s="5" t="s">
        <v>33</v>
      </c>
      <c r="AU9" s="5" t="s">
        <v>123</v>
      </c>
      <c r="AV9" s="6" t="s">
        <v>124</v>
      </c>
      <c r="AW9" s="6" t="s">
        <v>119</v>
      </c>
      <c r="AX9" s="5" t="s">
        <v>33</v>
      </c>
      <c r="AY9" s="5" t="s">
        <v>123</v>
      </c>
      <c r="AZ9" s="6" t="s">
        <v>124</v>
      </c>
      <c r="BA9" s="6" t="s">
        <v>119</v>
      </c>
      <c r="BB9" s="5" t="s">
        <v>33</v>
      </c>
      <c r="BC9" s="5" t="s">
        <v>123</v>
      </c>
      <c r="BD9" s="6" t="s">
        <v>124</v>
      </c>
      <c r="BE9" s="6" t="s">
        <v>119</v>
      </c>
      <c r="BF9" s="5" t="s">
        <v>33</v>
      </c>
      <c r="BG9" s="5" t="s">
        <v>123</v>
      </c>
      <c r="BH9" s="6" t="s">
        <v>124</v>
      </c>
      <c r="BI9" s="6" t="s">
        <v>119</v>
      </c>
      <c r="BJ9" s="5" t="s">
        <v>33</v>
      </c>
      <c r="BK9" s="5" t="s">
        <v>123</v>
      </c>
      <c r="BL9" s="6" t="s">
        <v>124</v>
      </c>
      <c r="BM9" s="6" t="s">
        <v>119</v>
      </c>
      <c r="BN9" s="5" t="s">
        <v>33</v>
      </c>
      <c r="BO9" s="5" t="s">
        <v>123</v>
      </c>
      <c r="BP9" s="6" t="s">
        <v>124</v>
      </c>
      <c r="BQ9" s="6" t="s">
        <v>119</v>
      </c>
      <c r="BR9" s="5" t="s">
        <v>33</v>
      </c>
      <c r="BS9" s="5" t="s">
        <v>123</v>
      </c>
      <c r="BT9" s="6" t="s">
        <v>124</v>
      </c>
      <c r="BU9" s="6" t="s">
        <v>119</v>
      </c>
      <c r="BV9" s="5" t="s">
        <v>33</v>
      </c>
      <c r="BW9" s="5" t="s">
        <v>123</v>
      </c>
      <c r="BX9" s="6" t="s">
        <v>124</v>
      </c>
      <c r="BY9" s="6" t="s">
        <v>119</v>
      </c>
      <c r="BZ9" s="5" t="s">
        <v>33</v>
      </c>
      <c r="CA9" s="5" t="s">
        <v>123</v>
      </c>
      <c r="CB9" s="6" t="s">
        <v>124</v>
      </c>
      <c r="CC9" s="6" t="s">
        <v>119</v>
      </c>
      <c r="CD9" s="5" t="s">
        <v>33</v>
      </c>
      <c r="CE9" s="5" t="s">
        <v>123</v>
      </c>
      <c r="CF9" s="6" t="s">
        <v>159</v>
      </c>
      <c r="CG9" s="6" t="s">
        <v>119</v>
      </c>
      <c r="CH9" s="5" t="s">
        <v>33</v>
      </c>
      <c r="CI9" s="5" t="s">
        <v>123</v>
      </c>
      <c r="CJ9" s="6" t="s">
        <v>159</v>
      </c>
      <c r="CK9" s="6" t="s">
        <v>119</v>
      </c>
      <c r="CL9" s="5" t="s">
        <v>33</v>
      </c>
      <c r="CM9" s="5" t="s">
        <v>123</v>
      </c>
      <c r="CN9" s="6" t="s">
        <v>124</v>
      </c>
      <c r="CO9" s="6" t="s">
        <v>119</v>
      </c>
      <c r="CP9" s="5" t="s">
        <v>33</v>
      </c>
      <c r="CQ9" s="5" t="s">
        <v>123</v>
      </c>
      <c r="CR9" s="6" t="s">
        <v>124</v>
      </c>
      <c r="CS9" s="6" t="s">
        <v>119</v>
      </c>
      <c r="CT9" s="5" t="s">
        <v>33</v>
      </c>
      <c r="CU9" s="5" t="s">
        <v>123</v>
      </c>
    </row>
    <row r="10" spans="1:115" ht="68.099999999999994" customHeight="1">
      <c r="A10" s="56" t="s">
        <v>12</v>
      </c>
      <c r="B10" s="6" t="s">
        <v>152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7" t="s">
        <v>108</v>
      </c>
      <c r="B11" s="5">
        <v>1001001</v>
      </c>
      <c r="C11" s="6" t="s">
        <v>153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7"/>
      <c r="B12" s="5">
        <v>1002001</v>
      </c>
      <c r="C12" s="6" t="s">
        <v>154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8">
        <v>1002002</v>
      </c>
      <c r="C13" s="49" t="s">
        <v>155</v>
      </c>
      <c r="D13" s="49">
        <v>2</v>
      </c>
      <c r="E13" s="49">
        <v>1</v>
      </c>
      <c r="F13" s="49">
        <v>1</v>
      </c>
      <c r="G13" s="49">
        <v>1</v>
      </c>
      <c r="H13" s="49">
        <v>2</v>
      </c>
      <c r="I13" s="49">
        <v>2</v>
      </c>
      <c r="J13" s="50">
        <v>1</v>
      </c>
      <c r="K13" s="49">
        <v>1</v>
      </c>
      <c r="L13" s="7">
        <v>2</v>
      </c>
      <c r="M13" s="7">
        <v>3</v>
      </c>
      <c r="N13" s="7">
        <v>1</v>
      </c>
      <c r="O13" s="49">
        <v>1</v>
      </c>
      <c r="P13" s="7"/>
      <c r="Q13" s="7"/>
      <c r="R13" s="7"/>
      <c r="S13" s="7"/>
      <c r="T13" s="7"/>
      <c r="U13" s="7"/>
      <c r="V13" s="49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157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156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158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162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160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161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C26" sqref="C26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43</v>
      </c>
      <c r="D9" s="6" t="s">
        <v>1792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10001</v>
      </c>
      <c r="C11" s="7" t="s">
        <v>45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1974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1975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1976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1977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1978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1979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1980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1981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1982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1990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1994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1995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1996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1997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1793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1794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1886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1892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1898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1904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1910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CS1017"/>
  <sheetViews>
    <sheetView tabSelected="1" topLeftCell="B4" workbookViewId="0">
      <pane xSplit="3" ySplit="7" topLeftCell="E62" activePane="bottomRight" state="frozen"/>
      <selection activeCell="B4" sqref="B4"/>
      <selection pane="topRight" activeCell="E4" sqref="E4"/>
      <selection pane="bottomLeft" activeCell="B11" sqref="B11"/>
      <selection pane="bottomRight" activeCell="F73" sqref="F73"/>
    </sheetView>
  </sheetViews>
  <sheetFormatPr defaultColWidth="12.625" defaultRowHeight="15" customHeight="1"/>
  <cols>
    <col min="1" max="1" width="7.625" style="37" customWidth="1"/>
    <col min="2" max="2" width="10.25" style="45" customWidth="1"/>
    <col min="3" max="3" width="10.25" style="37" customWidth="1"/>
    <col min="4" max="4" width="29.875" style="37" customWidth="1"/>
    <col min="5" max="6" width="15.375" style="37" customWidth="1"/>
    <col min="7" max="8" width="15.125" style="37" customWidth="1"/>
    <col min="9" max="58" width="10.375" style="45" customWidth="1"/>
    <col min="59" max="59" width="33.875" style="37" customWidth="1"/>
    <col min="60" max="61" width="18.625" style="37" customWidth="1"/>
    <col min="62" max="62" width="31.75" style="37" customWidth="1"/>
    <col min="63" max="63" width="18.375" style="37" customWidth="1"/>
    <col min="64" max="64" width="18.625" style="37" customWidth="1"/>
    <col min="65" max="65" width="32" style="37" customWidth="1"/>
    <col min="66" max="66" width="18.375" style="37" customWidth="1"/>
    <col min="67" max="67" width="18.625" style="37" customWidth="1"/>
    <col min="68" max="68" width="34.625" style="37" customWidth="1"/>
    <col min="69" max="69" width="18.375" style="37" customWidth="1"/>
    <col min="70" max="70" width="18.625" style="37" customWidth="1"/>
    <col min="71" max="71" width="31.5" style="37" customWidth="1"/>
    <col min="72" max="73" width="12.625" style="37" customWidth="1"/>
    <col min="74" max="76" width="15.375" style="45" customWidth="1"/>
    <col min="77" max="77" width="15.5" style="45" customWidth="1"/>
    <col min="78" max="81" width="12.625" style="37" customWidth="1"/>
    <col min="82" max="82" width="15.5" style="45" customWidth="1"/>
    <col min="83" max="97" width="12.625" style="37" customWidth="1"/>
    <col min="98" max="16384" width="12.625" style="37"/>
  </cols>
  <sheetData>
    <row r="1" spans="1:97" ht="12" customHeight="1"/>
    <row r="2" spans="1:97" ht="40.5" customHeight="1">
      <c r="A2" s="56" t="s">
        <v>0</v>
      </c>
      <c r="B2" s="15" t="s">
        <v>46</v>
      </c>
      <c r="C2" s="13"/>
    </row>
    <row r="3" spans="1:97" ht="18.75" customHeight="1">
      <c r="A3" s="1"/>
      <c r="B3" s="46" t="s">
        <v>1</v>
      </c>
      <c r="C3" s="1"/>
      <c r="D3" s="1"/>
      <c r="E3" s="1"/>
      <c r="F3" s="1"/>
      <c r="G3" s="2"/>
      <c r="H3" s="2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39"/>
      <c r="BW3" s="39"/>
      <c r="BX3" s="39"/>
      <c r="BY3" s="39"/>
      <c r="BZ3" s="2"/>
      <c r="CA3" s="2"/>
      <c r="CB3" s="2"/>
      <c r="CC3" s="2"/>
      <c r="CD3" s="39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</row>
    <row r="4" spans="1:97" ht="18.75" customHeight="1">
      <c r="A4" s="56" t="s">
        <v>2</v>
      </c>
      <c r="B4" s="40" t="s">
        <v>3</v>
      </c>
      <c r="C4" s="3" t="s">
        <v>47</v>
      </c>
      <c r="D4" s="3" t="s">
        <v>15</v>
      </c>
      <c r="E4" s="3" t="s">
        <v>1984</v>
      </c>
      <c r="F4" s="3" t="s">
        <v>1987</v>
      </c>
      <c r="G4" s="3" t="s">
        <v>232</v>
      </c>
      <c r="H4" s="3" t="s">
        <v>1295</v>
      </c>
      <c r="I4" s="40" t="s">
        <v>1964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3" t="s">
        <v>182</v>
      </c>
      <c r="BH4" s="3"/>
      <c r="BI4" s="3"/>
      <c r="BJ4" s="3"/>
      <c r="BK4" s="3"/>
      <c r="BL4" s="3"/>
      <c r="BM4" s="3" t="s">
        <v>185</v>
      </c>
      <c r="BN4" s="3"/>
      <c r="BO4" s="3"/>
      <c r="BP4" s="3"/>
      <c r="BQ4" s="3"/>
      <c r="BR4" s="3"/>
      <c r="BS4" s="3"/>
      <c r="BT4" s="3"/>
      <c r="BU4" s="3"/>
      <c r="BV4" s="40" t="s">
        <v>1965</v>
      </c>
      <c r="BW4" s="40"/>
      <c r="BX4" s="40"/>
      <c r="BY4" s="40" t="s">
        <v>1966</v>
      </c>
      <c r="BZ4" s="3"/>
      <c r="CA4" s="3"/>
      <c r="CB4" s="3"/>
      <c r="CC4" s="3"/>
      <c r="CD4" s="40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</row>
    <row r="5" spans="1:97" ht="18.75" customHeight="1">
      <c r="A5" s="56" t="s">
        <v>4</v>
      </c>
      <c r="B5" s="40"/>
      <c r="C5" s="3"/>
      <c r="D5" s="3"/>
      <c r="E5" s="3"/>
      <c r="F5" s="3"/>
      <c r="G5" s="3"/>
      <c r="H5" s="3"/>
      <c r="I5" s="40">
        <v>1</v>
      </c>
      <c r="J5" s="40"/>
      <c r="K5" s="40"/>
      <c r="L5" s="40"/>
      <c r="M5" s="40"/>
      <c r="N5" s="40"/>
      <c r="O5" s="40"/>
      <c r="P5" s="40"/>
      <c r="Q5" s="40"/>
      <c r="R5" s="40"/>
      <c r="S5" s="40">
        <v>2</v>
      </c>
      <c r="T5" s="40"/>
      <c r="U5" s="40"/>
      <c r="V5" s="40"/>
      <c r="W5" s="40"/>
      <c r="X5" s="40"/>
      <c r="Y5" s="40"/>
      <c r="Z5" s="40"/>
      <c r="AA5" s="40"/>
      <c r="AB5" s="40"/>
      <c r="AC5" s="40">
        <v>3</v>
      </c>
      <c r="AD5" s="40"/>
      <c r="AE5" s="40"/>
      <c r="AF5" s="40"/>
      <c r="AG5" s="40"/>
      <c r="AH5" s="40"/>
      <c r="AI5" s="40"/>
      <c r="AJ5" s="40"/>
      <c r="AK5" s="40"/>
      <c r="AL5" s="40"/>
      <c r="AM5" s="40">
        <v>4</v>
      </c>
      <c r="AN5" s="40"/>
      <c r="AO5" s="40"/>
      <c r="AP5" s="40"/>
      <c r="AQ5" s="40"/>
      <c r="AR5" s="40"/>
      <c r="AS5" s="40"/>
      <c r="AT5" s="40"/>
      <c r="AU5" s="40"/>
      <c r="AV5" s="40"/>
      <c r="AW5" s="40">
        <v>5</v>
      </c>
      <c r="AX5" s="40"/>
      <c r="AY5" s="40"/>
      <c r="AZ5" s="40"/>
      <c r="BA5" s="40"/>
      <c r="BB5" s="40"/>
      <c r="BC5" s="40"/>
      <c r="BD5" s="40"/>
      <c r="BE5" s="40"/>
      <c r="BF5" s="40"/>
      <c r="BG5" s="3">
        <v>1</v>
      </c>
      <c r="BH5" s="3"/>
      <c r="BI5" s="3"/>
      <c r="BJ5" s="3">
        <v>2</v>
      </c>
      <c r="BK5" s="3"/>
      <c r="BL5" s="3"/>
      <c r="BM5" s="3">
        <v>1</v>
      </c>
      <c r="BN5" s="3"/>
      <c r="BO5" s="3"/>
      <c r="BP5" s="3">
        <v>2</v>
      </c>
      <c r="BQ5" s="3"/>
      <c r="BR5" s="3"/>
      <c r="BS5" s="3">
        <v>3</v>
      </c>
      <c r="BT5" s="3"/>
      <c r="BU5" s="3"/>
      <c r="BV5" s="40">
        <v>1</v>
      </c>
      <c r="BW5" s="40"/>
      <c r="BX5" s="40"/>
      <c r="BY5" s="40">
        <v>1</v>
      </c>
      <c r="BZ5" s="3"/>
      <c r="CA5" s="3"/>
      <c r="CB5" s="3"/>
      <c r="CC5" s="3"/>
      <c r="CD5" s="40">
        <v>2</v>
      </c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</row>
    <row r="6" spans="1:97" ht="18.75" customHeight="1">
      <c r="A6" s="56" t="s">
        <v>5</v>
      </c>
      <c r="B6" s="40"/>
      <c r="C6" s="3"/>
      <c r="D6" s="3"/>
      <c r="E6" s="3"/>
      <c r="F6" s="3"/>
      <c r="G6" s="3"/>
      <c r="H6" s="3"/>
      <c r="I6" s="40">
        <v>1</v>
      </c>
      <c r="J6" s="40"/>
      <c r="K6" s="40">
        <v>2</v>
      </c>
      <c r="L6" s="40"/>
      <c r="M6" s="40">
        <v>3</v>
      </c>
      <c r="N6" s="40"/>
      <c r="O6" s="40">
        <v>4</v>
      </c>
      <c r="P6" s="40"/>
      <c r="Q6" s="40">
        <v>5</v>
      </c>
      <c r="R6" s="40"/>
      <c r="S6" s="40">
        <v>1</v>
      </c>
      <c r="T6" s="40"/>
      <c r="U6" s="40">
        <v>2</v>
      </c>
      <c r="V6" s="40"/>
      <c r="W6" s="40">
        <v>3</v>
      </c>
      <c r="X6" s="40"/>
      <c r="Y6" s="40">
        <v>4</v>
      </c>
      <c r="Z6" s="40"/>
      <c r="AA6" s="40">
        <v>5</v>
      </c>
      <c r="AB6" s="40"/>
      <c r="AC6" s="40">
        <v>1</v>
      </c>
      <c r="AD6" s="40"/>
      <c r="AE6" s="40">
        <v>2</v>
      </c>
      <c r="AF6" s="40"/>
      <c r="AG6" s="40">
        <v>3</v>
      </c>
      <c r="AH6" s="40"/>
      <c r="AI6" s="40">
        <v>4</v>
      </c>
      <c r="AJ6" s="40"/>
      <c r="AK6" s="40">
        <v>5</v>
      </c>
      <c r="AL6" s="40"/>
      <c r="AM6" s="40">
        <v>1</v>
      </c>
      <c r="AN6" s="40"/>
      <c r="AO6" s="40">
        <v>2</v>
      </c>
      <c r="AP6" s="40"/>
      <c r="AQ6" s="40">
        <v>3</v>
      </c>
      <c r="AR6" s="40"/>
      <c r="AS6" s="40">
        <v>4</v>
      </c>
      <c r="AT6" s="40"/>
      <c r="AU6" s="40">
        <v>5</v>
      </c>
      <c r="AV6" s="40"/>
      <c r="AW6" s="40">
        <v>1</v>
      </c>
      <c r="AX6" s="40"/>
      <c r="AY6" s="40">
        <v>2</v>
      </c>
      <c r="AZ6" s="40"/>
      <c r="BA6" s="40">
        <v>3</v>
      </c>
      <c r="BB6" s="40"/>
      <c r="BC6" s="40">
        <v>4</v>
      </c>
      <c r="BD6" s="40"/>
      <c r="BE6" s="40">
        <v>5</v>
      </c>
      <c r="BF6" s="40"/>
      <c r="BG6" s="3" t="s">
        <v>183</v>
      </c>
      <c r="BH6" s="3" t="s">
        <v>184</v>
      </c>
      <c r="BI6" s="3" t="s">
        <v>224</v>
      </c>
      <c r="BJ6" s="3" t="s">
        <v>183</v>
      </c>
      <c r="BK6" s="3" t="s">
        <v>184</v>
      </c>
      <c r="BL6" s="3" t="s">
        <v>224</v>
      </c>
      <c r="BM6" s="3" t="s">
        <v>183</v>
      </c>
      <c r="BN6" s="3" t="s">
        <v>184</v>
      </c>
      <c r="BO6" s="3" t="s">
        <v>224</v>
      </c>
      <c r="BP6" s="3" t="s">
        <v>183</v>
      </c>
      <c r="BQ6" s="3" t="s">
        <v>184</v>
      </c>
      <c r="BR6" s="3" t="s">
        <v>224</v>
      </c>
      <c r="BS6" s="3" t="s">
        <v>183</v>
      </c>
      <c r="BT6" s="3" t="s">
        <v>184</v>
      </c>
      <c r="BU6" s="3" t="s">
        <v>224</v>
      </c>
      <c r="BV6" s="3" t="s">
        <v>29</v>
      </c>
      <c r="BW6" s="3" t="s">
        <v>30</v>
      </c>
      <c r="BX6" s="3" t="s">
        <v>32</v>
      </c>
      <c r="BY6" s="3" t="s">
        <v>29</v>
      </c>
      <c r="BZ6" s="3" t="s">
        <v>30</v>
      </c>
      <c r="CA6" s="3" t="s">
        <v>32</v>
      </c>
      <c r="CB6" s="3" t="s">
        <v>1968</v>
      </c>
      <c r="CC6" s="3" t="s">
        <v>1972</v>
      </c>
      <c r="CD6" s="3" t="s">
        <v>29</v>
      </c>
      <c r="CE6" s="3" t="s">
        <v>30</v>
      </c>
      <c r="CF6" s="3" t="s">
        <v>32</v>
      </c>
      <c r="CG6" s="3" t="s">
        <v>1968</v>
      </c>
      <c r="CH6" s="3" t="s">
        <v>1972</v>
      </c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</row>
    <row r="7" spans="1:97" ht="18.75" customHeight="1">
      <c r="A7" s="56" t="s">
        <v>1958</v>
      </c>
      <c r="B7" s="40"/>
      <c r="C7" s="3"/>
      <c r="D7" s="3"/>
      <c r="E7" s="3"/>
      <c r="F7" s="3"/>
      <c r="G7" s="3"/>
      <c r="H7" s="3"/>
      <c r="I7" s="40" t="s">
        <v>1959</v>
      </c>
      <c r="J7" s="40" t="s">
        <v>1960</v>
      </c>
      <c r="K7" s="40" t="s">
        <v>1959</v>
      </c>
      <c r="L7" s="40" t="s">
        <v>1960</v>
      </c>
      <c r="M7" s="40" t="s">
        <v>1959</v>
      </c>
      <c r="N7" s="40" t="s">
        <v>1960</v>
      </c>
      <c r="O7" s="40" t="s">
        <v>1959</v>
      </c>
      <c r="P7" s="40" t="s">
        <v>1960</v>
      </c>
      <c r="Q7" s="40" t="s">
        <v>1959</v>
      </c>
      <c r="R7" s="40" t="s">
        <v>1960</v>
      </c>
      <c r="S7" s="40" t="s">
        <v>1959</v>
      </c>
      <c r="T7" s="40" t="s">
        <v>1960</v>
      </c>
      <c r="U7" s="40" t="s">
        <v>1959</v>
      </c>
      <c r="V7" s="40" t="s">
        <v>1960</v>
      </c>
      <c r="W7" s="40" t="s">
        <v>1959</v>
      </c>
      <c r="X7" s="40" t="s">
        <v>1960</v>
      </c>
      <c r="Y7" s="40" t="s">
        <v>1959</v>
      </c>
      <c r="Z7" s="40" t="s">
        <v>1960</v>
      </c>
      <c r="AA7" s="40" t="s">
        <v>1959</v>
      </c>
      <c r="AB7" s="40" t="s">
        <v>1960</v>
      </c>
      <c r="AC7" s="40" t="s">
        <v>1959</v>
      </c>
      <c r="AD7" s="40" t="s">
        <v>1960</v>
      </c>
      <c r="AE7" s="40" t="s">
        <v>1959</v>
      </c>
      <c r="AF7" s="40" t="s">
        <v>1960</v>
      </c>
      <c r="AG7" s="40" t="s">
        <v>1959</v>
      </c>
      <c r="AH7" s="40" t="s">
        <v>1960</v>
      </c>
      <c r="AI7" s="40" t="s">
        <v>1959</v>
      </c>
      <c r="AJ7" s="40" t="s">
        <v>1960</v>
      </c>
      <c r="AK7" s="40" t="s">
        <v>1959</v>
      </c>
      <c r="AL7" s="40" t="s">
        <v>1960</v>
      </c>
      <c r="AM7" s="40" t="s">
        <v>126</v>
      </c>
      <c r="AN7" s="40" t="s">
        <v>98</v>
      </c>
      <c r="AO7" s="40" t="s">
        <v>126</v>
      </c>
      <c r="AP7" s="40" t="s">
        <v>98</v>
      </c>
      <c r="AQ7" s="40" t="s">
        <v>126</v>
      </c>
      <c r="AR7" s="40" t="s">
        <v>98</v>
      </c>
      <c r="AS7" s="40" t="s">
        <v>126</v>
      </c>
      <c r="AT7" s="40" t="s">
        <v>98</v>
      </c>
      <c r="AU7" s="40" t="s">
        <v>126</v>
      </c>
      <c r="AV7" s="40" t="s">
        <v>98</v>
      </c>
      <c r="AW7" s="40" t="s">
        <v>126</v>
      </c>
      <c r="AX7" s="40" t="s">
        <v>98</v>
      </c>
      <c r="AY7" s="40" t="s">
        <v>126</v>
      </c>
      <c r="AZ7" s="40" t="s">
        <v>98</v>
      </c>
      <c r="BA7" s="40" t="s">
        <v>126</v>
      </c>
      <c r="BB7" s="40" t="s">
        <v>98</v>
      </c>
      <c r="BC7" s="40" t="s">
        <v>126</v>
      </c>
      <c r="BD7" s="40" t="s">
        <v>98</v>
      </c>
      <c r="BE7" s="40" t="s">
        <v>126</v>
      </c>
      <c r="BF7" s="40" t="s">
        <v>98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40"/>
      <c r="BZ7" s="3"/>
      <c r="CA7" s="3"/>
      <c r="CB7" s="3"/>
      <c r="CC7" s="3"/>
      <c r="CD7" s="40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</row>
    <row r="8" spans="1:97" ht="18.75" customHeight="1">
      <c r="A8" s="56" t="s">
        <v>6</v>
      </c>
      <c r="B8" s="41" t="s">
        <v>7</v>
      </c>
      <c r="C8" s="4" t="s">
        <v>20</v>
      </c>
      <c r="D8" s="4" t="s">
        <v>8</v>
      </c>
      <c r="E8" s="4" t="s">
        <v>1971</v>
      </c>
      <c r="F8" s="4" t="s">
        <v>1988</v>
      </c>
      <c r="G8" s="4" t="s">
        <v>20</v>
      </c>
      <c r="H8" s="4" t="s">
        <v>20</v>
      </c>
      <c r="I8" s="41" t="s">
        <v>20</v>
      </c>
      <c r="J8" s="41" t="s">
        <v>7</v>
      </c>
      <c r="K8" s="41" t="s">
        <v>7</v>
      </c>
      <c r="L8" s="41" t="s">
        <v>7</v>
      </c>
      <c r="M8" s="41" t="s">
        <v>7</v>
      </c>
      <c r="N8" s="41" t="s">
        <v>7</v>
      </c>
      <c r="O8" s="41" t="s">
        <v>7</v>
      </c>
      <c r="P8" s="41" t="s">
        <v>7</v>
      </c>
      <c r="Q8" s="41" t="s">
        <v>7</v>
      </c>
      <c r="R8" s="41" t="s">
        <v>7</v>
      </c>
      <c r="S8" s="41" t="s">
        <v>20</v>
      </c>
      <c r="T8" s="41" t="s">
        <v>7</v>
      </c>
      <c r="U8" s="41" t="s">
        <v>7</v>
      </c>
      <c r="V8" s="41" t="s">
        <v>7</v>
      </c>
      <c r="W8" s="41" t="s">
        <v>7</v>
      </c>
      <c r="X8" s="41" t="s">
        <v>7</v>
      </c>
      <c r="Y8" s="41" t="s">
        <v>7</v>
      </c>
      <c r="Z8" s="41" t="s">
        <v>7</v>
      </c>
      <c r="AA8" s="41" t="s">
        <v>7</v>
      </c>
      <c r="AB8" s="41" t="s">
        <v>7</v>
      </c>
      <c r="AC8" s="41" t="s">
        <v>20</v>
      </c>
      <c r="AD8" s="41" t="s">
        <v>7</v>
      </c>
      <c r="AE8" s="41" t="s">
        <v>7</v>
      </c>
      <c r="AF8" s="41" t="s">
        <v>7</v>
      </c>
      <c r="AG8" s="41" t="s">
        <v>7</v>
      </c>
      <c r="AH8" s="41" t="s">
        <v>7</v>
      </c>
      <c r="AI8" s="41" t="s">
        <v>7</v>
      </c>
      <c r="AJ8" s="41" t="s">
        <v>7</v>
      </c>
      <c r="AK8" s="41" t="s">
        <v>7</v>
      </c>
      <c r="AL8" s="41" t="s">
        <v>7</v>
      </c>
      <c r="AM8" s="41" t="s">
        <v>20</v>
      </c>
      <c r="AN8" s="41" t="s">
        <v>7</v>
      </c>
      <c r="AO8" s="41" t="s">
        <v>7</v>
      </c>
      <c r="AP8" s="41" t="s">
        <v>7</v>
      </c>
      <c r="AQ8" s="41" t="s">
        <v>7</v>
      </c>
      <c r="AR8" s="41" t="s">
        <v>7</v>
      </c>
      <c r="AS8" s="41" t="s">
        <v>7</v>
      </c>
      <c r="AT8" s="41" t="s">
        <v>7</v>
      </c>
      <c r="AU8" s="41" t="s">
        <v>7</v>
      </c>
      <c r="AV8" s="41" t="s">
        <v>7</v>
      </c>
      <c r="AW8" s="41" t="s">
        <v>20</v>
      </c>
      <c r="AX8" s="41" t="s">
        <v>7</v>
      </c>
      <c r="AY8" s="41" t="s">
        <v>7</v>
      </c>
      <c r="AZ8" s="41" t="s">
        <v>7</v>
      </c>
      <c r="BA8" s="41" t="s">
        <v>7</v>
      </c>
      <c r="BB8" s="41" t="s">
        <v>7</v>
      </c>
      <c r="BC8" s="41" t="s">
        <v>7</v>
      </c>
      <c r="BD8" s="41" t="s">
        <v>7</v>
      </c>
      <c r="BE8" s="41" t="s">
        <v>7</v>
      </c>
      <c r="BF8" s="41" t="s">
        <v>7</v>
      </c>
      <c r="BG8" s="4" t="s">
        <v>7</v>
      </c>
      <c r="BH8" s="4" t="s">
        <v>7</v>
      </c>
      <c r="BI8" s="4" t="s">
        <v>96</v>
      </c>
      <c r="BJ8" s="4" t="s">
        <v>7</v>
      </c>
      <c r="BK8" s="4" t="s">
        <v>7</v>
      </c>
      <c r="BL8" s="4" t="s">
        <v>96</v>
      </c>
      <c r="BM8" s="4" t="s">
        <v>7</v>
      </c>
      <c r="BN8" s="4" t="s">
        <v>7</v>
      </c>
      <c r="BO8" s="4" t="s">
        <v>96</v>
      </c>
      <c r="BP8" s="4" t="s">
        <v>7</v>
      </c>
      <c r="BQ8" s="4" t="s">
        <v>7</v>
      </c>
      <c r="BR8" s="4" t="s">
        <v>96</v>
      </c>
      <c r="BS8" s="4" t="s">
        <v>7</v>
      </c>
      <c r="BT8" s="4" t="s">
        <v>7</v>
      </c>
      <c r="BU8" s="4" t="s">
        <v>96</v>
      </c>
      <c r="BV8" s="4" t="s">
        <v>20</v>
      </c>
      <c r="BW8" s="4" t="s">
        <v>7</v>
      </c>
      <c r="BX8" s="4" t="s">
        <v>7</v>
      </c>
      <c r="BY8" s="4" t="s">
        <v>20</v>
      </c>
      <c r="BZ8" s="4" t="s">
        <v>7</v>
      </c>
      <c r="CA8" s="4" t="s">
        <v>7</v>
      </c>
      <c r="CB8" s="4" t="s">
        <v>1971</v>
      </c>
      <c r="CC8" s="4" t="s">
        <v>1969</v>
      </c>
      <c r="CD8" s="4" t="s">
        <v>20</v>
      </c>
      <c r="CE8" s="4" t="s">
        <v>7</v>
      </c>
      <c r="CF8" s="4" t="s">
        <v>7</v>
      </c>
      <c r="CG8" s="4" t="s">
        <v>1971</v>
      </c>
      <c r="CH8" s="4" t="s">
        <v>20</v>
      </c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</row>
    <row r="9" spans="1:97" ht="42" customHeight="1">
      <c r="A9" s="56" t="s">
        <v>10</v>
      </c>
      <c r="B9" s="38" t="s">
        <v>11</v>
      </c>
      <c r="C9" s="5" t="s">
        <v>48</v>
      </c>
      <c r="D9" s="5" t="s">
        <v>49</v>
      </c>
      <c r="E9" s="6" t="s">
        <v>1983</v>
      </c>
      <c r="F9" s="6" t="s">
        <v>1985</v>
      </c>
      <c r="G9" s="5" t="s">
        <v>233</v>
      </c>
      <c r="H9" s="5" t="s">
        <v>1296</v>
      </c>
      <c r="I9" s="42" t="s">
        <v>127</v>
      </c>
      <c r="J9" s="42" t="s">
        <v>1961</v>
      </c>
      <c r="K9" s="42" t="s">
        <v>1962</v>
      </c>
      <c r="L9" s="42" t="s">
        <v>1961</v>
      </c>
      <c r="M9" s="42" t="s">
        <v>1962</v>
      </c>
      <c r="N9" s="42" t="s">
        <v>1961</v>
      </c>
      <c r="O9" s="42" t="s">
        <v>1962</v>
      </c>
      <c r="P9" s="42" t="s">
        <v>1961</v>
      </c>
      <c r="Q9" s="42" t="s">
        <v>1962</v>
      </c>
      <c r="R9" s="42" t="s">
        <v>1961</v>
      </c>
      <c r="S9" s="42" t="s">
        <v>127</v>
      </c>
      <c r="T9" s="42" t="s">
        <v>1961</v>
      </c>
      <c r="U9" s="42" t="s">
        <v>1962</v>
      </c>
      <c r="V9" s="42" t="s">
        <v>1961</v>
      </c>
      <c r="W9" s="42" t="s">
        <v>1962</v>
      </c>
      <c r="X9" s="42" t="s">
        <v>1961</v>
      </c>
      <c r="Y9" s="42" t="s">
        <v>1962</v>
      </c>
      <c r="Z9" s="42" t="s">
        <v>1961</v>
      </c>
      <c r="AA9" s="42" t="s">
        <v>1962</v>
      </c>
      <c r="AB9" s="42" t="s">
        <v>1961</v>
      </c>
      <c r="AC9" s="42" t="s">
        <v>127</v>
      </c>
      <c r="AD9" s="42" t="s">
        <v>1961</v>
      </c>
      <c r="AE9" s="42" t="s">
        <v>1962</v>
      </c>
      <c r="AF9" s="42" t="s">
        <v>1961</v>
      </c>
      <c r="AG9" s="42" t="s">
        <v>1962</v>
      </c>
      <c r="AH9" s="42" t="s">
        <v>1961</v>
      </c>
      <c r="AI9" s="42" t="s">
        <v>1962</v>
      </c>
      <c r="AJ9" s="42" t="s">
        <v>1961</v>
      </c>
      <c r="AK9" s="42" t="s">
        <v>1962</v>
      </c>
      <c r="AL9" s="42" t="s">
        <v>1961</v>
      </c>
      <c r="AM9" s="42" t="s">
        <v>127</v>
      </c>
      <c r="AN9" s="42" t="s">
        <v>99</v>
      </c>
      <c r="AO9" s="42" t="s">
        <v>127</v>
      </c>
      <c r="AP9" s="42" t="s">
        <v>99</v>
      </c>
      <c r="AQ9" s="42" t="s">
        <v>127</v>
      </c>
      <c r="AR9" s="42" t="s">
        <v>99</v>
      </c>
      <c r="AS9" s="42" t="s">
        <v>127</v>
      </c>
      <c r="AT9" s="42" t="s">
        <v>99</v>
      </c>
      <c r="AU9" s="42" t="s">
        <v>127</v>
      </c>
      <c r="AV9" s="42" t="s">
        <v>99</v>
      </c>
      <c r="AW9" s="42" t="s">
        <v>127</v>
      </c>
      <c r="AX9" s="42" t="s">
        <v>99</v>
      </c>
      <c r="AY9" s="42" t="s">
        <v>127</v>
      </c>
      <c r="AZ9" s="42" t="s">
        <v>99</v>
      </c>
      <c r="BA9" s="42" t="s">
        <v>127</v>
      </c>
      <c r="BB9" s="42" t="s">
        <v>99</v>
      </c>
      <c r="BC9" s="42" t="s">
        <v>127</v>
      </c>
      <c r="BD9" s="42" t="s">
        <v>99</v>
      </c>
      <c r="BE9" s="42" t="s">
        <v>127</v>
      </c>
      <c r="BF9" s="42" t="s">
        <v>99</v>
      </c>
      <c r="BG9" s="6" t="s">
        <v>186</v>
      </c>
      <c r="BH9" s="6" t="s">
        <v>187</v>
      </c>
      <c r="BI9" s="6" t="s">
        <v>225</v>
      </c>
      <c r="BJ9" s="6" t="s">
        <v>186</v>
      </c>
      <c r="BK9" s="6" t="s">
        <v>187</v>
      </c>
      <c r="BL9" s="6" t="s">
        <v>225</v>
      </c>
      <c r="BM9" s="6" t="s">
        <v>186</v>
      </c>
      <c r="BN9" s="6" t="s">
        <v>187</v>
      </c>
      <c r="BO9" s="6" t="s">
        <v>225</v>
      </c>
      <c r="BP9" s="6" t="s">
        <v>186</v>
      </c>
      <c r="BQ9" s="6" t="s">
        <v>187</v>
      </c>
      <c r="BR9" s="6" t="s">
        <v>225</v>
      </c>
      <c r="BS9" s="6" t="s">
        <v>186</v>
      </c>
      <c r="BT9" s="6" t="s">
        <v>187</v>
      </c>
      <c r="BU9" s="6" t="s">
        <v>225</v>
      </c>
      <c r="BV9" s="6" t="s">
        <v>1967</v>
      </c>
      <c r="BW9" s="6" t="s">
        <v>119</v>
      </c>
      <c r="BX9" s="5" t="s">
        <v>33</v>
      </c>
      <c r="BY9" s="6" t="s">
        <v>1967</v>
      </c>
      <c r="BZ9" s="6" t="s">
        <v>119</v>
      </c>
      <c r="CA9" s="5" t="s">
        <v>33</v>
      </c>
      <c r="CB9" s="5" t="s">
        <v>1970</v>
      </c>
      <c r="CC9" s="5" t="s">
        <v>1973</v>
      </c>
      <c r="CD9" s="6" t="s">
        <v>1967</v>
      </c>
      <c r="CE9" s="6" t="s">
        <v>119</v>
      </c>
      <c r="CF9" s="5" t="s">
        <v>33</v>
      </c>
      <c r="CG9" s="5" t="s">
        <v>1970</v>
      </c>
      <c r="CH9" s="5" t="s">
        <v>1973</v>
      </c>
      <c r="CI9" s="6"/>
      <c r="CJ9" s="6"/>
      <c r="CK9" s="5"/>
      <c r="CL9" s="5"/>
      <c r="CM9" s="5"/>
      <c r="CN9" s="5"/>
      <c r="CO9" s="5"/>
      <c r="CP9" s="5"/>
      <c r="CQ9" s="5"/>
      <c r="CR9" s="5"/>
      <c r="CS9" s="5"/>
    </row>
    <row r="10" spans="1:97" ht="57.75" customHeight="1">
      <c r="A10" s="56" t="s">
        <v>12</v>
      </c>
      <c r="B10" s="47"/>
      <c r="C10" s="18"/>
      <c r="D10" s="19"/>
      <c r="E10" s="19" t="s">
        <v>1986</v>
      </c>
      <c r="F10" s="19" t="s">
        <v>1986</v>
      </c>
      <c r="G10" s="19"/>
      <c r="H10" s="19"/>
      <c r="I10" s="43" t="s">
        <v>1963</v>
      </c>
      <c r="J10" s="43"/>
      <c r="K10" s="43" t="s">
        <v>1963</v>
      </c>
      <c r="L10" s="43"/>
      <c r="M10" s="43" t="s">
        <v>1963</v>
      </c>
      <c r="N10" s="43"/>
      <c r="O10" s="43" t="s">
        <v>1963</v>
      </c>
      <c r="P10" s="43"/>
      <c r="Q10" s="43" t="s">
        <v>1963</v>
      </c>
      <c r="R10" s="43"/>
      <c r="S10" s="43" t="s">
        <v>1963</v>
      </c>
      <c r="T10" s="43"/>
      <c r="U10" s="43" t="s">
        <v>1963</v>
      </c>
      <c r="V10" s="43"/>
      <c r="W10" s="43" t="s">
        <v>1963</v>
      </c>
      <c r="X10" s="43"/>
      <c r="Y10" s="43" t="s">
        <v>1963</v>
      </c>
      <c r="Z10" s="43"/>
      <c r="AA10" s="43" t="s">
        <v>1963</v>
      </c>
      <c r="AB10" s="43"/>
      <c r="AC10" s="43" t="s">
        <v>1963</v>
      </c>
      <c r="AD10" s="43"/>
      <c r="AE10" s="43" t="s">
        <v>1963</v>
      </c>
      <c r="AF10" s="43"/>
      <c r="AG10" s="43" t="s">
        <v>1963</v>
      </c>
      <c r="AH10" s="43"/>
      <c r="AI10" s="43" t="s">
        <v>1963</v>
      </c>
      <c r="AJ10" s="43"/>
      <c r="AK10" s="43" t="s">
        <v>1963</v>
      </c>
      <c r="AL10" s="43"/>
      <c r="AM10" s="43" t="s">
        <v>1963</v>
      </c>
      <c r="AN10" s="43"/>
      <c r="AO10" s="43" t="s">
        <v>1963</v>
      </c>
      <c r="AP10" s="43"/>
      <c r="AQ10" s="43" t="s">
        <v>1963</v>
      </c>
      <c r="AR10" s="43"/>
      <c r="AS10" s="43" t="s">
        <v>1963</v>
      </c>
      <c r="AT10" s="43"/>
      <c r="AU10" s="43" t="s">
        <v>1963</v>
      </c>
      <c r="AV10" s="43"/>
      <c r="AW10" s="43" t="s">
        <v>1963</v>
      </c>
      <c r="AX10" s="43"/>
      <c r="AY10" s="43" t="s">
        <v>1963</v>
      </c>
      <c r="AZ10" s="43"/>
      <c r="BA10" s="43" t="s">
        <v>1963</v>
      </c>
      <c r="BB10" s="43"/>
      <c r="BC10" s="43" t="s">
        <v>1963</v>
      </c>
      <c r="BD10" s="43"/>
      <c r="BE10" s="43" t="s">
        <v>1963</v>
      </c>
      <c r="BF10" s="43"/>
      <c r="BG10" s="19" t="s">
        <v>1815</v>
      </c>
      <c r="BH10" s="19"/>
      <c r="BI10" s="19"/>
      <c r="BJ10" s="19" t="s">
        <v>1815</v>
      </c>
      <c r="BK10" s="19"/>
      <c r="BL10" s="19"/>
      <c r="BM10" s="19" t="s">
        <v>1815</v>
      </c>
      <c r="BN10" s="18"/>
      <c r="BO10" s="19"/>
      <c r="BP10" s="19" t="s">
        <v>1815</v>
      </c>
      <c r="BQ10" s="19"/>
      <c r="BR10" s="19"/>
      <c r="BS10" s="19" t="s">
        <v>1815</v>
      </c>
      <c r="BT10" s="19"/>
      <c r="BU10" s="19"/>
      <c r="BV10" s="6" t="s">
        <v>124</v>
      </c>
      <c r="BW10" s="43"/>
      <c r="BX10" s="43"/>
      <c r="BY10" s="6" t="s">
        <v>124</v>
      </c>
      <c r="BZ10" s="19"/>
      <c r="CA10" s="19"/>
      <c r="CB10" s="18"/>
      <c r="CC10" s="18"/>
      <c r="CD10" s="6" t="s">
        <v>124</v>
      </c>
      <c r="CE10" s="19"/>
      <c r="CF10" s="19"/>
      <c r="CG10" s="18"/>
      <c r="CH10" s="18"/>
      <c r="CI10" s="19"/>
      <c r="CJ10" s="19"/>
      <c r="CK10" s="19"/>
      <c r="CL10" s="6"/>
      <c r="CM10" s="6"/>
      <c r="CN10" s="6"/>
      <c r="CO10" s="6"/>
      <c r="CP10" s="6"/>
      <c r="CQ10" s="6"/>
      <c r="CR10" s="6"/>
      <c r="CS10" s="6"/>
    </row>
    <row r="11" spans="1:97" ht="18.75" customHeight="1">
      <c r="A11" s="57" t="s">
        <v>13</v>
      </c>
      <c r="B11" s="21">
        <v>100010001</v>
      </c>
      <c r="C11" s="14">
        <v>10001</v>
      </c>
      <c r="D11" s="14" t="s">
        <v>50</v>
      </c>
      <c r="E11" s="14">
        <v>1</v>
      </c>
      <c r="F11" s="14">
        <v>1</v>
      </c>
      <c r="G11" s="14">
        <v>5</v>
      </c>
      <c r="H11" s="14">
        <v>99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1</v>
      </c>
      <c r="P11" s="21">
        <v>1</v>
      </c>
      <c r="Q11" s="21">
        <v>0</v>
      </c>
      <c r="R11" s="21">
        <v>0</v>
      </c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14"/>
      <c r="BH11" s="22"/>
      <c r="BI11" s="23"/>
      <c r="BJ11" s="14"/>
      <c r="BK11" s="14"/>
      <c r="BL11" s="22"/>
      <c r="BM11" s="14"/>
      <c r="BN11" s="22"/>
      <c r="BO11" s="22"/>
      <c r="BP11" s="14"/>
      <c r="BQ11" s="14"/>
      <c r="BR11" s="22"/>
      <c r="BS11" s="14"/>
      <c r="BT11" s="14"/>
      <c r="BU11" s="14"/>
      <c r="BV11" s="21">
        <v>1</v>
      </c>
      <c r="BW11" s="21">
        <v>3</v>
      </c>
      <c r="BX11" s="21">
        <v>2000</v>
      </c>
      <c r="BY11" s="21">
        <v>1</v>
      </c>
      <c r="BZ11" s="14">
        <v>3</v>
      </c>
      <c r="CA11" s="14">
        <f>ROUND(E11*G11,0)</f>
        <v>5</v>
      </c>
      <c r="CB11" s="14">
        <v>100</v>
      </c>
      <c r="CC11" s="14"/>
      <c r="CD11" s="21">
        <v>1</v>
      </c>
      <c r="CE11" s="14">
        <v>4</v>
      </c>
      <c r="CF11" s="14">
        <f>ROUND(F11*G11,0)</f>
        <v>5</v>
      </c>
      <c r="CG11" s="14">
        <v>100</v>
      </c>
      <c r="CH11" s="14"/>
      <c r="CI11" s="14"/>
      <c r="CJ11" s="14"/>
      <c r="CK11" s="14"/>
      <c r="CL11" s="16"/>
      <c r="CM11" s="7"/>
      <c r="CN11" s="7"/>
      <c r="CO11" s="7"/>
      <c r="CP11" s="7"/>
      <c r="CQ11" s="7"/>
      <c r="CR11" s="7"/>
      <c r="CS11" s="7"/>
    </row>
    <row r="12" spans="1:97" ht="18.75" customHeight="1">
      <c r="A12" s="8"/>
      <c r="B12" s="21">
        <v>100020001</v>
      </c>
      <c r="C12" s="14">
        <v>10002</v>
      </c>
      <c r="D12" s="14" t="s">
        <v>51</v>
      </c>
      <c r="E12" s="14">
        <v>1.2</v>
      </c>
      <c r="F12" s="14">
        <v>1.2</v>
      </c>
      <c r="G12" s="14">
        <v>6</v>
      </c>
      <c r="H12" s="14">
        <v>99</v>
      </c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1</v>
      </c>
      <c r="P12" s="21">
        <v>2</v>
      </c>
      <c r="Q12" s="21">
        <v>0</v>
      </c>
      <c r="R12" s="21">
        <v>0</v>
      </c>
      <c r="S12" s="21">
        <v>1</v>
      </c>
      <c r="T12" s="21">
        <v>2</v>
      </c>
      <c r="U12" s="21">
        <v>1</v>
      </c>
      <c r="V12" s="21">
        <v>2</v>
      </c>
      <c r="W12" s="21">
        <v>0</v>
      </c>
      <c r="X12" s="21">
        <v>0</v>
      </c>
      <c r="Y12" s="21">
        <v>6</v>
      </c>
      <c r="Z12" s="21">
        <v>2</v>
      </c>
      <c r="AA12" s="21">
        <v>0</v>
      </c>
      <c r="AB12" s="21">
        <v>0</v>
      </c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14"/>
      <c r="BH12" s="14"/>
      <c r="BI12" s="24"/>
      <c r="BJ12" s="14"/>
      <c r="BK12" s="14"/>
      <c r="BL12" s="14"/>
      <c r="BM12" s="14">
        <v>1</v>
      </c>
      <c r="BN12" s="21">
        <v>100010001</v>
      </c>
      <c r="BO12" s="14"/>
      <c r="BP12" s="14"/>
      <c r="BQ12" s="14"/>
      <c r="BR12" s="14"/>
      <c r="BS12" s="14"/>
      <c r="BT12" s="14"/>
      <c r="BU12" s="14"/>
      <c r="BV12" s="21">
        <v>1</v>
      </c>
      <c r="BW12" s="21">
        <v>4</v>
      </c>
      <c r="BX12" s="21">
        <v>2000</v>
      </c>
      <c r="BY12" s="21">
        <v>1</v>
      </c>
      <c r="BZ12" s="14">
        <v>3</v>
      </c>
      <c r="CA12" s="14">
        <f t="shared" ref="CA12:CA95" si="0">ROUND(E12*G12,0)</f>
        <v>7</v>
      </c>
      <c r="CB12" s="14">
        <v>100</v>
      </c>
      <c r="CC12" s="14"/>
      <c r="CD12" s="21">
        <v>1</v>
      </c>
      <c r="CE12" s="14">
        <v>4</v>
      </c>
      <c r="CF12" s="14">
        <f t="shared" ref="CF12:CF95" si="1">ROUND(F12*G12,0)</f>
        <v>7</v>
      </c>
      <c r="CG12" s="14">
        <v>100</v>
      </c>
      <c r="CH12" s="14"/>
      <c r="CI12" s="14"/>
      <c r="CJ12" s="14"/>
      <c r="CK12" s="14"/>
      <c r="CL12" s="16"/>
      <c r="CM12" s="7"/>
      <c r="CN12" s="7"/>
      <c r="CO12" s="7"/>
      <c r="CP12" s="7"/>
      <c r="CQ12" s="7"/>
      <c r="CR12" s="7"/>
      <c r="CS12" s="7"/>
    </row>
    <row r="13" spans="1:97" ht="18.75" customHeight="1">
      <c r="A13" s="8"/>
      <c r="B13" s="21">
        <v>100020002</v>
      </c>
      <c r="C13" s="14">
        <v>10002</v>
      </c>
      <c r="D13" s="14" t="s">
        <v>52</v>
      </c>
      <c r="E13" s="14">
        <v>1.4</v>
      </c>
      <c r="F13" s="14">
        <v>1.4</v>
      </c>
      <c r="G13" s="14">
        <v>6</v>
      </c>
      <c r="H13" s="14">
        <v>99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2</v>
      </c>
      <c r="P13" s="21">
        <v>4</v>
      </c>
      <c r="Q13" s="21">
        <v>0</v>
      </c>
      <c r="R13" s="21">
        <v>0</v>
      </c>
      <c r="S13" s="21">
        <v>2</v>
      </c>
      <c r="T13" s="21">
        <v>4</v>
      </c>
      <c r="U13" s="21">
        <v>2</v>
      </c>
      <c r="V13" s="21">
        <v>4</v>
      </c>
      <c r="W13" s="21">
        <v>0</v>
      </c>
      <c r="X13" s="21">
        <v>0</v>
      </c>
      <c r="Y13" s="21">
        <v>7</v>
      </c>
      <c r="Z13" s="21">
        <v>4</v>
      </c>
      <c r="AA13" s="21">
        <v>0</v>
      </c>
      <c r="AB13" s="21">
        <v>0</v>
      </c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14"/>
      <c r="BH13" s="14"/>
      <c r="BI13" s="24"/>
      <c r="BJ13" s="14"/>
      <c r="BK13" s="14"/>
      <c r="BL13" s="14"/>
      <c r="BM13" s="14">
        <v>1</v>
      </c>
      <c r="BN13" s="21">
        <v>100020001</v>
      </c>
      <c r="BO13" s="14"/>
      <c r="BP13" s="14"/>
      <c r="BQ13" s="14"/>
      <c r="BR13" s="14"/>
      <c r="BS13" s="14"/>
      <c r="BT13" s="14"/>
      <c r="BU13" s="14"/>
      <c r="BV13" s="21">
        <v>1</v>
      </c>
      <c r="BW13" s="21">
        <v>4</v>
      </c>
      <c r="BX13" s="21">
        <v>3000</v>
      </c>
      <c r="BY13" s="21">
        <v>1</v>
      </c>
      <c r="BZ13" s="14">
        <v>3</v>
      </c>
      <c r="CA13" s="14">
        <f t="shared" si="0"/>
        <v>8</v>
      </c>
      <c r="CB13" s="14">
        <v>100</v>
      </c>
      <c r="CC13" s="14"/>
      <c r="CD13" s="21">
        <v>1</v>
      </c>
      <c r="CE13" s="14">
        <v>4</v>
      </c>
      <c r="CF13" s="14">
        <f t="shared" si="1"/>
        <v>8</v>
      </c>
      <c r="CG13" s="14">
        <v>100</v>
      </c>
      <c r="CH13" s="14"/>
      <c r="CI13" s="14"/>
      <c r="CJ13" s="14"/>
      <c r="CK13" s="14"/>
      <c r="CL13" s="16"/>
      <c r="CM13" s="7"/>
      <c r="CN13" s="7"/>
      <c r="CO13" s="7"/>
      <c r="CP13" s="7"/>
      <c r="CQ13" s="7"/>
      <c r="CR13" s="7"/>
      <c r="CS13" s="7"/>
    </row>
    <row r="14" spans="1:97" ht="18.75" customHeight="1">
      <c r="A14" s="8"/>
      <c r="B14" s="21">
        <v>100020003</v>
      </c>
      <c r="C14" s="14">
        <v>10002</v>
      </c>
      <c r="D14" s="14" t="s">
        <v>53</v>
      </c>
      <c r="E14" s="14">
        <v>1.6</v>
      </c>
      <c r="F14" s="14">
        <v>1.6</v>
      </c>
      <c r="G14" s="14">
        <v>6</v>
      </c>
      <c r="H14" s="14">
        <v>99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3</v>
      </c>
      <c r="P14" s="21">
        <v>6</v>
      </c>
      <c r="Q14" s="21">
        <v>0</v>
      </c>
      <c r="R14" s="21">
        <v>0</v>
      </c>
      <c r="S14" s="21">
        <v>3</v>
      </c>
      <c r="T14" s="21">
        <v>6</v>
      </c>
      <c r="U14" s="21">
        <v>3</v>
      </c>
      <c r="V14" s="21">
        <v>6</v>
      </c>
      <c r="W14" s="21">
        <v>0</v>
      </c>
      <c r="X14" s="21">
        <v>0</v>
      </c>
      <c r="Y14" s="21">
        <v>8</v>
      </c>
      <c r="Z14" s="21">
        <v>6</v>
      </c>
      <c r="AA14" s="21">
        <v>0</v>
      </c>
      <c r="AB14" s="21">
        <v>0</v>
      </c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14"/>
      <c r="BH14" s="14"/>
      <c r="BI14" s="24"/>
      <c r="BJ14" s="14"/>
      <c r="BK14" s="14"/>
      <c r="BL14" s="14"/>
      <c r="BM14" s="14">
        <v>1</v>
      </c>
      <c r="BN14" s="21">
        <v>100020002</v>
      </c>
      <c r="BO14" s="14"/>
      <c r="BP14" s="14"/>
      <c r="BQ14" s="14"/>
      <c r="BR14" s="14"/>
      <c r="BS14" s="14"/>
      <c r="BT14" s="14"/>
      <c r="BU14" s="14"/>
      <c r="BV14" s="21">
        <v>1</v>
      </c>
      <c r="BW14" s="21">
        <v>4</v>
      </c>
      <c r="BX14" s="21">
        <v>4000</v>
      </c>
      <c r="BY14" s="21">
        <v>1</v>
      </c>
      <c r="BZ14" s="14">
        <v>3</v>
      </c>
      <c r="CA14" s="14">
        <f t="shared" si="0"/>
        <v>10</v>
      </c>
      <c r="CB14" s="14">
        <v>100</v>
      </c>
      <c r="CC14" s="14"/>
      <c r="CD14" s="21">
        <v>1</v>
      </c>
      <c r="CE14" s="14">
        <v>4</v>
      </c>
      <c r="CF14" s="14">
        <f t="shared" si="1"/>
        <v>10</v>
      </c>
      <c r="CG14" s="14">
        <v>100</v>
      </c>
      <c r="CH14" s="14"/>
      <c r="CI14" s="14"/>
      <c r="CJ14" s="14"/>
      <c r="CK14" s="14"/>
      <c r="CL14" s="16"/>
      <c r="CM14" s="7"/>
      <c r="CN14" s="7"/>
      <c r="CO14" s="7"/>
      <c r="CP14" s="7"/>
      <c r="CQ14" s="7"/>
      <c r="CR14" s="7"/>
      <c r="CS14" s="7"/>
    </row>
    <row r="15" spans="1:97" ht="18.75" customHeight="1">
      <c r="A15" s="8"/>
      <c r="B15" s="21">
        <v>100020004</v>
      </c>
      <c r="C15" s="14">
        <v>10002</v>
      </c>
      <c r="D15" s="14" t="s">
        <v>54</v>
      </c>
      <c r="E15" s="14">
        <v>1.8</v>
      </c>
      <c r="F15" s="14">
        <v>1.8</v>
      </c>
      <c r="G15" s="14">
        <v>7</v>
      </c>
      <c r="H15" s="14">
        <v>99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4</v>
      </c>
      <c r="P15" s="21">
        <v>8</v>
      </c>
      <c r="Q15" s="21">
        <v>0</v>
      </c>
      <c r="R15" s="21">
        <v>0</v>
      </c>
      <c r="S15" s="21">
        <v>4</v>
      </c>
      <c r="T15" s="21">
        <v>8</v>
      </c>
      <c r="U15" s="21">
        <v>4</v>
      </c>
      <c r="V15" s="21">
        <v>8</v>
      </c>
      <c r="W15" s="21">
        <v>0</v>
      </c>
      <c r="X15" s="21">
        <v>0</v>
      </c>
      <c r="Y15" s="21">
        <v>9</v>
      </c>
      <c r="Z15" s="21">
        <v>8</v>
      </c>
      <c r="AA15" s="21">
        <v>0</v>
      </c>
      <c r="AB15" s="21">
        <v>0</v>
      </c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14"/>
      <c r="BH15" s="14"/>
      <c r="BI15" s="24"/>
      <c r="BJ15" s="14"/>
      <c r="BK15" s="14"/>
      <c r="BL15" s="14"/>
      <c r="BM15" s="14">
        <v>1</v>
      </c>
      <c r="BN15" s="21">
        <v>100020003</v>
      </c>
      <c r="BO15" s="14"/>
      <c r="BP15" s="14"/>
      <c r="BQ15" s="14"/>
      <c r="BR15" s="14"/>
      <c r="BS15" s="14"/>
      <c r="BT15" s="14"/>
      <c r="BU15" s="14"/>
      <c r="BV15" s="21">
        <v>1</v>
      </c>
      <c r="BW15" s="21">
        <v>4</v>
      </c>
      <c r="BX15" s="21">
        <v>5000</v>
      </c>
      <c r="BY15" s="21">
        <v>1</v>
      </c>
      <c r="BZ15" s="14">
        <v>3</v>
      </c>
      <c r="CA15" s="14">
        <f t="shared" si="0"/>
        <v>13</v>
      </c>
      <c r="CB15" s="14">
        <v>100</v>
      </c>
      <c r="CC15" s="14"/>
      <c r="CD15" s="21">
        <v>1</v>
      </c>
      <c r="CE15" s="14">
        <v>4</v>
      </c>
      <c r="CF15" s="14">
        <f t="shared" si="1"/>
        <v>13</v>
      </c>
      <c r="CG15" s="14">
        <v>100</v>
      </c>
      <c r="CH15" s="14"/>
      <c r="CI15" s="14"/>
      <c r="CJ15" s="14"/>
      <c r="CK15" s="14"/>
      <c r="CL15" s="16"/>
      <c r="CM15" s="7"/>
      <c r="CN15" s="7"/>
      <c r="CO15" s="7"/>
      <c r="CP15" s="7"/>
      <c r="CQ15" s="7"/>
      <c r="CR15" s="7"/>
      <c r="CS15" s="7"/>
    </row>
    <row r="16" spans="1:97" ht="18.75" customHeight="1">
      <c r="A16" s="8"/>
      <c r="B16" s="21">
        <v>100020005</v>
      </c>
      <c r="C16" s="14">
        <v>10002</v>
      </c>
      <c r="D16" s="14" t="s">
        <v>55</v>
      </c>
      <c r="E16" s="14">
        <v>2</v>
      </c>
      <c r="F16" s="14">
        <v>2</v>
      </c>
      <c r="G16" s="14">
        <v>7</v>
      </c>
      <c r="H16" s="14">
        <v>99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5</v>
      </c>
      <c r="P16" s="21">
        <v>10</v>
      </c>
      <c r="Q16" s="21">
        <v>0</v>
      </c>
      <c r="R16" s="21">
        <v>0</v>
      </c>
      <c r="S16" s="21">
        <v>5</v>
      </c>
      <c r="T16" s="21">
        <v>10</v>
      </c>
      <c r="U16" s="21">
        <v>5</v>
      </c>
      <c r="V16" s="21">
        <v>10</v>
      </c>
      <c r="W16" s="21">
        <v>0</v>
      </c>
      <c r="X16" s="21">
        <v>0</v>
      </c>
      <c r="Y16" s="21">
        <v>10</v>
      </c>
      <c r="Z16" s="21">
        <v>10</v>
      </c>
      <c r="AA16" s="21">
        <v>0</v>
      </c>
      <c r="AB16" s="21">
        <v>0</v>
      </c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14"/>
      <c r="BH16" s="14"/>
      <c r="BI16" s="24"/>
      <c r="BJ16" s="14"/>
      <c r="BK16" s="14"/>
      <c r="BL16" s="14"/>
      <c r="BM16" s="14">
        <v>1</v>
      </c>
      <c r="BN16" s="21">
        <v>100020004</v>
      </c>
      <c r="BO16" s="14"/>
      <c r="BP16" s="14"/>
      <c r="BQ16" s="14"/>
      <c r="BR16" s="14"/>
      <c r="BS16" s="14"/>
      <c r="BT16" s="14"/>
      <c r="BU16" s="14"/>
      <c r="BV16" s="21">
        <v>1</v>
      </c>
      <c r="BW16" s="21">
        <v>1</v>
      </c>
      <c r="BX16" s="21">
        <v>10</v>
      </c>
      <c r="BY16" s="21">
        <v>1</v>
      </c>
      <c r="BZ16" s="14">
        <v>3</v>
      </c>
      <c r="CA16" s="14">
        <f t="shared" si="0"/>
        <v>14</v>
      </c>
      <c r="CB16" s="14">
        <v>100</v>
      </c>
      <c r="CC16" s="14"/>
      <c r="CD16" s="21">
        <v>1</v>
      </c>
      <c r="CE16" s="14">
        <v>4</v>
      </c>
      <c r="CF16" s="14">
        <f t="shared" si="1"/>
        <v>14</v>
      </c>
      <c r="CG16" s="14">
        <v>100</v>
      </c>
      <c r="CH16" s="14"/>
      <c r="CI16" s="14"/>
      <c r="CJ16" s="14"/>
      <c r="CK16" s="14"/>
      <c r="CL16" s="16"/>
      <c r="CM16" s="7"/>
      <c r="CN16" s="7"/>
      <c r="CO16" s="7"/>
      <c r="CP16" s="7"/>
      <c r="CQ16" s="7"/>
      <c r="CR16" s="7"/>
      <c r="CS16" s="7"/>
    </row>
    <row r="17" spans="1:97" ht="18.75" customHeight="1">
      <c r="A17" s="8"/>
      <c r="B17" s="21">
        <v>100030001</v>
      </c>
      <c r="C17" s="14">
        <v>10003</v>
      </c>
      <c r="D17" s="14" t="s">
        <v>56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21">
        <v>1</v>
      </c>
      <c r="J17" s="21">
        <v>12</v>
      </c>
      <c r="K17" s="21">
        <v>1</v>
      </c>
      <c r="L17" s="21">
        <v>12</v>
      </c>
      <c r="M17" s="21">
        <v>0</v>
      </c>
      <c r="N17" s="21">
        <v>0</v>
      </c>
      <c r="O17" s="21">
        <v>1</v>
      </c>
      <c r="P17" s="21">
        <v>12</v>
      </c>
      <c r="Q17" s="21">
        <v>0</v>
      </c>
      <c r="R17" s="21">
        <v>0</v>
      </c>
      <c r="S17" s="21">
        <v>6</v>
      </c>
      <c r="T17" s="21">
        <v>12</v>
      </c>
      <c r="U17" s="21">
        <v>6</v>
      </c>
      <c r="V17" s="21">
        <v>12</v>
      </c>
      <c r="W17" s="21">
        <v>0</v>
      </c>
      <c r="X17" s="21">
        <v>0</v>
      </c>
      <c r="Y17" s="21">
        <v>6</v>
      </c>
      <c r="Z17" s="21">
        <v>12</v>
      </c>
      <c r="AA17" s="21">
        <v>0</v>
      </c>
      <c r="AB17" s="21">
        <v>0</v>
      </c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14"/>
      <c r="BH17" s="14"/>
      <c r="BI17" s="24"/>
      <c r="BJ17" s="14"/>
      <c r="BK17" s="14"/>
      <c r="BL17" s="14"/>
      <c r="BM17" s="14">
        <v>1</v>
      </c>
      <c r="BN17" s="21">
        <v>100020005</v>
      </c>
      <c r="BO17" s="14"/>
      <c r="BP17" s="14"/>
      <c r="BQ17" s="14"/>
      <c r="BR17" s="14"/>
      <c r="BS17" s="14"/>
      <c r="BT17" s="14"/>
      <c r="BU17" s="14"/>
      <c r="BV17" s="21">
        <v>3</v>
      </c>
      <c r="BW17" s="21">
        <v>1</v>
      </c>
      <c r="BX17" s="21">
        <v>500</v>
      </c>
      <c r="BY17" s="21">
        <v>1</v>
      </c>
      <c r="BZ17" s="14">
        <v>3</v>
      </c>
      <c r="CA17" s="14">
        <f t="shared" si="0"/>
        <v>18</v>
      </c>
      <c r="CB17" s="14">
        <v>100</v>
      </c>
      <c r="CC17" s="14"/>
      <c r="CD17" s="21">
        <v>1</v>
      </c>
      <c r="CE17" s="14">
        <v>4</v>
      </c>
      <c r="CF17" s="14">
        <f t="shared" si="1"/>
        <v>18</v>
      </c>
      <c r="CG17" s="14">
        <v>100</v>
      </c>
      <c r="CH17" s="14"/>
      <c r="CI17" s="14"/>
      <c r="CJ17" s="14"/>
      <c r="CK17" s="14"/>
      <c r="CL17" s="16"/>
      <c r="CM17" s="7"/>
      <c r="CN17" s="7"/>
      <c r="CO17" s="7"/>
      <c r="CP17" s="7"/>
      <c r="CQ17" s="7"/>
      <c r="CR17" s="7"/>
      <c r="CS17" s="7"/>
    </row>
    <row r="18" spans="1:97" ht="18.75" customHeight="1">
      <c r="A18" s="8"/>
      <c r="B18" s="21">
        <v>100030002</v>
      </c>
      <c r="C18" s="14">
        <v>10003</v>
      </c>
      <c r="D18" s="14" t="s">
        <v>57</v>
      </c>
      <c r="E18" s="14">
        <v>2.4</v>
      </c>
      <c r="F18" s="14">
        <v>2.4</v>
      </c>
      <c r="G18" s="14">
        <v>8</v>
      </c>
      <c r="H18" s="14">
        <v>99</v>
      </c>
      <c r="I18" s="21">
        <v>2</v>
      </c>
      <c r="J18" s="21">
        <v>14</v>
      </c>
      <c r="K18" s="21">
        <v>2</v>
      </c>
      <c r="L18" s="21">
        <v>14</v>
      </c>
      <c r="M18" s="21">
        <v>0</v>
      </c>
      <c r="N18" s="21">
        <v>0</v>
      </c>
      <c r="O18" s="21">
        <v>2</v>
      </c>
      <c r="P18" s="21">
        <v>14</v>
      </c>
      <c r="Q18" s="21">
        <v>0</v>
      </c>
      <c r="R18" s="21">
        <v>0</v>
      </c>
      <c r="S18" s="21">
        <v>7</v>
      </c>
      <c r="T18" s="21">
        <v>14</v>
      </c>
      <c r="U18" s="21">
        <v>7</v>
      </c>
      <c r="V18" s="21">
        <v>14</v>
      </c>
      <c r="W18" s="21">
        <v>0</v>
      </c>
      <c r="X18" s="21">
        <v>0</v>
      </c>
      <c r="Y18" s="21">
        <v>7</v>
      </c>
      <c r="Z18" s="21">
        <v>14</v>
      </c>
      <c r="AA18" s="21">
        <v>0</v>
      </c>
      <c r="AB18" s="21">
        <v>0</v>
      </c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14"/>
      <c r="BH18" s="14"/>
      <c r="BI18" s="24"/>
      <c r="BJ18" s="14"/>
      <c r="BK18" s="14"/>
      <c r="BL18" s="14"/>
      <c r="BM18" s="14">
        <v>1</v>
      </c>
      <c r="BN18" s="21">
        <v>100030001</v>
      </c>
      <c r="BO18" s="14"/>
      <c r="BP18" s="14"/>
      <c r="BQ18" s="14"/>
      <c r="BR18" s="14"/>
      <c r="BS18" s="14"/>
      <c r="BT18" s="14"/>
      <c r="BU18" s="14"/>
      <c r="BV18" s="21">
        <v>3</v>
      </c>
      <c r="BW18" s="21">
        <v>2</v>
      </c>
      <c r="BX18" s="21">
        <v>500</v>
      </c>
      <c r="BY18" s="21">
        <v>1</v>
      </c>
      <c r="BZ18" s="14">
        <v>3</v>
      </c>
      <c r="CA18" s="14">
        <f t="shared" si="0"/>
        <v>19</v>
      </c>
      <c r="CB18" s="14">
        <v>100</v>
      </c>
      <c r="CC18" s="14"/>
      <c r="CD18" s="21">
        <v>1</v>
      </c>
      <c r="CE18" s="14">
        <v>4</v>
      </c>
      <c r="CF18" s="14">
        <f t="shared" si="1"/>
        <v>19</v>
      </c>
      <c r="CG18" s="14">
        <v>100</v>
      </c>
      <c r="CH18" s="14"/>
      <c r="CI18" s="14"/>
      <c r="CJ18" s="14"/>
      <c r="CK18" s="14"/>
      <c r="CL18" s="16"/>
      <c r="CM18" s="7"/>
      <c r="CN18" s="7"/>
      <c r="CO18" s="7"/>
      <c r="CP18" s="7"/>
      <c r="CQ18" s="7"/>
      <c r="CR18" s="7"/>
      <c r="CS18" s="7"/>
    </row>
    <row r="19" spans="1:97" ht="18.75" customHeight="1">
      <c r="A19" s="8"/>
      <c r="B19" s="21">
        <v>100030003</v>
      </c>
      <c r="C19" s="14">
        <v>10003</v>
      </c>
      <c r="D19" s="14" t="s">
        <v>58</v>
      </c>
      <c r="E19" s="14">
        <v>2.6</v>
      </c>
      <c r="F19" s="14">
        <v>2.6</v>
      </c>
      <c r="G19" s="14">
        <v>8</v>
      </c>
      <c r="H19" s="14">
        <v>99</v>
      </c>
      <c r="I19" s="21">
        <v>3</v>
      </c>
      <c r="J19" s="21">
        <v>16</v>
      </c>
      <c r="K19" s="21">
        <v>3</v>
      </c>
      <c r="L19" s="21">
        <v>16</v>
      </c>
      <c r="M19" s="21">
        <v>0</v>
      </c>
      <c r="N19" s="21">
        <v>0</v>
      </c>
      <c r="O19" s="21">
        <v>3</v>
      </c>
      <c r="P19" s="21">
        <v>16</v>
      </c>
      <c r="Q19" s="21">
        <v>0</v>
      </c>
      <c r="R19" s="21">
        <v>0</v>
      </c>
      <c r="S19" s="21">
        <v>8</v>
      </c>
      <c r="T19" s="21">
        <v>16</v>
      </c>
      <c r="U19" s="21">
        <v>8</v>
      </c>
      <c r="V19" s="21">
        <v>16</v>
      </c>
      <c r="W19" s="21">
        <v>0</v>
      </c>
      <c r="X19" s="21">
        <v>0</v>
      </c>
      <c r="Y19" s="21">
        <v>8</v>
      </c>
      <c r="Z19" s="21">
        <v>16</v>
      </c>
      <c r="AA19" s="21">
        <v>0</v>
      </c>
      <c r="AB19" s="21">
        <v>0</v>
      </c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14"/>
      <c r="BH19" s="14"/>
      <c r="BI19" s="24"/>
      <c r="BJ19" s="14"/>
      <c r="BK19" s="14"/>
      <c r="BL19" s="14"/>
      <c r="BM19" s="14">
        <v>1</v>
      </c>
      <c r="BN19" s="21">
        <v>100030002</v>
      </c>
      <c r="BO19" s="14"/>
      <c r="BP19" s="14"/>
      <c r="BQ19" s="14"/>
      <c r="BR19" s="14"/>
      <c r="BS19" s="14"/>
      <c r="BT19" s="14"/>
      <c r="BU19" s="14"/>
      <c r="BV19" s="21">
        <v>3</v>
      </c>
      <c r="BW19" s="21">
        <v>3</v>
      </c>
      <c r="BX19" s="21">
        <v>500</v>
      </c>
      <c r="BY19" s="21">
        <v>1</v>
      </c>
      <c r="BZ19" s="14">
        <v>3</v>
      </c>
      <c r="CA19" s="14">
        <f t="shared" si="0"/>
        <v>21</v>
      </c>
      <c r="CB19" s="14">
        <v>100</v>
      </c>
      <c r="CC19" s="14"/>
      <c r="CD19" s="21">
        <v>1</v>
      </c>
      <c r="CE19" s="14">
        <v>4</v>
      </c>
      <c r="CF19" s="14">
        <f t="shared" si="1"/>
        <v>21</v>
      </c>
      <c r="CG19" s="14">
        <v>100</v>
      </c>
      <c r="CH19" s="14"/>
      <c r="CI19" s="14"/>
      <c r="CJ19" s="14"/>
      <c r="CK19" s="14"/>
      <c r="CL19" s="16"/>
      <c r="CM19" s="7"/>
      <c r="CN19" s="7"/>
      <c r="CO19" s="7"/>
      <c r="CP19" s="7"/>
      <c r="CQ19" s="7"/>
      <c r="CR19" s="7"/>
      <c r="CS19" s="7"/>
    </row>
    <row r="20" spans="1:97" ht="18.75" customHeight="1">
      <c r="A20" s="8"/>
      <c r="B20" s="21">
        <v>100030004</v>
      </c>
      <c r="C20" s="14">
        <v>10003</v>
      </c>
      <c r="D20" s="14" t="s">
        <v>59</v>
      </c>
      <c r="E20" s="14">
        <v>2.8</v>
      </c>
      <c r="F20" s="14">
        <v>2.8</v>
      </c>
      <c r="G20" s="14">
        <v>9</v>
      </c>
      <c r="H20" s="14">
        <v>99</v>
      </c>
      <c r="I20" s="21">
        <v>4</v>
      </c>
      <c r="J20" s="21">
        <v>18</v>
      </c>
      <c r="K20" s="21">
        <v>4</v>
      </c>
      <c r="L20" s="21">
        <v>18</v>
      </c>
      <c r="M20" s="21">
        <v>0</v>
      </c>
      <c r="N20" s="21">
        <v>0</v>
      </c>
      <c r="O20" s="21">
        <v>4</v>
      </c>
      <c r="P20" s="21">
        <v>18</v>
      </c>
      <c r="Q20" s="21">
        <v>0</v>
      </c>
      <c r="R20" s="21">
        <v>0</v>
      </c>
      <c r="S20" s="21">
        <v>9</v>
      </c>
      <c r="T20" s="21">
        <v>18</v>
      </c>
      <c r="U20" s="21">
        <v>9</v>
      </c>
      <c r="V20" s="21">
        <v>18</v>
      </c>
      <c r="W20" s="21">
        <v>0</v>
      </c>
      <c r="X20" s="21">
        <v>0</v>
      </c>
      <c r="Y20" s="21">
        <v>9</v>
      </c>
      <c r="Z20" s="21">
        <v>18</v>
      </c>
      <c r="AA20" s="21">
        <v>0</v>
      </c>
      <c r="AB20" s="21">
        <v>0</v>
      </c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14"/>
      <c r="BH20" s="14"/>
      <c r="BI20" s="24"/>
      <c r="BJ20" s="14"/>
      <c r="BK20" s="14"/>
      <c r="BL20" s="14"/>
      <c r="BM20" s="14">
        <v>1</v>
      </c>
      <c r="BN20" s="21">
        <v>100030003</v>
      </c>
      <c r="BO20" s="14"/>
      <c r="BP20" s="14"/>
      <c r="BQ20" s="14"/>
      <c r="BR20" s="14"/>
      <c r="BS20" s="14"/>
      <c r="BT20" s="14"/>
      <c r="BU20" s="14"/>
      <c r="BV20" s="21">
        <v>3</v>
      </c>
      <c r="BW20" s="21">
        <v>4</v>
      </c>
      <c r="BX20" s="21">
        <v>500</v>
      </c>
      <c r="BY20" s="21">
        <v>1</v>
      </c>
      <c r="BZ20" s="14">
        <v>3</v>
      </c>
      <c r="CA20" s="14">
        <f t="shared" si="0"/>
        <v>25</v>
      </c>
      <c r="CB20" s="14">
        <v>100</v>
      </c>
      <c r="CC20" s="14"/>
      <c r="CD20" s="21">
        <v>1</v>
      </c>
      <c r="CE20" s="14">
        <v>4</v>
      </c>
      <c r="CF20" s="14">
        <f t="shared" si="1"/>
        <v>25</v>
      </c>
      <c r="CG20" s="14">
        <v>100</v>
      </c>
      <c r="CH20" s="14"/>
      <c r="CI20" s="14"/>
      <c r="CJ20" s="14"/>
      <c r="CK20" s="14"/>
      <c r="CL20" s="16"/>
      <c r="CM20" s="7"/>
      <c r="CN20" s="7"/>
      <c r="CO20" s="7"/>
      <c r="CP20" s="7"/>
      <c r="CQ20" s="7"/>
      <c r="CR20" s="7"/>
      <c r="CS20" s="7"/>
    </row>
    <row r="21" spans="1:97" ht="18.75" customHeight="1">
      <c r="A21" s="8"/>
      <c r="B21" s="21">
        <v>100030005</v>
      </c>
      <c r="C21" s="14">
        <v>10003</v>
      </c>
      <c r="D21" s="14" t="s">
        <v>60</v>
      </c>
      <c r="E21" s="14">
        <v>3</v>
      </c>
      <c r="F21" s="14">
        <v>3</v>
      </c>
      <c r="G21" s="14">
        <v>9</v>
      </c>
      <c r="H21" s="14">
        <v>99</v>
      </c>
      <c r="I21" s="21">
        <v>5</v>
      </c>
      <c r="J21" s="21">
        <v>20</v>
      </c>
      <c r="K21" s="21">
        <v>5</v>
      </c>
      <c r="L21" s="21">
        <v>20</v>
      </c>
      <c r="M21" s="21">
        <v>0</v>
      </c>
      <c r="N21" s="21">
        <v>0</v>
      </c>
      <c r="O21" s="21">
        <v>5</v>
      </c>
      <c r="P21" s="21">
        <v>20</v>
      </c>
      <c r="Q21" s="21">
        <v>0</v>
      </c>
      <c r="R21" s="21">
        <v>0</v>
      </c>
      <c r="S21" s="21">
        <v>10</v>
      </c>
      <c r="T21" s="21">
        <v>20</v>
      </c>
      <c r="U21" s="21">
        <v>10</v>
      </c>
      <c r="V21" s="21">
        <v>20</v>
      </c>
      <c r="W21" s="21">
        <v>0</v>
      </c>
      <c r="X21" s="21">
        <v>0</v>
      </c>
      <c r="Y21" s="21">
        <v>10</v>
      </c>
      <c r="Z21" s="21">
        <v>20</v>
      </c>
      <c r="AA21" s="21">
        <v>0</v>
      </c>
      <c r="AB21" s="21">
        <v>0</v>
      </c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14"/>
      <c r="BH21" s="14"/>
      <c r="BI21" s="24"/>
      <c r="BJ21" s="14"/>
      <c r="BK21" s="14"/>
      <c r="BL21" s="14"/>
      <c r="BM21" s="14">
        <v>1</v>
      </c>
      <c r="BN21" s="21">
        <v>100030004</v>
      </c>
      <c r="BO21" s="14"/>
      <c r="BP21" s="14"/>
      <c r="BQ21" s="14"/>
      <c r="BR21" s="14"/>
      <c r="BS21" s="14"/>
      <c r="BT21" s="14"/>
      <c r="BU21" s="14"/>
      <c r="BV21" s="21">
        <v>3</v>
      </c>
      <c r="BW21" s="21">
        <v>5</v>
      </c>
      <c r="BX21" s="21">
        <v>500</v>
      </c>
      <c r="BY21" s="21">
        <v>1</v>
      </c>
      <c r="BZ21" s="14">
        <v>3</v>
      </c>
      <c r="CA21" s="14">
        <f t="shared" si="0"/>
        <v>27</v>
      </c>
      <c r="CB21" s="14">
        <v>100</v>
      </c>
      <c r="CC21" s="14"/>
      <c r="CD21" s="21">
        <v>1</v>
      </c>
      <c r="CE21" s="14">
        <v>4</v>
      </c>
      <c r="CF21" s="14">
        <f t="shared" si="1"/>
        <v>27</v>
      </c>
      <c r="CG21" s="14">
        <v>100</v>
      </c>
      <c r="CH21" s="14"/>
      <c r="CI21" s="14"/>
      <c r="CJ21" s="14"/>
      <c r="CK21" s="14"/>
      <c r="CL21" s="16"/>
      <c r="CM21" s="7"/>
      <c r="CN21" s="7"/>
      <c r="CO21" s="7"/>
      <c r="CP21" s="7"/>
      <c r="CQ21" s="7"/>
      <c r="CR21" s="7"/>
      <c r="CS21" s="7"/>
    </row>
    <row r="22" spans="1:97" ht="18.75" customHeight="1">
      <c r="A22" s="8"/>
      <c r="B22" s="21">
        <v>100040001</v>
      </c>
      <c r="C22" s="14">
        <v>10004</v>
      </c>
      <c r="D22" s="14" t="s">
        <v>61</v>
      </c>
      <c r="E22" s="14">
        <v>3.2</v>
      </c>
      <c r="F22" s="14">
        <v>3.2</v>
      </c>
      <c r="G22" s="14">
        <v>10</v>
      </c>
      <c r="H22" s="14">
        <v>99</v>
      </c>
      <c r="I22" s="21">
        <v>1</v>
      </c>
      <c r="J22" s="21">
        <v>22</v>
      </c>
      <c r="K22" s="21">
        <v>1</v>
      </c>
      <c r="L22" s="21">
        <v>22</v>
      </c>
      <c r="M22" s="21">
        <v>0</v>
      </c>
      <c r="N22" s="21">
        <v>0</v>
      </c>
      <c r="O22" s="21">
        <v>6</v>
      </c>
      <c r="P22" s="21">
        <v>22</v>
      </c>
      <c r="Q22" s="21">
        <v>0</v>
      </c>
      <c r="R22" s="21">
        <v>0</v>
      </c>
      <c r="S22" s="21">
        <v>1</v>
      </c>
      <c r="T22" s="21">
        <v>22</v>
      </c>
      <c r="U22" s="21">
        <v>6</v>
      </c>
      <c r="V22" s="21">
        <v>22</v>
      </c>
      <c r="W22" s="21">
        <v>0</v>
      </c>
      <c r="X22" s="21">
        <v>0</v>
      </c>
      <c r="Y22" s="21">
        <v>11</v>
      </c>
      <c r="Z22" s="21">
        <v>22</v>
      </c>
      <c r="AA22" s="21">
        <v>0</v>
      </c>
      <c r="AB22" s="21">
        <v>0</v>
      </c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14"/>
      <c r="BH22" s="14"/>
      <c r="BI22" s="24"/>
      <c r="BJ22" s="14"/>
      <c r="BK22" s="14"/>
      <c r="BL22" s="14"/>
      <c r="BM22" s="14">
        <v>1</v>
      </c>
      <c r="BN22" s="21">
        <v>100030005</v>
      </c>
      <c r="BO22" s="14"/>
      <c r="BP22" s="14"/>
      <c r="BQ22" s="14"/>
      <c r="BR22" s="14"/>
      <c r="BS22" s="14"/>
      <c r="BT22" s="14"/>
      <c r="BU22" s="14"/>
      <c r="BV22" s="21">
        <v>3</v>
      </c>
      <c r="BW22" s="21">
        <v>6</v>
      </c>
      <c r="BX22" s="21">
        <v>200</v>
      </c>
      <c r="BY22" s="21">
        <v>1</v>
      </c>
      <c r="BZ22" s="14">
        <v>3</v>
      </c>
      <c r="CA22" s="14">
        <f t="shared" si="0"/>
        <v>32</v>
      </c>
      <c r="CB22" s="14">
        <v>100</v>
      </c>
      <c r="CC22" s="14"/>
      <c r="CD22" s="21">
        <v>1</v>
      </c>
      <c r="CE22" s="14">
        <v>4</v>
      </c>
      <c r="CF22" s="14">
        <f t="shared" si="1"/>
        <v>32</v>
      </c>
      <c r="CG22" s="14">
        <v>100</v>
      </c>
      <c r="CH22" s="14"/>
      <c r="CI22" s="14"/>
      <c r="CJ22" s="14"/>
      <c r="CK22" s="14"/>
      <c r="CL22" s="16"/>
      <c r="CM22" s="7"/>
      <c r="CN22" s="7"/>
      <c r="CO22" s="7"/>
      <c r="CP22" s="7"/>
      <c r="CQ22" s="7"/>
      <c r="CR22" s="7"/>
      <c r="CS22" s="7"/>
    </row>
    <row r="23" spans="1:97" ht="18.75" customHeight="1">
      <c r="A23" s="8"/>
      <c r="B23" s="21">
        <v>100040002</v>
      </c>
      <c r="C23" s="14">
        <v>10004</v>
      </c>
      <c r="D23" s="14" t="s">
        <v>62</v>
      </c>
      <c r="E23" s="14">
        <v>3.4</v>
      </c>
      <c r="F23" s="14">
        <v>3.4</v>
      </c>
      <c r="G23" s="14">
        <v>10</v>
      </c>
      <c r="H23" s="14">
        <v>99</v>
      </c>
      <c r="I23" s="21">
        <v>2</v>
      </c>
      <c r="J23" s="21">
        <v>24</v>
      </c>
      <c r="K23" s="21">
        <v>2</v>
      </c>
      <c r="L23" s="21">
        <v>24</v>
      </c>
      <c r="M23" s="21">
        <v>0</v>
      </c>
      <c r="N23" s="21">
        <v>0</v>
      </c>
      <c r="O23" s="21">
        <v>7</v>
      </c>
      <c r="P23" s="21">
        <v>24</v>
      </c>
      <c r="Q23" s="21">
        <v>0</v>
      </c>
      <c r="R23" s="21">
        <v>0</v>
      </c>
      <c r="S23" s="21">
        <v>2</v>
      </c>
      <c r="T23" s="21">
        <v>24</v>
      </c>
      <c r="U23" s="21">
        <v>7</v>
      </c>
      <c r="V23" s="21">
        <v>24</v>
      </c>
      <c r="W23" s="21">
        <v>0</v>
      </c>
      <c r="X23" s="21">
        <v>0</v>
      </c>
      <c r="Y23" s="21">
        <v>12</v>
      </c>
      <c r="Z23" s="21">
        <v>24</v>
      </c>
      <c r="AA23" s="21">
        <v>0</v>
      </c>
      <c r="AB23" s="21">
        <v>0</v>
      </c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14"/>
      <c r="BH23" s="14"/>
      <c r="BI23" s="24"/>
      <c r="BJ23" s="14"/>
      <c r="BK23" s="14"/>
      <c r="BL23" s="14"/>
      <c r="BM23" s="14">
        <v>1</v>
      </c>
      <c r="BN23" s="21">
        <v>100040001</v>
      </c>
      <c r="BO23" s="14"/>
      <c r="BP23" s="14"/>
      <c r="BQ23" s="14"/>
      <c r="BR23" s="14"/>
      <c r="BS23" s="14"/>
      <c r="BT23" s="14"/>
      <c r="BU23" s="14"/>
      <c r="BV23" s="21">
        <v>3</v>
      </c>
      <c r="BW23" s="21">
        <v>7</v>
      </c>
      <c r="BX23" s="21">
        <v>200</v>
      </c>
      <c r="BY23" s="21">
        <v>1</v>
      </c>
      <c r="BZ23" s="14">
        <v>3</v>
      </c>
      <c r="CA23" s="14">
        <f t="shared" si="0"/>
        <v>34</v>
      </c>
      <c r="CB23" s="14">
        <v>100</v>
      </c>
      <c r="CC23" s="14"/>
      <c r="CD23" s="21">
        <v>1</v>
      </c>
      <c r="CE23" s="14">
        <v>4</v>
      </c>
      <c r="CF23" s="14">
        <f t="shared" si="1"/>
        <v>34</v>
      </c>
      <c r="CG23" s="14">
        <v>100</v>
      </c>
      <c r="CH23" s="14"/>
      <c r="CI23" s="14"/>
      <c r="CJ23" s="14"/>
      <c r="CK23" s="14"/>
      <c r="CL23" s="16"/>
      <c r="CM23" s="7"/>
      <c r="CN23" s="7"/>
      <c r="CO23" s="7"/>
      <c r="CP23" s="7"/>
      <c r="CQ23" s="7"/>
      <c r="CR23" s="7"/>
      <c r="CS23" s="7"/>
    </row>
    <row r="24" spans="1:97" ht="18.75" customHeight="1">
      <c r="A24" s="8"/>
      <c r="B24" s="21">
        <v>100040003</v>
      </c>
      <c r="C24" s="14">
        <v>10004</v>
      </c>
      <c r="D24" s="14" t="s">
        <v>63</v>
      </c>
      <c r="E24" s="14">
        <v>3.6</v>
      </c>
      <c r="F24" s="14">
        <v>3.6</v>
      </c>
      <c r="G24" s="14">
        <v>10</v>
      </c>
      <c r="H24" s="14">
        <v>99</v>
      </c>
      <c r="I24" s="21">
        <v>3</v>
      </c>
      <c r="J24" s="21">
        <v>26</v>
      </c>
      <c r="K24" s="21">
        <v>3</v>
      </c>
      <c r="L24" s="21">
        <v>26</v>
      </c>
      <c r="M24" s="21">
        <v>0</v>
      </c>
      <c r="N24" s="21">
        <v>0</v>
      </c>
      <c r="O24" s="21">
        <v>8</v>
      </c>
      <c r="P24" s="21">
        <v>26</v>
      </c>
      <c r="Q24" s="21">
        <v>0</v>
      </c>
      <c r="R24" s="21">
        <v>0</v>
      </c>
      <c r="S24" s="21">
        <v>3</v>
      </c>
      <c r="T24" s="21">
        <v>26</v>
      </c>
      <c r="U24" s="21">
        <v>8</v>
      </c>
      <c r="V24" s="21">
        <v>26</v>
      </c>
      <c r="W24" s="21">
        <v>0</v>
      </c>
      <c r="X24" s="21">
        <v>0</v>
      </c>
      <c r="Y24" s="21">
        <v>13</v>
      </c>
      <c r="Z24" s="21">
        <v>26</v>
      </c>
      <c r="AA24" s="21">
        <v>0</v>
      </c>
      <c r="AB24" s="21">
        <v>0</v>
      </c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14"/>
      <c r="BH24" s="14"/>
      <c r="BI24" s="24"/>
      <c r="BJ24" s="14"/>
      <c r="BK24" s="14"/>
      <c r="BL24" s="14"/>
      <c r="BM24" s="14">
        <v>1</v>
      </c>
      <c r="BN24" s="21">
        <v>100040002</v>
      </c>
      <c r="BO24" s="14"/>
      <c r="BP24" s="14"/>
      <c r="BQ24" s="14"/>
      <c r="BR24" s="14"/>
      <c r="BS24" s="14"/>
      <c r="BT24" s="14"/>
      <c r="BU24" s="14"/>
      <c r="BV24" s="21">
        <v>3</v>
      </c>
      <c r="BW24" s="21">
        <v>8</v>
      </c>
      <c r="BX24" s="21">
        <v>200</v>
      </c>
      <c r="BY24" s="21">
        <v>1</v>
      </c>
      <c r="BZ24" s="14">
        <v>3</v>
      </c>
      <c r="CA24" s="14">
        <f t="shared" si="0"/>
        <v>36</v>
      </c>
      <c r="CB24" s="14">
        <v>100</v>
      </c>
      <c r="CC24" s="14"/>
      <c r="CD24" s="21">
        <v>1</v>
      </c>
      <c r="CE24" s="14">
        <v>4</v>
      </c>
      <c r="CF24" s="14">
        <f t="shared" si="1"/>
        <v>36</v>
      </c>
      <c r="CG24" s="14">
        <v>100</v>
      </c>
      <c r="CH24" s="14"/>
      <c r="CI24" s="14"/>
      <c r="CJ24" s="14"/>
      <c r="CK24" s="14"/>
      <c r="CL24" s="16"/>
      <c r="CM24" s="7"/>
      <c r="CN24" s="7"/>
      <c r="CO24" s="7"/>
      <c r="CP24" s="7"/>
      <c r="CQ24" s="7"/>
      <c r="CR24" s="7"/>
      <c r="CS24" s="7"/>
    </row>
    <row r="25" spans="1:97" ht="18.75" customHeight="1">
      <c r="A25" s="8"/>
      <c r="B25" s="21">
        <v>100040004</v>
      </c>
      <c r="C25" s="14">
        <v>10004</v>
      </c>
      <c r="D25" s="14" t="s">
        <v>64</v>
      </c>
      <c r="E25" s="14">
        <v>3.8</v>
      </c>
      <c r="F25" s="14">
        <v>3.8</v>
      </c>
      <c r="G25" s="14">
        <v>11</v>
      </c>
      <c r="H25" s="14">
        <v>99</v>
      </c>
      <c r="I25" s="21">
        <v>4</v>
      </c>
      <c r="J25" s="21">
        <v>28</v>
      </c>
      <c r="K25" s="21">
        <v>4</v>
      </c>
      <c r="L25" s="21">
        <v>28</v>
      </c>
      <c r="M25" s="21">
        <v>0</v>
      </c>
      <c r="N25" s="21">
        <v>0</v>
      </c>
      <c r="O25" s="21">
        <v>9</v>
      </c>
      <c r="P25" s="21">
        <v>28</v>
      </c>
      <c r="Q25" s="21">
        <v>0</v>
      </c>
      <c r="R25" s="21">
        <v>0</v>
      </c>
      <c r="S25" s="21">
        <v>4</v>
      </c>
      <c r="T25" s="21">
        <v>28</v>
      </c>
      <c r="U25" s="21">
        <v>9</v>
      </c>
      <c r="V25" s="21">
        <v>28</v>
      </c>
      <c r="W25" s="21">
        <v>0</v>
      </c>
      <c r="X25" s="21">
        <v>0</v>
      </c>
      <c r="Y25" s="21">
        <v>14</v>
      </c>
      <c r="Z25" s="21">
        <v>28</v>
      </c>
      <c r="AA25" s="21">
        <v>0</v>
      </c>
      <c r="AB25" s="21">
        <v>0</v>
      </c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14"/>
      <c r="BH25" s="14"/>
      <c r="BI25" s="24"/>
      <c r="BJ25" s="14"/>
      <c r="BK25" s="14"/>
      <c r="BL25" s="14"/>
      <c r="BM25" s="14">
        <v>1</v>
      </c>
      <c r="BN25" s="21">
        <v>100040003</v>
      </c>
      <c r="BO25" s="14"/>
      <c r="BP25" s="14"/>
      <c r="BQ25" s="14"/>
      <c r="BR25" s="14"/>
      <c r="BS25" s="14"/>
      <c r="BT25" s="14"/>
      <c r="BU25" s="14"/>
      <c r="BV25" s="21">
        <v>3</v>
      </c>
      <c r="BW25" s="21">
        <v>9</v>
      </c>
      <c r="BX25" s="21">
        <v>200</v>
      </c>
      <c r="BY25" s="21">
        <v>1</v>
      </c>
      <c r="BZ25" s="14">
        <v>3</v>
      </c>
      <c r="CA25" s="14">
        <f t="shared" si="0"/>
        <v>42</v>
      </c>
      <c r="CB25" s="14">
        <v>100</v>
      </c>
      <c r="CC25" s="14"/>
      <c r="CD25" s="21">
        <v>1</v>
      </c>
      <c r="CE25" s="14">
        <v>4</v>
      </c>
      <c r="CF25" s="14">
        <f t="shared" si="1"/>
        <v>42</v>
      </c>
      <c r="CG25" s="14">
        <v>100</v>
      </c>
      <c r="CH25" s="14"/>
      <c r="CI25" s="14"/>
      <c r="CJ25" s="14"/>
      <c r="CK25" s="14"/>
      <c r="CL25" s="16"/>
      <c r="CM25" s="7"/>
      <c r="CN25" s="7"/>
      <c r="CO25" s="7"/>
      <c r="CP25" s="7"/>
      <c r="CQ25" s="7"/>
      <c r="CR25" s="7"/>
      <c r="CS25" s="7"/>
    </row>
    <row r="26" spans="1:97" ht="18.75" customHeight="1">
      <c r="A26" s="8"/>
      <c r="B26" s="21">
        <v>100040005</v>
      </c>
      <c r="C26" s="14">
        <v>10004</v>
      </c>
      <c r="D26" s="14" t="s">
        <v>65</v>
      </c>
      <c r="E26" s="14">
        <v>4</v>
      </c>
      <c r="F26" s="14">
        <v>4</v>
      </c>
      <c r="G26" s="14">
        <v>11</v>
      </c>
      <c r="H26" s="14">
        <v>99</v>
      </c>
      <c r="I26" s="21">
        <v>5</v>
      </c>
      <c r="J26" s="21">
        <v>30</v>
      </c>
      <c r="K26" s="21">
        <v>5</v>
      </c>
      <c r="L26" s="21">
        <v>30</v>
      </c>
      <c r="M26" s="21">
        <v>0</v>
      </c>
      <c r="N26" s="21">
        <v>0</v>
      </c>
      <c r="O26" s="21">
        <v>10</v>
      </c>
      <c r="P26" s="21">
        <v>30</v>
      </c>
      <c r="Q26" s="21">
        <v>0</v>
      </c>
      <c r="R26" s="21">
        <v>0</v>
      </c>
      <c r="S26" s="21">
        <v>5</v>
      </c>
      <c r="T26" s="21">
        <v>30</v>
      </c>
      <c r="U26" s="21">
        <v>10</v>
      </c>
      <c r="V26" s="21">
        <v>30</v>
      </c>
      <c r="W26" s="21">
        <v>0</v>
      </c>
      <c r="X26" s="21">
        <v>0</v>
      </c>
      <c r="Y26" s="21">
        <v>15</v>
      </c>
      <c r="Z26" s="21">
        <v>30</v>
      </c>
      <c r="AA26" s="21">
        <v>0</v>
      </c>
      <c r="AB26" s="21">
        <v>0</v>
      </c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14"/>
      <c r="BH26" s="14"/>
      <c r="BI26" s="24"/>
      <c r="BJ26" s="14"/>
      <c r="BK26" s="14"/>
      <c r="BL26" s="14"/>
      <c r="BM26" s="14">
        <v>1</v>
      </c>
      <c r="BN26" s="21">
        <v>100040004</v>
      </c>
      <c r="BO26" s="14"/>
      <c r="BP26" s="14"/>
      <c r="BQ26" s="14"/>
      <c r="BR26" s="14"/>
      <c r="BS26" s="14"/>
      <c r="BT26" s="14"/>
      <c r="BU26" s="14"/>
      <c r="BV26" s="21">
        <v>3</v>
      </c>
      <c r="BW26" s="21">
        <v>10</v>
      </c>
      <c r="BX26" s="21">
        <v>200</v>
      </c>
      <c r="BY26" s="21">
        <v>1</v>
      </c>
      <c r="BZ26" s="14">
        <v>3</v>
      </c>
      <c r="CA26" s="14">
        <f t="shared" si="0"/>
        <v>44</v>
      </c>
      <c r="CB26" s="14">
        <v>100</v>
      </c>
      <c r="CC26" s="14"/>
      <c r="CD26" s="21">
        <v>1</v>
      </c>
      <c r="CE26" s="14">
        <v>4</v>
      </c>
      <c r="CF26" s="14">
        <f t="shared" si="1"/>
        <v>44</v>
      </c>
      <c r="CG26" s="14">
        <v>100</v>
      </c>
      <c r="CH26" s="14"/>
      <c r="CI26" s="14"/>
      <c r="CJ26" s="14"/>
      <c r="CK26" s="14"/>
      <c r="CL26" s="16"/>
      <c r="CM26" s="7"/>
      <c r="CN26" s="7"/>
      <c r="CO26" s="7"/>
      <c r="CP26" s="7"/>
      <c r="CQ26" s="7"/>
      <c r="CR26" s="7"/>
      <c r="CS26" s="7"/>
    </row>
    <row r="27" spans="1:97" ht="18.75" customHeight="1">
      <c r="A27" s="8"/>
      <c r="B27" s="21">
        <v>100050001</v>
      </c>
      <c r="C27" s="14">
        <v>10005</v>
      </c>
      <c r="D27" s="14" t="s">
        <v>66</v>
      </c>
      <c r="E27" s="14">
        <v>4.2</v>
      </c>
      <c r="F27" s="14">
        <v>4.2</v>
      </c>
      <c r="G27" s="14">
        <v>12</v>
      </c>
      <c r="H27" s="14">
        <v>99</v>
      </c>
      <c r="I27" s="21">
        <v>1</v>
      </c>
      <c r="J27" s="21">
        <v>32</v>
      </c>
      <c r="K27" s="21">
        <v>1</v>
      </c>
      <c r="L27" s="21">
        <v>32</v>
      </c>
      <c r="M27" s="21">
        <v>0</v>
      </c>
      <c r="N27" s="21">
        <v>0</v>
      </c>
      <c r="O27" s="21">
        <v>1</v>
      </c>
      <c r="P27" s="21">
        <v>32</v>
      </c>
      <c r="Q27" s="21">
        <v>0</v>
      </c>
      <c r="R27" s="21">
        <v>0</v>
      </c>
      <c r="S27" s="21">
        <v>1</v>
      </c>
      <c r="T27" s="21">
        <v>32</v>
      </c>
      <c r="U27" s="21">
        <v>6</v>
      </c>
      <c r="V27" s="21">
        <v>32</v>
      </c>
      <c r="W27" s="21">
        <v>0</v>
      </c>
      <c r="X27" s="21">
        <v>0</v>
      </c>
      <c r="Y27" s="21">
        <v>11</v>
      </c>
      <c r="Z27" s="21">
        <v>32</v>
      </c>
      <c r="AA27" s="21">
        <v>0</v>
      </c>
      <c r="AB27" s="21">
        <v>0</v>
      </c>
      <c r="AC27" s="21">
        <v>1</v>
      </c>
      <c r="AD27" s="21">
        <v>32</v>
      </c>
      <c r="AE27" s="21">
        <v>6</v>
      </c>
      <c r="AF27" s="21">
        <v>32</v>
      </c>
      <c r="AG27" s="21">
        <v>11</v>
      </c>
      <c r="AH27" s="21">
        <v>32</v>
      </c>
      <c r="AI27" s="21">
        <v>16</v>
      </c>
      <c r="AJ27" s="21">
        <v>32</v>
      </c>
      <c r="AK27" s="21">
        <v>11</v>
      </c>
      <c r="AL27" s="21">
        <v>32</v>
      </c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14"/>
      <c r="BH27" s="14"/>
      <c r="BI27" s="24"/>
      <c r="BJ27" s="14"/>
      <c r="BK27" s="14"/>
      <c r="BL27" s="14"/>
      <c r="BM27" s="14">
        <v>1</v>
      </c>
      <c r="BN27" s="21">
        <v>100040005</v>
      </c>
      <c r="BO27" s="14"/>
      <c r="BP27" s="14"/>
      <c r="BQ27" s="14"/>
      <c r="BR27" s="14"/>
      <c r="BS27" s="14"/>
      <c r="BT27" s="14"/>
      <c r="BU27" s="14"/>
      <c r="BV27" s="21">
        <v>1</v>
      </c>
      <c r="BW27" s="21">
        <v>4</v>
      </c>
      <c r="BX27" s="21">
        <v>7000</v>
      </c>
      <c r="BY27" s="21">
        <v>1</v>
      </c>
      <c r="BZ27" s="14">
        <v>3</v>
      </c>
      <c r="CA27" s="14">
        <f t="shared" si="0"/>
        <v>50</v>
      </c>
      <c r="CB27" s="14">
        <v>100</v>
      </c>
      <c r="CC27" s="14"/>
      <c r="CD27" s="21">
        <v>1</v>
      </c>
      <c r="CE27" s="14">
        <v>4</v>
      </c>
      <c r="CF27" s="14">
        <f t="shared" si="1"/>
        <v>50</v>
      </c>
      <c r="CG27" s="14">
        <v>100</v>
      </c>
      <c r="CH27" s="14"/>
      <c r="CI27" s="14"/>
      <c r="CJ27" s="14"/>
      <c r="CK27" s="14"/>
      <c r="CL27" s="16"/>
      <c r="CM27" s="7"/>
      <c r="CN27" s="7"/>
      <c r="CO27" s="7"/>
      <c r="CP27" s="7"/>
      <c r="CQ27" s="7"/>
      <c r="CR27" s="7"/>
      <c r="CS27" s="7"/>
    </row>
    <row r="28" spans="1:97" ht="18.75" customHeight="1">
      <c r="A28" s="8"/>
      <c r="B28" s="21">
        <v>100050002</v>
      </c>
      <c r="C28" s="14">
        <v>10005</v>
      </c>
      <c r="D28" s="14" t="s">
        <v>67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21">
        <v>2</v>
      </c>
      <c r="J28" s="21">
        <v>34</v>
      </c>
      <c r="K28" s="21">
        <v>2</v>
      </c>
      <c r="L28" s="21">
        <v>34</v>
      </c>
      <c r="M28" s="21">
        <v>0</v>
      </c>
      <c r="N28" s="21">
        <v>0</v>
      </c>
      <c r="O28" s="21">
        <v>2</v>
      </c>
      <c r="P28" s="21">
        <v>34</v>
      </c>
      <c r="Q28" s="21">
        <v>0</v>
      </c>
      <c r="R28" s="21">
        <v>0</v>
      </c>
      <c r="S28" s="21">
        <v>2</v>
      </c>
      <c r="T28" s="21">
        <v>34</v>
      </c>
      <c r="U28" s="21">
        <v>7</v>
      </c>
      <c r="V28" s="21">
        <v>34</v>
      </c>
      <c r="W28" s="21">
        <v>0</v>
      </c>
      <c r="X28" s="21">
        <v>0</v>
      </c>
      <c r="Y28" s="21">
        <v>12</v>
      </c>
      <c r="Z28" s="21">
        <v>34</v>
      </c>
      <c r="AA28" s="21">
        <v>0</v>
      </c>
      <c r="AB28" s="21">
        <v>0</v>
      </c>
      <c r="AC28" s="21">
        <v>2</v>
      </c>
      <c r="AD28" s="21">
        <v>34</v>
      </c>
      <c r="AE28" s="21">
        <v>7</v>
      </c>
      <c r="AF28" s="21">
        <v>34</v>
      </c>
      <c r="AG28" s="21">
        <v>12</v>
      </c>
      <c r="AH28" s="21">
        <v>34</v>
      </c>
      <c r="AI28" s="21">
        <v>17</v>
      </c>
      <c r="AJ28" s="21">
        <v>34</v>
      </c>
      <c r="AK28" s="21">
        <v>12</v>
      </c>
      <c r="AL28" s="21">
        <v>34</v>
      </c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14"/>
      <c r="BH28" s="14"/>
      <c r="BI28" s="24"/>
      <c r="BJ28" s="14"/>
      <c r="BK28" s="14"/>
      <c r="BL28" s="14"/>
      <c r="BM28" s="14">
        <v>1</v>
      </c>
      <c r="BN28" s="21">
        <v>100050001</v>
      </c>
      <c r="BO28" s="14"/>
      <c r="BP28" s="14"/>
      <c r="BQ28" s="14"/>
      <c r="BR28" s="14"/>
      <c r="BS28" s="14"/>
      <c r="BT28" s="14"/>
      <c r="BU28" s="14"/>
      <c r="BV28" s="21">
        <v>1</v>
      </c>
      <c r="BW28" s="21">
        <v>4</v>
      </c>
      <c r="BX28" s="21">
        <v>8000</v>
      </c>
      <c r="BY28" s="21">
        <v>1</v>
      </c>
      <c r="BZ28" s="14">
        <v>3</v>
      </c>
      <c r="CA28" s="14">
        <f t="shared" si="0"/>
        <v>53</v>
      </c>
      <c r="CB28" s="14">
        <v>100</v>
      </c>
      <c r="CC28" s="14"/>
      <c r="CD28" s="21">
        <v>1</v>
      </c>
      <c r="CE28" s="14">
        <v>4</v>
      </c>
      <c r="CF28" s="14">
        <f t="shared" si="1"/>
        <v>53</v>
      </c>
      <c r="CG28" s="14">
        <v>100</v>
      </c>
      <c r="CH28" s="14"/>
      <c r="CI28" s="14"/>
      <c r="CJ28" s="14"/>
      <c r="CK28" s="14"/>
      <c r="CL28" s="16"/>
      <c r="CM28" s="7"/>
      <c r="CN28" s="7"/>
      <c r="CO28" s="7"/>
      <c r="CP28" s="7"/>
      <c r="CQ28" s="7"/>
      <c r="CR28" s="7"/>
      <c r="CS28" s="7"/>
    </row>
    <row r="29" spans="1:97" ht="18.75" customHeight="1">
      <c r="A29" s="8"/>
      <c r="B29" s="21">
        <v>100050003</v>
      </c>
      <c r="C29" s="14">
        <v>10005</v>
      </c>
      <c r="D29" s="14" t="s">
        <v>68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21">
        <v>3</v>
      </c>
      <c r="J29" s="21">
        <v>36</v>
      </c>
      <c r="K29" s="21">
        <v>3</v>
      </c>
      <c r="L29" s="21">
        <v>36</v>
      </c>
      <c r="M29" s="21">
        <v>0</v>
      </c>
      <c r="N29" s="21">
        <v>0</v>
      </c>
      <c r="O29" s="21">
        <v>3</v>
      </c>
      <c r="P29" s="21">
        <v>36</v>
      </c>
      <c r="Q29" s="21">
        <v>0</v>
      </c>
      <c r="R29" s="21">
        <v>0</v>
      </c>
      <c r="S29" s="21">
        <v>3</v>
      </c>
      <c r="T29" s="21">
        <v>36</v>
      </c>
      <c r="U29" s="21">
        <v>8</v>
      </c>
      <c r="V29" s="21">
        <v>36</v>
      </c>
      <c r="W29" s="21">
        <v>0</v>
      </c>
      <c r="X29" s="21">
        <v>0</v>
      </c>
      <c r="Y29" s="21">
        <v>13</v>
      </c>
      <c r="Z29" s="21">
        <v>36</v>
      </c>
      <c r="AA29" s="21">
        <v>0</v>
      </c>
      <c r="AB29" s="21">
        <v>0</v>
      </c>
      <c r="AC29" s="21">
        <v>3</v>
      </c>
      <c r="AD29" s="21">
        <v>36</v>
      </c>
      <c r="AE29" s="21">
        <v>8</v>
      </c>
      <c r="AF29" s="21">
        <v>36</v>
      </c>
      <c r="AG29" s="21">
        <v>13</v>
      </c>
      <c r="AH29" s="21">
        <v>36</v>
      </c>
      <c r="AI29" s="21">
        <v>18</v>
      </c>
      <c r="AJ29" s="21">
        <v>36</v>
      </c>
      <c r="AK29" s="21">
        <v>13</v>
      </c>
      <c r="AL29" s="21">
        <v>36</v>
      </c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14"/>
      <c r="BH29" s="22"/>
      <c r="BI29" s="23"/>
      <c r="BJ29" s="14"/>
      <c r="BK29" s="14"/>
      <c r="BL29" s="22"/>
      <c r="BM29" s="14">
        <v>1</v>
      </c>
      <c r="BN29" s="21">
        <v>100050002</v>
      </c>
      <c r="BO29" s="22"/>
      <c r="BP29" s="14"/>
      <c r="BQ29" s="14"/>
      <c r="BR29" s="22"/>
      <c r="BS29" s="14"/>
      <c r="BT29" s="14"/>
      <c r="BU29" s="14"/>
      <c r="BV29" s="21">
        <v>1</v>
      </c>
      <c r="BW29" s="21">
        <v>4</v>
      </c>
      <c r="BX29" s="21">
        <v>9000</v>
      </c>
      <c r="BY29" s="21">
        <v>1</v>
      </c>
      <c r="BZ29" s="14">
        <v>3</v>
      </c>
      <c r="CA29" s="14">
        <f t="shared" si="0"/>
        <v>55</v>
      </c>
      <c r="CB29" s="14">
        <v>100</v>
      </c>
      <c r="CC29" s="14"/>
      <c r="CD29" s="21">
        <v>1</v>
      </c>
      <c r="CE29" s="14">
        <v>4</v>
      </c>
      <c r="CF29" s="14">
        <f t="shared" si="1"/>
        <v>55</v>
      </c>
      <c r="CG29" s="14">
        <v>100</v>
      </c>
      <c r="CH29" s="14"/>
      <c r="CI29" s="14"/>
      <c r="CJ29" s="14"/>
      <c r="CK29" s="14"/>
      <c r="CL29" s="16"/>
      <c r="CM29" s="7"/>
      <c r="CN29" s="7"/>
      <c r="CO29" s="7"/>
      <c r="CP29" s="7"/>
      <c r="CQ29" s="7"/>
      <c r="CR29" s="7"/>
      <c r="CS29" s="7"/>
    </row>
    <row r="30" spans="1:97" ht="18.75" customHeight="1">
      <c r="A30" s="8"/>
      <c r="B30" s="21">
        <v>100050004</v>
      </c>
      <c r="C30" s="14">
        <v>10005</v>
      </c>
      <c r="D30" s="14" t="s">
        <v>69</v>
      </c>
      <c r="E30" s="14">
        <v>4.8</v>
      </c>
      <c r="F30" s="14">
        <v>4.8</v>
      </c>
      <c r="G30" s="14">
        <v>13</v>
      </c>
      <c r="H30" s="14">
        <v>99</v>
      </c>
      <c r="I30" s="21">
        <v>4</v>
      </c>
      <c r="J30" s="21">
        <v>38</v>
      </c>
      <c r="K30" s="21">
        <v>4</v>
      </c>
      <c r="L30" s="21">
        <v>38</v>
      </c>
      <c r="M30" s="21">
        <v>0</v>
      </c>
      <c r="N30" s="21">
        <v>0</v>
      </c>
      <c r="O30" s="21">
        <v>4</v>
      </c>
      <c r="P30" s="21">
        <v>38</v>
      </c>
      <c r="Q30" s="21">
        <v>0</v>
      </c>
      <c r="R30" s="21">
        <v>0</v>
      </c>
      <c r="S30" s="21">
        <v>4</v>
      </c>
      <c r="T30" s="21">
        <v>38</v>
      </c>
      <c r="U30" s="21">
        <v>9</v>
      </c>
      <c r="V30" s="21">
        <v>38</v>
      </c>
      <c r="W30" s="21">
        <v>0</v>
      </c>
      <c r="X30" s="21">
        <v>0</v>
      </c>
      <c r="Y30" s="21">
        <v>14</v>
      </c>
      <c r="Z30" s="21">
        <v>38</v>
      </c>
      <c r="AA30" s="21">
        <v>0</v>
      </c>
      <c r="AB30" s="21">
        <v>0</v>
      </c>
      <c r="AC30" s="21">
        <v>4</v>
      </c>
      <c r="AD30" s="21">
        <v>38</v>
      </c>
      <c r="AE30" s="21">
        <v>9</v>
      </c>
      <c r="AF30" s="21">
        <v>38</v>
      </c>
      <c r="AG30" s="21">
        <v>14</v>
      </c>
      <c r="AH30" s="21">
        <v>38</v>
      </c>
      <c r="AI30" s="21">
        <v>19</v>
      </c>
      <c r="AJ30" s="21">
        <v>38</v>
      </c>
      <c r="AK30" s="21">
        <v>14</v>
      </c>
      <c r="AL30" s="21">
        <v>38</v>
      </c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14"/>
      <c r="BH30" s="14"/>
      <c r="BI30" s="24"/>
      <c r="BJ30" s="14"/>
      <c r="BK30" s="14"/>
      <c r="BL30" s="14"/>
      <c r="BM30" s="14">
        <v>1</v>
      </c>
      <c r="BN30" s="21">
        <v>100050003</v>
      </c>
      <c r="BO30" s="14"/>
      <c r="BP30" s="14"/>
      <c r="BQ30" s="14"/>
      <c r="BR30" s="14"/>
      <c r="BS30" s="14"/>
      <c r="BT30" s="14"/>
      <c r="BU30" s="14"/>
      <c r="BV30" s="21">
        <v>1</v>
      </c>
      <c r="BW30" s="21">
        <v>4</v>
      </c>
      <c r="BX30" s="21">
        <v>10000</v>
      </c>
      <c r="BY30" s="21">
        <v>1</v>
      </c>
      <c r="BZ30" s="14">
        <v>3</v>
      </c>
      <c r="CA30" s="14">
        <f t="shared" si="0"/>
        <v>62</v>
      </c>
      <c r="CB30" s="14">
        <v>100</v>
      </c>
      <c r="CC30" s="14"/>
      <c r="CD30" s="21">
        <v>1</v>
      </c>
      <c r="CE30" s="14">
        <v>4</v>
      </c>
      <c r="CF30" s="14">
        <f t="shared" si="1"/>
        <v>62</v>
      </c>
      <c r="CG30" s="14">
        <v>100</v>
      </c>
      <c r="CH30" s="14"/>
      <c r="CI30" s="14"/>
      <c r="CJ30" s="14"/>
      <c r="CK30" s="14"/>
      <c r="CL30" s="16"/>
      <c r="CM30" s="7"/>
      <c r="CN30" s="7"/>
      <c r="CO30" s="7"/>
      <c r="CP30" s="7"/>
      <c r="CQ30" s="7"/>
      <c r="CR30" s="7"/>
      <c r="CS30" s="7"/>
    </row>
    <row r="31" spans="1:97" ht="18.75" customHeight="1">
      <c r="A31" s="8"/>
      <c r="B31" s="21">
        <v>100050005</v>
      </c>
      <c r="C31" s="14">
        <v>10005</v>
      </c>
      <c r="D31" s="14" t="s">
        <v>70</v>
      </c>
      <c r="E31" s="14">
        <v>5</v>
      </c>
      <c r="F31" s="14">
        <v>5</v>
      </c>
      <c r="G31" s="14">
        <v>13</v>
      </c>
      <c r="H31" s="14">
        <v>99</v>
      </c>
      <c r="I31" s="21">
        <v>5</v>
      </c>
      <c r="J31" s="21">
        <v>40</v>
      </c>
      <c r="K31" s="21">
        <v>5</v>
      </c>
      <c r="L31" s="21">
        <v>40</v>
      </c>
      <c r="M31" s="21">
        <v>0</v>
      </c>
      <c r="N31" s="21">
        <v>0</v>
      </c>
      <c r="O31" s="21">
        <v>5</v>
      </c>
      <c r="P31" s="21">
        <v>40</v>
      </c>
      <c r="Q31" s="21">
        <v>0</v>
      </c>
      <c r="R31" s="21">
        <v>0</v>
      </c>
      <c r="S31" s="21">
        <v>5</v>
      </c>
      <c r="T31" s="21">
        <v>40</v>
      </c>
      <c r="U31" s="21">
        <v>10</v>
      </c>
      <c r="V31" s="21">
        <v>40</v>
      </c>
      <c r="W31" s="21">
        <v>0</v>
      </c>
      <c r="X31" s="21">
        <v>0</v>
      </c>
      <c r="Y31" s="21">
        <v>15</v>
      </c>
      <c r="Z31" s="21">
        <v>40</v>
      </c>
      <c r="AA31" s="21">
        <v>0</v>
      </c>
      <c r="AB31" s="21">
        <v>0</v>
      </c>
      <c r="AC31" s="21">
        <v>5</v>
      </c>
      <c r="AD31" s="21">
        <v>40</v>
      </c>
      <c r="AE31" s="21">
        <v>10</v>
      </c>
      <c r="AF31" s="21">
        <v>40</v>
      </c>
      <c r="AG31" s="21">
        <v>15</v>
      </c>
      <c r="AH31" s="21">
        <v>40</v>
      </c>
      <c r="AI31" s="21">
        <v>20</v>
      </c>
      <c r="AJ31" s="21">
        <v>40</v>
      </c>
      <c r="AK31" s="21">
        <v>15</v>
      </c>
      <c r="AL31" s="21">
        <v>40</v>
      </c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14"/>
      <c r="BH31" s="14"/>
      <c r="BI31" s="24"/>
      <c r="BJ31" s="14"/>
      <c r="BK31" s="14"/>
      <c r="BL31" s="14"/>
      <c r="BM31" s="14">
        <v>1</v>
      </c>
      <c r="BN31" s="21">
        <v>100050004</v>
      </c>
      <c r="BO31" s="14"/>
      <c r="BP31" s="14"/>
      <c r="BQ31" s="14"/>
      <c r="BR31" s="14"/>
      <c r="BS31" s="14"/>
      <c r="BT31" s="14"/>
      <c r="BU31" s="14"/>
      <c r="BV31" s="21">
        <v>1</v>
      </c>
      <c r="BW31" s="21">
        <v>1</v>
      </c>
      <c r="BX31" s="21">
        <v>20</v>
      </c>
      <c r="BY31" s="21">
        <v>1</v>
      </c>
      <c r="BZ31" s="14">
        <v>3</v>
      </c>
      <c r="CA31" s="14">
        <f t="shared" si="0"/>
        <v>65</v>
      </c>
      <c r="CB31" s="14">
        <v>100</v>
      </c>
      <c r="CC31" s="14"/>
      <c r="CD31" s="21">
        <v>1</v>
      </c>
      <c r="CE31" s="14">
        <v>4</v>
      </c>
      <c r="CF31" s="14">
        <f t="shared" si="1"/>
        <v>65</v>
      </c>
      <c r="CG31" s="14">
        <v>100</v>
      </c>
      <c r="CH31" s="14"/>
      <c r="CI31" s="14"/>
      <c r="CJ31" s="14"/>
      <c r="CK31" s="14"/>
      <c r="CL31" s="16"/>
      <c r="CM31" s="7"/>
      <c r="CN31" s="7"/>
      <c r="CO31" s="7"/>
      <c r="CP31" s="7"/>
      <c r="CQ31" s="7"/>
      <c r="CR31" s="7"/>
      <c r="CS31" s="7"/>
    </row>
    <row r="32" spans="1:97" ht="18.75" customHeight="1">
      <c r="A32" s="8"/>
      <c r="B32" s="21">
        <v>100060001</v>
      </c>
      <c r="C32" s="14">
        <v>10006</v>
      </c>
      <c r="D32" s="14" t="s">
        <v>71</v>
      </c>
      <c r="E32" s="14">
        <v>5.2</v>
      </c>
      <c r="F32" s="14">
        <v>5.2</v>
      </c>
      <c r="G32" s="14">
        <v>14</v>
      </c>
      <c r="H32" s="14">
        <v>99</v>
      </c>
      <c r="I32" s="21">
        <v>11</v>
      </c>
      <c r="J32" s="21">
        <v>42</v>
      </c>
      <c r="K32" s="21">
        <v>11</v>
      </c>
      <c r="L32" s="21">
        <v>42</v>
      </c>
      <c r="M32" s="21">
        <v>0</v>
      </c>
      <c r="N32" s="21">
        <v>0</v>
      </c>
      <c r="O32" s="21">
        <v>6</v>
      </c>
      <c r="P32" s="21">
        <v>42</v>
      </c>
      <c r="Q32" s="21">
        <v>0</v>
      </c>
      <c r="R32" s="21">
        <v>0</v>
      </c>
      <c r="S32" s="21">
        <v>6</v>
      </c>
      <c r="T32" s="21">
        <v>42</v>
      </c>
      <c r="U32" s="21">
        <v>6</v>
      </c>
      <c r="V32" s="21">
        <v>42</v>
      </c>
      <c r="W32" s="21">
        <v>1</v>
      </c>
      <c r="X32" s="21">
        <v>42</v>
      </c>
      <c r="Y32" s="21">
        <v>11</v>
      </c>
      <c r="Z32" s="21">
        <v>42</v>
      </c>
      <c r="AA32" s="21">
        <v>1</v>
      </c>
      <c r="AB32" s="21">
        <v>42</v>
      </c>
      <c r="AC32" s="21">
        <v>1</v>
      </c>
      <c r="AD32" s="21">
        <v>42</v>
      </c>
      <c r="AE32" s="21">
        <v>6</v>
      </c>
      <c r="AF32" s="21">
        <v>42</v>
      </c>
      <c r="AG32" s="21">
        <v>11</v>
      </c>
      <c r="AH32" s="21">
        <v>42</v>
      </c>
      <c r="AI32" s="21">
        <v>21</v>
      </c>
      <c r="AJ32" s="21">
        <v>42</v>
      </c>
      <c r="AK32" s="21">
        <v>11</v>
      </c>
      <c r="AL32" s="21">
        <v>42</v>
      </c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14"/>
      <c r="BH32" s="22"/>
      <c r="BI32" s="23"/>
      <c r="BJ32" s="14"/>
      <c r="BK32" s="14"/>
      <c r="BL32" s="22"/>
      <c r="BM32" s="14">
        <v>1</v>
      </c>
      <c r="BN32" s="21">
        <v>100050005</v>
      </c>
      <c r="BO32" s="22"/>
      <c r="BP32" s="14"/>
      <c r="BQ32" s="14"/>
      <c r="BR32" s="22"/>
      <c r="BS32" s="14"/>
      <c r="BT32" s="14"/>
      <c r="BU32" s="14"/>
      <c r="BV32" s="21">
        <v>3</v>
      </c>
      <c r="BW32" s="21">
        <v>11</v>
      </c>
      <c r="BX32" s="21">
        <v>100</v>
      </c>
      <c r="BY32" s="21">
        <v>1</v>
      </c>
      <c r="BZ32" s="14">
        <v>3</v>
      </c>
      <c r="CA32" s="14">
        <f t="shared" si="0"/>
        <v>73</v>
      </c>
      <c r="CB32" s="14">
        <v>100</v>
      </c>
      <c r="CC32" s="14"/>
      <c r="CD32" s="21">
        <v>1</v>
      </c>
      <c r="CE32" s="14">
        <v>4</v>
      </c>
      <c r="CF32" s="14">
        <f t="shared" si="1"/>
        <v>73</v>
      </c>
      <c r="CG32" s="14">
        <v>100</v>
      </c>
      <c r="CH32" s="14"/>
      <c r="CI32" s="14"/>
      <c r="CJ32" s="14"/>
      <c r="CK32" s="14"/>
      <c r="CL32" s="16"/>
      <c r="CM32" s="7"/>
      <c r="CN32" s="7"/>
      <c r="CO32" s="7"/>
      <c r="CP32" s="7"/>
      <c r="CQ32" s="7"/>
      <c r="CR32" s="7"/>
      <c r="CS32" s="7"/>
    </row>
    <row r="33" spans="1:97" ht="18.75" customHeight="1">
      <c r="A33" s="8"/>
      <c r="B33" s="21">
        <v>100060002</v>
      </c>
      <c r="C33" s="14">
        <v>10006</v>
      </c>
      <c r="D33" s="14" t="s">
        <v>72</v>
      </c>
      <c r="E33" s="14">
        <v>5.4</v>
      </c>
      <c r="F33" s="14">
        <v>5.4</v>
      </c>
      <c r="G33" s="14">
        <v>14</v>
      </c>
      <c r="H33" s="14">
        <v>99</v>
      </c>
      <c r="I33" s="21">
        <v>12</v>
      </c>
      <c r="J33" s="21">
        <v>44</v>
      </c>
      <c r="K33" s="21">
        <v>12</v>
      </c>
      <c r="L33" s="21">
        <v>44</v>
      </c>
      <c r="M33" s="21">
        <v>0</v>
      </c>
      <c r="N33" s="21">
        <v>0</v>
      </c>
      <c r="O33" s="21">
        <v>7</v>
      </c>
      <c r="P33" s="21">
        <v>44</v>
      </c>
      <c r="Q33" s="21">
        <v>0</v>
      </c>
      <c r="R33" s="21">
        <v>0</v>
      </c>
      <c r="S33" s="21">
        <v>7</v>
      </c>
      <c r="T33" s="21">
        <v>44</v>
      </c>
      <c r="U33" s="21">
        <v>7</v>
      </c>
      <c r="V33" s="21">
        <v>44</v>
      </c>
      <c r="W33" s="21">
        <v>2</v>
      </c>
      <c r="X33" s="21">
        <v>44</v>
      </c>
      <c r="Y33" s="21">
        <v>12</v>
      </c>
      <c r="Z33" s="21">
        <v>44</v>
      </c>
      <c r="AA33" s="21">
        <v>2</v>
      </c>
      <c r="AB33" s="21">
        <v>44</v>
      </c>
      <c r="AC33" s="21">
        <v>2</v>
      </c>
      <c r="AD33" s="21">
        <v>44</v>
      </c>
      <c r="AE33" s="21">
        <v>7</v>
      </c>
      <c r="AF33" s="21">
        <v>44</v>
      </c>
      <c r="AG33" s="21">
        <v>12</v>
      </c>
      <c r="AH33" s="21">
        <v>44</v>
      </c>
      <c r="AI33" s="21">
        <v>22</v>
      </c>
      <c r="AJ33" s="21">
        <v>44</v>
      </c>
      <c r="AK33" s="21">
        <v>12</v>
      </c>
      <c r="AL33" s="21">
        <v>44</v>
      </c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14"/>
      <c r="BH33" s="14"/>
      <c r="BI33" s="24"/>
      <c r="BJ33" s="14"/>
      <c r="BK33" s="14"/>
      <c r="BL33" s="14"/>
      <c r="BM33" s="14">
        <v>1</v>
      </c>
      <c r="BN33" s="21">
        <v>100060001</v>
      </c>
      <c r="BO33" s="14"/>
      <c r="BP33" s="14"/>
      <c r="BQ33" s="14"/>
      <c r="BR33" s="14"/>
      <c r="BS33" s="14"/>
      <c r="BT33" s="14"/>
      <c r="BU33" s="14"/>
      <c r="BV33" s="21">
        <v>3</v>
      </c>
      <c r="BW33" s="21">
        <v>12</v>
      </c>
      <c r="BX33" s="21">
        <v>100</v>
      </c>
      <c r="BY33" s="21">
        <v>1</v>
      </c>
      <c r="BZ33" s="14">
        <v>3</v>
      </c>
      <c r="CA33" s="14">
        <f t="shared" si="0"/>
        <v>76</v>
      </c>
      <c r="CB33" s="14">
        <v>100</v>
      </c>
      <c r="CC33" s="14"/>
      <c r="CD33" s="21">
        <v>1</v>
      </c>
      <c r="CE33" s="14">
        <v>4</v>
      </c>
      <c r="CF33" s="14">
        <f t="shared" si="1"/>
        <v>76</v>
      </c>
      <c r="CG33" s="14">
        <v>100</v>
      </c>
      <c r="CH33" s="14"/>
      <c r="CI33" s="14"/>
      <c r="CJ33" s="14"/>
      <c r="CK33" s="14"/>
      <c r="CL33" s="16"/>
      <c r="CM33" s="7"/>
      <c r="CN33" s="7"/>
      <c r="CO33" s="7"/>
      <c r="CP33" s="7"/>
      <c r="CQ33" s="7"/>
      <c r="CR33" s="7"/>
      <c r="CS33" s="7"/>
    </row>
    <row r="34" spans="1:97" ht="18.75" customHeight="1">
      <c r="A34" s="8"/>
      <c r="B34" s="21">
        <v>100060003</v>
      </c>
      <c r="C34" s="14">
        <v>10006</v>
      </c>
      <c r="D34" s="14" t="s">
        <v>73</v>
      </c>
      <c r="E34" s="14">
        <v>5.6</v>
      </c>
      <c r="F34" s="14">
        <v>5.6</v>
      </c>
      <c r="G34" s="14">
        <v>14</v>
      </c>
      <c r="H34" s="14">
        <v>99</v>
      </c>
      <c r="I34" s="21">
        <v>13</v>
      </c>
      <c r="J34" s="21">
        <v>46</v>
      </c>
      <c r="K34" s="21">
        <v>13</v>
      </c>
      <c r="L34" s="21">
        <v>46</v>
      </c>
      <c r="M34" s="21">
        <v>0</v>
      </c>
      <c r="N34" s="21">
        <v>0</v>
      </c>
      <c r="O34" s="21">
        <v>8</v>
      </c>
      <c r="P34" s="21">
        <v>46</v>
      </c>
      <c r="Q34" s="21">
        <v>0</v>
      </c>
      <c r="R34" s="21">
        <v>0</v>
      </c>
      <c r="S34" s="21">
        <v>8</v>
      </c>
      <c r="T34" s="21">
        <v>46</v>
      </c>
      <c r="U34" s="21">
        <v>8</v>
      </c>
      <c r="V34" s="21">
        <v>46</v>
      </c>
      <c r="W34" s="21">
        <v>3</v>
      </c>
      <c r="X34" s="21">
        <v>46</v>
      </c>
      <c r="Y34" s="21">
        <v>13</v>
      </c>
      <c r="Z34" s="21">
        <v>46</v>
      </c>
      <c r="AA34" s="21">
        <v>3</v>
      </c>
      <c r="AB34" s="21">
        <v>46</v>
      </c>
      <c r="AC34" s="21">
        <v>3</v>
      </c>
      <c r="AD34" s="21">
        <v>46</v>
      </c>
      <c r="AE34" s="21">
        <v>8</v>
      </c>
      <c r="AF34" s="21">
        <v>46</v>
      </c>
      <c r="AG34" s="21">
        <v>13</v>
      </c>
      <c r="AH34" s="21">
        <v>46</v>
      </c>
      <c r="AI34" s="21">
        <v>23</v>
      </c>
      <c r="AJ34" s="21">
        <v>46</v>
      </c>
      <c r="AK34" s="21">
        <v>13</v>
      </c>
      <c r="AL34" s="21">
        <v>46</v>
      </c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14"/>
      <c r="BH34" s="14"/>
      <c r="BI34" s="24"/>
      <c r="BJ34" s="14"/>
      <c r="BK34" s="14"/>
      <c r="BL34" s="14"/>
      <c r="BM34" s="14">
        <v>1</v>
      </c>
      <c r="BN34" s="21">
        <v>100060002</v>
      </c>
      <c r="BO34" s="14"/>
      <c r="BP34" s="14"/>
      <c r="BQ34" s="14"/>
      <c r="BR34" s="14"/>
      <c r="BS34" s="14"/>
      <c r="BT34" s="14"/>
      <c r="BU34" s="14"/>
      <c r="BV34" s="21">
        <v>3</v>
      </c>
      <c r="BW34" s="21">
        <v>13</v>
      </c>
      <c r="BX34" s="21">
        <v>100</v>
      </c>
      <c r="BY34" s="21">
        <v>1</v>
      </c>
      <c r="BZ34" s="14">
        <v>3</v>
      </c>
      <c r="CA34" s="14">
        <f t="shared" si="0"/>
        <v>78</v>
      </c>
      <c r="CB34" s="14">
        <v>100</v>
      </c>
      <c r="CC34" s="14"/>
      <c r="CD34" s="21">
        <v>1</v>
      </c>
      <c r="CE34" s="14">
        <v>4</v>
      </c>
      <c r="CF34" s="14">
        <f t="shared" si="1"/>
        <v>78</v>
      </c>
      <c r="CG34" s="14">
        <v>100</v>
      </c>
      <c r="CH34" s="14"/>
      <c r="CI34" s="14"/>
      <c r="CJ34" s="14"/>
      <c r="CK34" s="14"/>
      <c r="CL34" s="16"/>
      <c r="CM34" s="7"/>
      <c r="CN34" s="7"/>
      <c r="CO34" s="7"/>
      <c r="CP34" s="7"/>
      <c r="CQ34" s="7"/>
      <c r="CR34" s="7"/>
      <c r="CS34" s="7"/>
    </row>
    <row r="35" spans="1:97" ht="18.75" customHeight="1">
      <c r="A35" s="8"/>
      <c r="B35" s="21">
        <v>100060004</v>
      </c>
      <c r="C35" s="14">
        <v>10006</v>
      </c>
      <c r="D35" s="14" t="s">
        <v>74</v>
      </c>
      <c r="E35" s="14">
        <v>5.8</v>
      </c>
      <c r="F35" s="14">
        <v>5.8</v>
      </c>
      <c r="G35" s="14">
        <v>15</v>
      </c>
      <c r="H35" s="14">
        <v>99</v>
      </c>
      <c r="I35" s="21">
        <v>14</v>
      </c>
      <c r="J35" s="21">
        <v>48</v>
      </c>
      <c r="K35" s="21">
        <v>14</v>
      </c>
      <c r="L35" s="21">
        <v>48</v>
      </c>
      <c r="M35" s="21">
        <v>0</v>
      </c>
      <c r="N35" s="21">
        <v>0</v>
      </c>
      <c r="O35" s="21">
        <v>9</v>
      </c>
      <c r="P35" s="21">
        <v>48</v>
      </c>
      <c r="Q35" s="21">
        <v>0</v>
      </c>
      <c r="R35" s="21">
        <v>0</v>
      </c>
      <c r="S35" s="21">
        <v>9</v>
      </c>
      <c r="T35" s="21">
        <v>48</v>
      </c>
      <c r="U35" s="21">
        <v>9</v>
      </c>
      <c r="V35" s="21">
        <v>48</v>
      </c>
      <c r="W35" s="21">
        <v>4</v>
      </c>
      <c r="X35" s="21">
        <v>48</v>
      </c>
      <c r="Y35" s="21">
        <v>14</v>
      </c>
      <c r="Z35" s="21">
        <v>48</v>
      </c>
      <c r="AA35" s="21">
        <v>4</v>
      </c>
      <c r="AB35" s="21">
        <v>48</v>
      </c>
      <c r="AC35" s="21">
        <v>4</v>
      </c>
      <c r="AD35" s="21">
        <v>48</v>
      </c>
      <c r="AE35" s="21">
        <v>9</v>
      </c>
      <c r="AF35" s="21">
        <v>48</v>
      </c>
      <c r="AG35" s="21">
        <v>14</v>
      </c>
      <c r="AH35" s="21">
        <v>48</v>
      </c>
      <c r="AI35" s="21">
        <v>24</v>
      </c>
      <c r="AJ35" s="21">
        <v>48</v>
      </c>
      <c r="AK35" s="21">
        <v>14</v>
      </c>
      <c r="AL35" s="21">
        <v>48</v>
      </c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14"/>
      <c r="BH35" s="22"/>
      <c r="BI35" s="23"/>
      <c r="BJ35" s="14"/>
      <c r="BK35" s="14"/>
      <c r="BL35" s="22"/>
      <c r="BM35" s="14">
        <v>1</v>
      </c>
      <c r="BN35" s="21">
        <v>100060003</v>
      </c>
      <c r="BO35" s="22"/>
      <c r="BP35" s="14"/>
      <c r="BQ35" s="14"/>
      <c r="BR35" s="22"/>
      <c r="BS35" s="14"/>
      <c r="BT35" s="14"/>
      <c r="BU35" s="14"/>
      <c r="BV35" s="21">
        <v>3</v>
      </c>
      <c r="BW35" s="21">
        <v>14</v>
      </c>
      <c r="BX35" s="21">
        <v>100</v>
      </c>
      <c r="BY35" s="21">
        <v>1</v>
      </c>
      <c r="BZ35" s="14">
        <v>3</v>
      </c>
      <c r="CA35" s="14">
        <f t="shared" si="0"/>
        <v>87</v>
      </c>
      <c r="CB35" s="14">
        <v>100</v>
      </c>
      <c r="CC35" s="14"/>
      <c r="CD35" s="21">
        <v>1</v>
      </c>
      <c r="CE35" s="14">
        <v>4</v>
      </c>
      <c r="CF35" s="14">
        <f t="shared" si="1"/>
        <v>87</v>
      </c>
      <c r="CG35" s="14">
        <v>100</v>
      </c>
      <c r="CH35" s="14"/>
      <c r="CI35" s="14"/>
      <c r="CJ35" s="14"/>
      <c r="CK35" s="14"/>
      <c r="CL35" s="16"/>
      <c r="CM35" s="7"/>
      <c r="CN35" s="7"/>
      <c r="CO35" s="7"/>
      <c r="CP35" s="7"/>
      <c r="CQ35" s="7"/>
      <c r="CR35" s="7"/>
      <c r="CS35" s="7"/>
    </row>
    <row r="36" spans="1:97" ht="18.75" customHeight="1">
      <c r="A36" s="8"/>
      <c r="B36" s="21">
        <v>100060005</v>
      </c>
      <c r="C36" s="14">
        <v>10006</v>
      </c>
      <c r="D36" s="14" t="s">
        <v>75</v>
      </c>
      <c r="E36" s="14">
        <v>6</v>
      </c>
      <c r="F36" s="14">
        <v>6</v>
      </c>
      <c r="G36" s="14">
        <v>15</v>
      </c>
      <c r="H36" s="14">
        <v>99</v>
      </c>
      <c r="I36" s="21">
        <v>15</v>
      </c>
      <c r="J36" s="21">
        <v>50</v>
      </c>
      <c r="K36" s="21">
        <v>15</v>
      </c>
      <c r="L36" s="21">
        <v>50</v>
      </c>
      <c r="M36" s="21">
        <v>0</v>
      </c>
      <c r="N36" s="21">
        <v>0</v>
      </c>
      <c r="O36" s="21">
        <v>10</v>
      </c>
      <c r="P36" s="21">
        <v>50</v>
      </c>
      <c r="Q36" s="21">
        <v>0</v>
      </c>
      <c r="R36" s="21">
        <v>0</v>
      </c>
      <c r="S36" s="21">
        <v>10</v>
      </c>
      <c r="T36" s="21">
        <v>50</v>
      </c>
      <c r="U36" s="21">
        <v>10</v>
      </c>
      <c r="V36" s="21">
        <v>50</v>
      </c>
      <c r="W36" s="21">
        <v>5</v>
      </c>
      <c r="X36" s="21">
        <v>50</v>
      </c>
      <c r="Y36" s="21">
        <v>15</v>
      </c>
      <c r="Z36" s="21">
        <v>50</v>
      </c>
      <c r="AA36" s="21">
        <v>5</v>
      </c>
      <c r="AB36" s="21">
        <v>50</v>
      </c>
      <c r="AC36" s="21">
        <v>5</v>
      </c>
      <c r="AD36" s="21">
        <v>50</v>
      </c>
      <c r="AE36" s="21">
        <v>10</v>
      </c>
      <c r="AF36" s="21">
        <v>50</v>
      </c>
      <c r="AG36" s="21">
        <v>15</v>
      </c>
      <c r="AH36" s="21">
        <v>50</v>
      </c>
      <c r="AI36" s="21">
        <v>25</v>
      </c>
      <c r="AJ36" s="21">
        <v>50</v>
      </c>
      <c r="AK36" s="21">
        <v>15</v>
      </c>
      <c r="AL36" s="21">
        <v>50</v>
      </c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14"/>
      <c r="BH36" s="14"/>
      <c r="BI36" s="24"/>
      <c r="BJ36" s="14"/>
      <c r="BK36" s="14"/>
      <c r="BL36" s="14"/>
      <c r="BM36" s="14">
        <v>1</v>
      </c>
      <c r="BN36" s="21">
        <v>100060004</v>
      </c>
      <c r="BO36" s="14"/>
      <c r="BP36" s="14"/>
      <c r="BQ36" s="14"/>
      <c r="BR36" s="14"/>
      <c r="BS36" s="14"/>
      <c r="BT36" s="14"/>
      <c r="BU36" s="14"/>
      <c r="BV36" s="21">
        <v>3</v>
      </c>
      <c r="BW36" s="21">
        <v>15</v>
      </c>
      <c r="BX36" s="21">
        <v>100</v>
      </c>
      <c r="BY36" s="21">
        <v>1</v>
      </c>
      <c r="BZ36" s="14">
        <v>3</v>
      </c>
      <c r="CA36" s="14">
        <f t="shared" si="0"/>
        <v>90</v>
      </c>
      <c r="CB36" s="14">
        <v>100</v>
      </c>
      <c r="CC36" s="14"/>
      <c r="CD36" s="21">
        <v>1</v>
      </c>
      <c r="CE36" s="14">
        <v>4</v>
      </c>
      <c r="CF36" s="14">
        <f t="shared" si="1"/>
        <v>90</v>
      </c>
      <c r="CG36" s="14">
        <v>100</v>
      </c>
      <c r="CH36" s="14"/>
      <c r="CI36" s="14"/>
      <c r="CJ36" s="14"/>
      <c r="CK36" s="14"/>
      <c r="CL36" s="16"/>
      <c r="CM36" s="7"/>
      <c r="CN36" s="7"/>
      <c r="CO36" s="7"/>
      <c r="CP36" s="7"/>
      <c r="CQ36" s="7"/>
      <c r="CR36" s="7"/>
      <c r="CS36" s="7"/>
    </row>
    <row r="37" spans="1:97" ht="18.75" customHeight="1">
      <c r="A37" s="8"/>
      <c r="B37" s="21">
        <v>100070001</v>
      </c>
      <c r="C37" s="14">
        <v>10007</v>
      </c>
      <c r="D37" s="14" t="s">
        <v>76</v>
      </c>
      <c r="E37" s="14">
        <v>6.2</v>
      </c>
      <c r="F37" s="14">
        <v>6.2</v>
      </c>
      <c r="G37" s="14">
        <v>16</v>
      </c>
      <c r="H37" s="14">
        <v>99</v>
      </c>
      <c r="I37" s="21">
        <v>6</v>
      </c>
      <c r="J37" s="21">
        <v>52</v>
      </c>
      <c r="K37" s="21">
        <v>6</v>
      </c>
      <c r="L37" s="21">
        <v>52</v>
      </c>
      <c r="M37" s="21">
        <v>1</v>
      </c>
      <c r="N37" s="21">
        <v>1</v>
      </c>
      <c r="O37" s="21">
        <v>11</v>
      </c>
      <c r="P37" s="21">
        <v>52</v>
      </c>
      <c r="Q37" s="21">
        <v>1</v>
      </c>
      <c r="R37" s="21">
        <v>1</v>
      </c>
      <c r="S37" s="21">
        <v>11</v>
      </c>
      <c r="T37" s="21">
        <v>52</v>
      </c>
      <c r="U37" s="21">
        <v>11</v>
      </c>
      <c r="V37" s="21">
        <v>52</v>
      </c>
      <c r="W37" s="21">
        <v>6</v>
      </c>
      <c r="X37" s="21">
        <v>52</v>
      </c>
      <c r="Y37" s="21">
        <v>6</v>
      </c>
      <c r="Z37" s="21">
        <v>52</v>
      </c>
      <c r="AA37" s="21">
        <v>6</v>
      </c>
      <c r="AB37" s="21">
        <v>52</v>
      </c>
      <c r="AC37" s="21">
        <v>1</v>
      </c>
      <c r="AD37" s="21">
        <v>52</v>
      </c>
      <c r="AE37" s="21">
        <v>6</v>
      </c>
      <c r="AF37" s="21">
        <v>52</v>
      </c>
      <c r="AG37" s="21">
        <v>11</v>
      </c>
      <c r="AH37" s="21">
        <v>52</v>
      </c>
      <c r="AI37" s="21">
        <v>26</v>
      </c>
      <c r="AJ37" s="21">
        <v>52</v>
      </c>
      <c r="AK37" s="21">
        <v>11</v>
      </c>
      <c r="AL37" s="21">
        <v>52</v>
      </c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14"/>
      <c r="BH37" s="14"/>
      <c r="BI37" s="24"/>
      <c r="BJ37" s="14"/>
      <c r="BK37" s="14"/>
      <c r="BL37" s="14"/>
      <c r="BM37" s="14">
        <v>1</v>
      </c>
      <c r="BN37" s="21">
        <v>100060005</v>
      </c>
      <c r="BO37" s="14"/>
      <c r="BP37" s="14"/>
      <c r="BQ37" s="14"/>
      <c r="BR37" s="14"/>
      <c r="BS37" s="14"/>
      <c r="BT37" s="14"/>
      <c r="BU37" s="14"/>
      <c r="BV37" s="21">
        <v>3</v>
      </c>
      <c r="BW37" s="21">
        <v>16</v>
      </c>
      <c r="BX37" s="21">
        <v>50</v>
      </c>
      <c r="BY37" s="21">
        <v>1</v>
      </c>
      <c r="BZ37" s="14">
        <v>3</v>
      </c>
      <c r="CA37" s="14">
        <f t="shared" si="0"/>
        <v>99</v>
      </c>
      <c r="CB37" s="14">
        <v>100</v>
      </c>
      <c r="CC37" s="14"/>
      <c r="CD37" s="21">
        <v>1</v>
      </c>
      <c r="CE37" s="14">
        <v>4</v>
      </c>
      <c r="CF37" s="14">
        <f t="shared" si="1"/>
        <v>99</v>
      </c>
      <c r="CG37" s="14">
        <v>100</v>
      </c>
      <c r="CH37" s="14"/>
      <c r="CI37" s="14"/>
      <c r="CJ37" s="14"/>
      <c r="CK37" s="14"/>
      <c r="CL37" s="16"/>
      <c r="CM37" s="7"/>
      <c r="CN37" s="7"/>
      <c r="CO37" s="7"/>
      <c r="CP37" s="7"/>
      <c r="CQ37" s="7"/>
      <c r="CR37" s="7"/>
      <c r="CS37" s="7"/>
    </row>
    <row r="38" spans="1:97" ht="18.75" customHeight="1">
      <c r="A38" s="8"/>
      <c r="B38" s="21">
        <v>100070002</v>
      </c>
      <c r="C38" s="14">
        <v>10007</v>
      </c>
      <c r="D38" s="14" t="s">
        <v>77</v>
      </c>
      <c r="E38" s="14">
        <v>6.4</v>
      </c>
      <c r="F38" s="14">
        <v>6.4</v>
      </c>
      <c r="G38" s="14">
        <v>16</v>
      </c>
      <c r="H38" s="14">
        <v>99</v>
      </c>
      <c r="I38" s="21">
        <v>7</v>
      </c>
      <c r="J38" s="21">
        <v>54</v>
      </c>
      <c r="K38" s="21">
        <v>7</v>
      </c>
      <c r="L38" s="21">
        <v>54</v>
      </c>
      <c r="M38" s="21">
        <v>2</v>
      </c>
      <c r="N38" s="21">
        <v>1</v>
      </c>
      <c r="O38" s="21">
        <v>12</v>
      </c>
      <c r="P38" s="21">
        <v>54</v>
      </c>
      <c r="Q38" s="21">
        <v>2</v>
      </c>
      <c r="R38" s="21">
        <v>1</v>
      </c>
      <c r="S38" s="21">
        <v>12</v>
      </c>
      <c r="T38" s="21">
        <v>54</v>
      </c>
      <c r="U38" s="21">
        <v>12</v>
      </c>
      <c r="V38" s="21">
        <v>54</v>
      </c>
      <c r="W38" s="21">
        <v>7</v>
      </c>
      <c r="X38" s="21">
        <v>54</v>
      </c>
      <c r="Y38" s="21">
        <v>7</v>
      </c>
      <c r="Z38" s="21">
        <v>54</v>
      </c>
      <c r="AA38" s="21">
        <v>7</v>
      </c>
      <c r="AB38" s="21">
        <v>54</v>
      </c>
      <c r="AC38" s="21">
        <v>2</v>
      </c>
      <c r="AD38" s="21">
        <v>54</v>
      </c>
      <c r="AE38" s="21">
        <v>7</v>
      </c>
      <c r="AF38" s="21">
        <v>54</v>
      </c>
      <c r="AG38" s="21">
        <v>12</v>
      </c>
      <c r="AH38" s="21">
        <v>54</v>
      </c>
      <c r="AI38" s="21">
        <v>27</v>
      </c>
      <c r="AJ38" s="21">
        <v>54</v>
      </c>
      <c r="AK38" s="21">
        <v>12</v>
      </c>
      <c r="AL38" s="21">
        <v>54</v>
      </c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14"/>
      <c r="BH38" s="22"/>
      <c r="BI38" s="23"/>
      <c r="BJ38" s="14"/>
      <c r="BK38" s="14"/>
      <c r="BL38" s="22"/>
      <c r="BM38" s="14">
        <v>1</v>
      </c>
      <c r="BN38" s="21">
        <v>100070001</v>
      </c>
      <c r="BO38" s="22"/>
      <c r="BP38" s="14"/>
      <c r="BQ38" s="14"/>
      <c r="BR38" s="22"/>
      <c r="BS38" s="14"/>
      <c r="BT38" s="14"/>
      <c r="BU38" s="14"/>
      <c r="BV38" s="21">
        <v>3</v>
      </c>
      <c r="BW38" s="21">
        <v>17</v>
      </c>
      <c r="BX38" s="21">
        <v>50</v>
      </c>
      <c r="BY38" s="21">
        <v>1</v>
      </c>
      <c r="BZ38" s="14">
        <v>3</v>
      </c>
      <c r="CA38" s="14">
        <f t="shared" si="0"/>
        <v>102</v>
      </c>
      <c r="CB38" s="14">
        <v>100</v>
      </c>
      <c r="CC38" s="14"/>
      <c r="CD38" s="21">
        <v>1</v>
      </c>
      <c r="CE38" s="14">
        <v>4</v>
      </c>
      <c r="CF38" s="14">
        <f t="shared" si="1"/>
        <v>102</v>
      </c>
      <c r="CG38" s="14">
        <v>100</v>
      </c>
      <c r="CH38" s="14"/>
      <c r="CI38" s="14"/>
      <c r="CJ38" s="14"/>
      <c r="CK38" s="14"/>
      <c r="CL38" s="16"/>
      <c r="CM38" s="7"/>
      <c r="CN38" s="7"/>
      <c r="CO38" s="7"/>
      <c r="CP38" s="7"/>
      <c r="CQ38" s="7"/>
      <c r="CR38" s="7"/>
      <c r="CS38" s="7"/>
    </row>
    <row r="39" spans="1:97" ht="18.75" customHeight="1">
      <c r="A39" s="8"/>
      <c r="B39" s="21">
        <v>100070003</v>
      </c>
      <c r="C39" s="14">
        <v>10007</v>
      </c>
      <c r="D39" s="14" t="s">
        <v>78</v>
      </c>
      <c r="E39" s="14">
        <v>6.6</v>
      </c>
      <c r="F39" s="14">
        <v>6.6</v>
      </c>
      <c r="G39" s="14">
        <v>16</v>
      </c>
      <c r="H39" s="14">
        <v>99</v>
      </c>
      <c r="I39" s="21">
        <v>8</v>
      </c>
      <c r="J39" s="21">
        <v>56</v>
      </c>
      <c r="K39" s="21">
        <v>8</v>
      </c>
      <c r="L39" s="21">
        <v>56</v>
      </c>
      <c r="M39" s="21">
        <v>3</v>
      </c>
      <c r="N39" s="21">
        <v>1</v>
      </c>
      <c r="O39" s="21">
        <v>13</v>
      </c>
      <c r="P39" s="21">
        <v>56</v>
      </c>
      <c r="Q39" s="21">
        <v>3</v>
      </c>
      <c r="R39" s="21">
        <v>1</v>
      </c>
      <c r="S39" s="21">
        <v>13</v>
      </c>
      <c r="T39" s="21">
        <v>56</v>
      </c>
      <c r="U39" s="21">
        <v>13</v>
      </c>
      <c r="V39" s="21">
        <v>56</v>
      </c>
      <c r="W39" s="21">
        <v>8</v>
      </c>
      <c r="X39" s="21">
        <v>56</v>
      </c>
      <c r="Y39" s="21">
        <v>8</v>
      </c>
      <c r="Z39" s="21">
        <v>56</v>
      </c>
      <c r="AA39" s="21">
        <v>8</v>
      </c>
      <c r="AB39" s="21">
        <v>56</v>
      </c>
      <c r="AC39" s="21">
        <v>3</v>
      </c>
      <c r="AD39" s="21">
        <v>56</v>
      </c>
      <c r="AE39" s="21">
        <v>8</v>
      </c>
      <c r="AF39" s="21">
        <v>56</v>
      </c>
      <c r="AG39" s="21">
        <v>13</v>
      </c>
      <c r="AH39" s="21">
        <v>56</v>
      </c>
      <c r="AI39" s="21">
        <v>28</v>
      </c>
      <c r="AJ39" s="21">
        <v>56</v>
      </c>
      <c r="AK39" s="21">
        <v>13</v>
      </c>
      <c r="AL39" s="21">
        <v>56</v>
      </c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14"/>
      <c r="BH39" s="14"/>
      <c r="BI39" s="24"/>
      <c r="BJ39" s="14"/>
      <c r="BK39" s="14"/>
      <c r="BL39" s="14"/>
      <c r="BM39" s="14">
        <v>1</v>
      </c>
      <c r="BN39" s="21">
        <v>100070002</v>
      </c>
      <c r="BO39" s="14"/>
      <c r="BP39" s="14"/>
      <c r="BQ39" s="14"/>
      <c r="BR39" s="14"/>
      <c r="BS39" s="14"/>
      <c r="BT39" s="14"/>
      <c r="BU39" s="14"/>
      <c r="BV39" s="21">
        <v>3</v>
      </c>
      <c r="BW39" s="21">
        <v>18</v>
      </c>
      <c r="BX39" s="21">
        <v>50</v>
      </c>
      <c r="BY39" s="21">
        <v>1</v>
      </c>
      <c r="BZ39" s="14">
        <v>3</v>
      </c>
      <c r="CA39" s="14">
        <f t="shared" si="0"/>
        <v>106</v>
      </c>
      <c r="CB39" s="14">
        <v>100</v>
      </c>
      <c r="CC39" s="14"/>
      <c r="CD39" s="21">
        <v>1</v>
      </c>
      <c r="CE39" s="14">
        <v>4</v>
      </c>
      <c r="CF39" s="14">
        <f t="shared" si="1"/>
        <v>106</v>
      </c>
      <c r="CG39" s="14">
        <v>100</v>
      </c>
      <c r="CH39" s="14"/>
      <c r="CI39" s="14"/>
      <c r="CJ39" s="14"/>
      <c r="CK39" s="14"/>
      <c r="CL39" s="16"/>
      <c r="CM39" s="7"/>
      <c r="CN39" s="7"/>
      <c r="CO39" s="7"/>
      <c r="CP39" s="7"/>
      <c r="CQ39" s="7"/>
      <c r="CR39" s="7"/>
      <c r="CS39" s="7"/>
    </row>
    <row r="40" spans="1:97" ht="18.75" customHeight="1">
      <c r="A40" s="8"/>
      <c r="B40" s="21">
        <v>100070004</v>
      </c>
      <c r="C40" s="14">
        <v>10007</v>
      </c>
      <c r="D40" s="14" t="s">
        <v>79</v>
      </c>
      <c r="E40" s="14">
        <v>6.8</v>
      </c>
      <c r="F40" s="14">
        <v>6.8</v>
      </c>
      <c r="G40" s="14">
        <v>17</v>
      </c>
      <c r="H40" s="14">
        <v>99</v>
      </c>
      <c r="I40" s="21">
        <v>9</v>
      </c>
      <c r="J40" s="21">
        <v>58</v>
      </c>
      <c r="K40" s="21">
        <v>9</v>
      </c>
      <c r="L40" s="21">
        <v>58</v>
      </c>
      <c r="M40" s="21">
        <v>4</v>
      </c>
      <c r="N40" s="21">
        <v>1</v>
      </c>
      <c r="O40" s="21">
        <v>14</v>
      </c>
      <c r="P40" s="21">
        <v>58</v>
      </c>
      <c r="Q40" s="21">
        <v>4</v>
      </c>
      <c r="R40" s="21">
        <v>1</v>
      </c>
      <c r="S40" s="21">
        <v>14</v>
      </c>
      <c r="T40" s="21">
        <v>58</v>
      </c>
      <c r="U40" s="21">
        <v>14</v>
      </c>
      <c r="V40" s="21">
        <v>58</v>
      </c>
      <c r="W40" s="21">
        <v>9</v>
      </c>
      <c r="X40" s="21">
        <v>58</v>
      </c>
      <c r="Y40" s="21">
        <v>9</v>
      </c>
      <c r="Z40" s="21">
        <v>58</v>
      </c>
      <c r="AA40" s="21">
        <v>9</v>
      </c>
      <c r="AB40" s="21">
        <v>58</v>
      </c>
      <c r="AC40" s="21">
        <v>4</v>
      </c>
      <c r="AD40" s="21">
        <v>58</v>
      </c>
      <c r="AE40" s="21">
        <v>9</v>
      </c>
      <c r="AF40" s="21">
        <v>58</v>
      </c>
      <c r="AG40" s="21">
        <v>14</v>
      </c>
      <c r="AH40" s="21">
        <v>58</v>
      </c>
      <c r="AI40" s="21">
        <v>29</v>
      </c>
      <c r="AJ40" s="21">
        <v>58</v>
      </c>
      <c r="AK40" s="21">
        <v>14</v>
      </c>
      <c r="AL40" s="21">
        <v>58</v>
      </c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14"/>
      <c r="BH40" s="14"/>
      <c r="BI40" s="24"/>
      <c r="BJ40" s="14"/>
      <c r="BK40" s="14"/>
      <c r="BL40" s="14"/>
      <c r="BM40" s="14">
        <v>1</v>
      </c>
      <c r="BN40" s="21">
        <v>100070003</v>
      </c>
      <c r="BO40" s="14"/>
      <c r="BP40" s="14"/>
      <c r="BQ40" s="14"/>
      <c r="BR40" s="14"/>
      <c r="BS40" s="14"/>
      <c r="BT40" s="14"/>
      <c r="BU40" s="14"/>
      <c r="BV40" s="21">
        <v>3</v>
      </c>
      <c r="BW40" s="21">
        <v>19</v>
      </c>
      <c r="BX40" s="21">
        <v>50</v>
      </c>
      <c r="BY40" s="21">
        <v>1</v>
      </c>
      <c r="BZ40" s="14">
        <v>3</v>
      </c>
      <c r="CA40" s="14">
        <f t="shared" si="0"/>
        <v>116</v>
      </c>
      <c r="CB40" s="14">
        <v>100</v>
      </c>
      <c r="CC40" s="14"/>
      <c r="CD40" s="21">
        <v>1</v>
      </c>
      <c r="CE40" s="14">
        <v>4</v>
      </c>
      <c r="CF40" s="14">
        <f t="shared" si="1"/>
        <v>116</v>
      </c>
      <c r="CG40" s="14">
        <v>100</v>
      </c>
      <c r="CH40" s="14"/>
      <c r="CI40" s="14"/>
      <c r="CJ40" s="14"/>
      <c r="CK40" s="14"/>
      <c r="CL40" s="16"/>
      <c r="CM40" s="7"/>
      <c r="CN40" s="7"/>
      <c r="CO40" s="7"/>
      <c r="CP40" s="7"/>
      <c r="CQ40" s="7"/>
      <c r="CR40" s="7"/>
      <c r="CS40" s="7"/>
    </row>
    <row r="41" spans="1:97" ht="18.75" customHeight="1">
      <c r="A41" s="8"/>
      <c r="B41" s="21">
        <v>100070005</v>
      </c>
      <c r="C41" s="14">
        <v>10007</v>
      </c>
      <c r="D41" s="14" t="s">
        <v>80</v>
      </c>
      <c r="E41" s="14">
        <v>7</v>
      </c>
      <c r="F41" s="14">
        <v>7</v>
      </c>
      <c r="G41" s="14">
        <v>17</v>
      </c>
      <c r="H41" s="14">
        <v>99</v>
      </c>
      <c r="I41" s="21">
        <v>10</v>
      </c>
      <c r="J41" s="21">
        <v>60</v>
      </c>
      <c r="K41" s="21">
        <v>10</v>
      </c>
      <c r="L41" s="21">
        <v>60</v>
      </c>
      <c r="M41" s="21">
        <v>5</v>
      </c>
      <c r="N41" s="21">
        <v>1</v>
      </c>
      <c r="O41" s="21">
        <v>15</v>
      </c>
      <c r="P41" s="21">
        <v>60</v>
      </c>
      <c r="Q41" s="21">
        <v>5</v>
      </c>
      <c r="R41" s="21">
        <v>1</v>
      </c>
      <c r="S41" s="21">
        <v>15</v>
      </c>
      <c r="T41" s="21">
        <v>60</v>
      </c>
      <c r="U41" s="21">
        <v>15</v>
      </c>
      <c r="V41" s="21">
        <v>60</v>
      </c>
      <c r="W41" s="21">
        <v>10</v>
      </c>
      <c r="X41" s="21">
        <v>60</v>
      </c>
      <c r="Y41" s="21">
        <v>10</v>
      </c>
      <c r="Z41" s="21">
        <v>60</v>
      </c>
      <c r="AA41" s="21">
        <v>10</v>
      </c>
      <c r="AB41" s="21">
        <v>60</v>
      </c>
      <c r="AC41" s="21">
        <v>5</v>
      </c>
      <c r="AD41" s="21">
        <v>60</v>
      </c>
      <c r="AE41" s="21">
        <v>10</v>
      </c>
      <c r="AF41" s="21">
        <v>60</v>
      </c>
      <c r="AG41" s="21">
        <v>15</v>
      </c>
      <c r="AH41" s="21">
        <v>60</v>
      </c>
      <c r="AI41" s="21">
        <v>30</v>
      </c>
      <c r="AJ41" s="21">
        <v>60</v>
      </c>
      <c r="AK41" s="21">
        <v>15</v>
      </c>
      <c r="AL41" s="21">
        <v>60</v>
      </c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14"/>
      <c r="BH41" s="22"/>
      <c r="BI41" s="23"/>
      <c r="BJ41" s="14"/>
      <c r="BK41" s="14"/>
      <c r="BL41" s="22"/>
      <c r="BM41" s="14">
        <v>1</v>
      </c>
      <c r="BN41" s="21">
        <v>100070004</v>
      </c>
      <c r="BO41" s="22"/>
      <c r="BP41" s="14"/>
      <c r="BQ41" s="14"/>
      <c r="BR41" s="22"/>
      <c r="BS41" s="14"/>
      <c r="BT41" s="14"/>
      <c r="BU41" s="14"/>
      <c r="BV41" s="21">
        <v>3</v>
      </c>
      <c r="BW41" s="21">
        <v>20</v>
      </c>
      <c r="BX41" s="21">
        <v>50</v>
      </c>
      <c r="BY41" s="21">
        <v>1</v>
      </c>
      <c r="BZ41" s="14">
        <v>3</v>
      </c>
      <c r="CA41" s="14">
        <f t="shared" si="0"/>
        <v>119</v>
      </c>
      <c r="CB41" s="14">
        <v>100</v>
      </c>
      <c r="CC41" s="14"/>
      <c r="CD41" s="21">
        <v>1</v>
      </c>
      <c r="CE41" s="14">
        <v>4</v>
      </c>
      <c r="CF41" s="14">
        <f t="shared" si="1"/>
        <v>119</v>
      </c>
      <c r="CG41" s="14">
        <v>100</v>
      </c>
      <c r="CH41" s="14"/>
      <c r="CI41" s="14"/>
      <c r="CJ41" s="14"/>
      <c r="CK41" s="14"/>
      <c r="CL41" s="16"/>
      <c r="CM41" s="7"/>
      <c r="CN41" s="7"/>
      <c r="CO41" s="7"/>
      <c r="CP41" s="7"/>
      <c r="CQ41" s="7"/>
      <c r="CR41" s="7"/>
      <c r="CS41" s="7"/>
    </row>
    <row r="42" spans="1:97" ht="18.75" customHeight="1">
      <c r="A42" s="8"/>
      <c r="B42" s="21">
        <v>100080001</v>
      </c>
      <c r="C42" s="14">
        <v>10008</v>
      </c>
      <c r="D42" s="14" t="s">
        <v>81</v>
      </c>
      <c r="E42" s="14">
        <v>7.2</v>
      </c>
      <c r="F42" s="14">
        <v>7.2</v>
      </c>
      <c r="G42" s="14">
        <v>18</v>
      </c>
      <c r="H42" s="14">
        <v>99</v>
      </c>
      <c r="I42" s="21">
        <v>6</v>
      </c>
      <c r="J42" s="21">
        <v>62</v>
      </c>
      <c r="K42" s="21">
        <v>6</v>
      </c>
      <c r="L42" s="21">
        <v>62</v>
      </c>
      <c r="M42" s="21">
        <v>11</v>
      </c>
      <c r="N42" s="21">
        <v>1</v>
      </c>
      <c r="O42" s="21">
        <v>1</v>
      </c>
      <c r="P42" s="21">
        <v>62</v>
      </c>
      <c r="Q42" s="21">
        <v>11</v>
      </c>
      <c r="R42" s="21">
        <v>1</v>
      </c>
      <c r="S42" s="21">
        <v>1</v>
      </c>
      <c r="T42" s="21">
        <v>62</v>
      </c>
      <c r="U42" s="21">
        <v>1</v>
      </c>
      <c r="V42" s="21">
        <v>62</v>
      </c>
      <c r="W42" s="21">
        <v>6</v>
      </c>
      <c r="X42" s="21">
        <v>62</v>
      </c>
      <c r="Y42" s="21">
        <v>16</v>
      </c>
      <c r="Z42" s="21">
        <v>62</v>
      </c>
      <c r="AA42" s="21">
        <v>11</v>
      </c>
      <c r="AB42" s="21">
        <v>62</v>
      </c>
      <c r="AC42" s="21">
        <v>11</v>
      </c>
      <c r="AD42" s="21">
        <v>62</v>
      </c>
      <c r="AE42" s="21">
        <v>1</v>
      </c>
      <c r="AF42" s="21">
        <v>62</v>
      </c>
      <c r="AG42" s="21">
        <v>11</v>
      </c>
      <c r="AH42" s="21">
        <v>62</v>
      </c>
      <c r="AI42" s="21">
        <v>21</v>
      </c>
      <c r="AJ42" s="21">
        <v>62</v>
      </c>
      <c r="AK42" s="21">
        <v>6</v>
      </c>
      <c r="AL42" s="21">
        <v>62</v>
      </c>
      <c r="AM42" s="21">
        <v>26</v>
      </c>
      <c r="AN42" s="21">
        <v>62</v>
      </c>
      <c r="AO42" s="21">
        <v>11</v>
      </c>
      <c r="AP42" s="21">
        <v>62</v>
      </c>
      <c r="AQ42" s="21">
        <v>1</v>
      </c>
      <c r="AR42" s="21">
        <v>62</v>
      </c>
      <c r="AS42" s="21">
        <v>46</v>
      </c>
      <c r="AT42" s="21">
        <v>62</v>
      </c>
      <c r="AU42" s="21">
        <v>6</v>
      </c>
      <c r="AV42" s="21">
        <v>62</v>
      </c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14"/>
      <c r="BH42" s="14"/>
      <c r="BI42" s="24"/>
      <c r="BJ42" s="14"/>
      <c r="BK42" s="14"/>
      <c r="BL42" s="14"/>
      <c r="BM42" s="14">
        <v>1</v>
      </c>
      <c r="BN42" s="21">
        <v>100070005</v>
      </c>
      <c r="BO42" s="14"/>
      <c r="BP42" s="14"/>
      <c r="BQ42" s="14"/>
      <c r="BR42" s="14"/>
      <c r="BS42" s="14"/>
      <c r="BT42" s="14"/>
      <c r="BU42" s="14"/>
      <c r="BV42" s="21">
        <v>1</v>
      </c>
      <c r="BW42" s="21">
        <v>4</v>
      </c>
      <c r="BX42" s="21">
        <v>20000</v>
      </c>
      <c r="BY42" s="21">
        <v>1</v>
      </c>
      <c r="BZ42" s="14">
        <v>3</v>
      </c>
      <c r="CA42" s="14">
        <f t="shared" si="0"/>
        <v>130</v>
      </c>
      <c r="CB42" s="14">
        <v>100</v>
      </c>
      <c r="CC42" s="14"/>
      <c r="CD42" s="21">
        <v>1</v>
      </c>
      <c r="CE42" s="14">
        <v>4</v>
      </c>
      <c r="CF42" s="14">
        <f t="shared" si="1"/>
        <v>130</v>
      </c>
      <c r="CG42" s="14">
        <v>100</v>
      </c>
      <c r="CH42" s="14"/>
      <c r="CI42" s="14"/>
      <c r="CJ42" s="14"/>
      <c r="CK42" s="14"/>
      <c r="CL42" s="16"/>
      <c r="CM42" s="7"/>
      <c r="CN42" s="7"/>
      <c r="CO42" s="7"/>
      <c r="CP42" s="7"/>
      <c r="CQ42" s="7"/>
      <c r="CR42" s="7"/>
      <c r="CS42" s="7"/>
    </row>
    <row r="43" spans="1:97" ht="18.75" customHeight="1">
      <c r="A43" s="8"/>
      <c r="B43" s="21">
        <v>100080002</v>
      </c>
      <c r="C43" s="14">
        <v>10008</v>
      </c>
      <c r="D43" s="14" t="s">
        <v>82</v>
      </c>
      <c r="E43" s="14">
        <v>7.4</v>
      </c>
      <c r="F43" s="14">
        <v>7.4</v>
      </c>
      <c r="G43" s="14">
        <v>18</v>
      </c>
      <c r="H43" s="14">
        <v>99</v>
      </c>
      <c r="I43" s="21">
        <v>7</v>
      </c>
      <c r="J43" s="21">
        <v>64</v>
      </c>
      <c r="K43" s="21">
        <v>7</v>
      </c>
      <c r="L43" s="21">
        <v>64</v>
      </c>
      <c r="M43" s="21">
        <v>12</v>
      </c>
      <c r="N43" s="21">
        <v>1</v>
      </c>
      <c r="O43" s="21">
        <v>2</v>
      </c>
      <c r="P43" s="21">
        <v>64</v>
      </c>
      <c r="Q43" s="21">
        <v>12</v>
      </c>
      <c r="R43" s="21">
        <v>1</v>
      </c>
      <c r="S43" s="21">
        <v>2</v>
      </c>
      <c r="T43" s="21">
        <v>64</v>
      </c>
      <c r="U43" s="21">
        <v>2</v>
      </c>
      <c r="V43" s="21">
        <v>64</v>
      </c>
      <c r="W43" s="21">
        <v>7</v>
      </c>
      <c r="X43" s="21">
        <v>64</v>
      </c>
      <c r="Y43" s="21">
        <v>17</v>
      </c>
      <c r="Z43" s="21">
        <v>64</v>
      </c>
      <c r="AA43" s="21">
        <v>12</v>
      </c>
      <c r="AB43" s="21">
        <v>64</v>
      </c>
      <c r="AC43" s="21">
        <v>12</v>
      </c>
      <c r="AD43" s="21">
        <v>64</v>
      </c>
      <c r="AE43" s="21">
        <v>2</v>
      </c>
      <c r="AF43" s="21">
        <v>64</v>
      </c>
      <c r="AG43" s="21">
        <v>12</v>
      </c>
      <c r="AH43" s="21">
        <v>64</v>
      </c>
      <c r="AI43" s="21">
        <v>22</v>
      </c>
      <c r="AJ43" s="21">
        <v>64</v>
      </c>
      <c r="AK43" s="21">
        <v>7</v>
      </c>
      <c r="AL43" s="21">
        <v>64</v>
      </c>
      <c r="AM43" s="21">
        <v>27</v>
      </c>
      <c r="AN43" s="21">
        <v>64</v>
      </c>
      <c r="AO43" s="21">
        <v>12</v>
      </c>
      <c r="AP43" s="21">
        <v>64</v>
      </c>
      <c r="AQ43" s="21">
        <v>2</v>
      </c>
      <c r="AR43" s="21">
        <v>64</v>
      </c>
      <c r="AS43" s="21">
        <v>47</v>
      </c>
      <c r="AT43" s="21">
        <v>64</v>
      </c>
      <c r="AU43" s="21">
        <v>7</v>
      </c>
      <c r="AV43" s="21">
        <v>64</v>
      </c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14"/>
      <c r="BH43" s="14"/>
      <c r="BI43" s="24"/>
      <c r="BJ43" s="14"/>
      <c r="BK43" s="14"/>
      <c r="BL43" s="14"/>
      <c r="BM43" s="14">
        <v>1</v>
      </c>
      <c r="BN43" s="21">
        <v>100080001</v>
      </c>
      <c r="BO43" s="14"/>
      <c r="BP43" s="14"/>
      <c r="BQ43" s="14"/>
      <c r="BR43" s="14"/>
      <c r="BS43" s="14"/>
      <c r="BT43" s="14"/>
      <c r="BU43" s="14"/>
      <c r="BV43" s="21">
        <v>1</v>
      </c>
      <c r="BW43" s="21">
        <v>4</v>
      </c>
      <c r="BX43" s="21">
        <v>30000</v>
      </c>
      <c r="BY43" s="21">
        <v>1</v>
      </c>
      <c r="BZ43" s="14">
        <v>3</v>
      </c>
      <c r="CA43" s="14">
        <f t="shared" si="0"/>
        <v>133</v>
      </c>
      <c r="CB43" s="14">
        <v>100</v>
      </c>
      <c r="CC43" s="14"/>
      <c r="CD43" s="21">
        <v>1</v>
      </c>
      <c r="CE43" s="14">
        <v>4</v>
      </c>
      <c r="CF43" s="14">
        <f t="shared" si="1"/>
        <v>133</v>
      </c>
      <c r="CG43" s="14">
        <v>100</v>
      </c>
      <c r="CH43" s="14"/>
      <c r="CI43" s="14"/>
      <c r="CJ43" s="14"/>
      <c r="CK43" s="14"/>
      <c r="CL43" s="16"/>
      <c r="CM43" s="7"/>
      <c r="CN43" s="7"/>
      <c r="CO43" s="7"/>
      <c r="CP43" s="7"/>
      <c r="CQ43" s="7"/>
      <c r="CR43" s="7"/>
      <c r="CS43" s="7"/>
    </row>
    <row r="44" spans="1:97" ht="18.75" customHeight="1">
      <c r="A44" s="8"/>
      <c r="B44" s="21">
        <v>100080003</v>
      </c>
      <c r="C44" s="14">
        <v>10008</v>
      </c>
      <c r="D44" s="14" t="s">
        <v>83</v>
      </c>
      <c r="E44" s="14">
        <v>7.6</v>
      </c>
      <c r="F44" s="14">
        <v>7.6</v>
      </c>
      <c r="G44" s="14">
        <v>18</v>
      </c>
      <c r="H44" s="14">
        <v>99</v>
      </c>
      <c r="I44" s="21">
        <v>8</v>
      </c>
      <c r="J44" s="21">
        <v>66</v>
      </c>
      <c r="K44" s="21">
        <v>8</v>
      </c>
      <c r="L44" s="21">
        <v>66</v>
      </c>
      <c r="M44" s="21">
        <v>13</v>
      </c>
      <c r="N44" s="21">
        <v>1</v>
      </c>
      <c r="O44" s="21">
        <v>3</v>
      </c>
      <c r="P44" s="21">
        <v>66</v>
      </c>
      <c r="Q44" s="21">
        <v>13</v>
      </c>
      <c r="R44" s="21">
        <v>1</v>
      </c>
      <c r="S44" s="21">
        <v>3</v>
      </c>
      <c r="T44" s="21">
        <v>66</v>
      </c>
      <c r="U44" s="21">
        <v>3</v>
      </c>
      <c r="V44" s="21">
        <v>66</v>
      </c>
      <c r="W44" s="21">
        <v>8</v>
      </c>
      <c r="X44" s="21">
        <v>66</v>
      </c>
      <c r="Y44" s="21">
        <v>18</v>
      </c>
      <c r="Z44" s="21">
        <v>66</v>
      </c>
      <c r="AA44" s="21">
        <v>13</v>
      </c>
      <c r="AB44" s="21">
        <v>66</v>
      </c>
      <c r="AC44" s="21">
        <v>13</v>
      </c>
      <c r="AD44" s="21">
        <v>66</v>
      </c>
      <c r="AE44" s="21">
        <v>3</v>
      </c>
      <c r="AF44" s="21">
        <v>66</v>
      </c>
      <c r="AG44" s="21">
        <v>13</v>
      </c>
      <c r="AH44" s="21">
        <v>66</v>
      </c>
      <c r="AI44" s="21">
        <v>23</v>
      </c>
      <c r="AJ44" s="21">
        <v>66</v>
      </c>
      <c r="AK44" s="21">
        <v>8</v>
      </c>
      <c r="AL44" s="21">
        <v>66</v>
      </c>
      <c r="AM44" s="21">
        <v>28</v>
      </c>
      <c r="AN44" s="21">
        <v>66</v>
      </c>
      <c r="AO44" s="21">
        <v>13</v>
      </c>
      <c r="AP44" s="21">
        <v>66</v>
      </c>
      <c r="AQ44" s="21">
        <v>3</v>
      </c>
      <c r="AR44" s="21">
        <v>66</v>
      </c>
      <c r="AS44" s="21">
        <v>48</v>
      </c>
      <c r="AT44" s="21">
        <v>66</v>
      </c>
      <c r="AU44" s="21">
        <v>8</v>
      </c>
      <c r="AV44" s="21">
        <v>66</v>
      </c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14"/>
      <c r="BH44" s="14"/>
      <c r="BI44" s="24"/>
      <c r="BJ44" s="14"/>
      <c r="BK44" s="14"/>
      <c r="BL44" s="14"/>
      <c r="BM44" s="14">
        <v>1</v>
      </c>
      <c r="BN44" s="21">
        <v>100080002</v>
      </c>
      <c r="BO44" s="14"/>
      <c r="BP44" s="14"/>
      <c r="BQ44" s="14"/>
      <c r="BR44" s="14"/>
      <c r="BS44" s="14"/>
      <c r="BT44" s="14"/>
      <c r="BU44" s="14"/>
      <c r="BV44" s="21">
        <v>1</v>
      </c>
      <c r="BW44" s="21">
        <v>4</v>
      </c>
      <c r="BX44" s="21">
        <v>40000</v>
      </c>
      <c r="BY44" s="21">
        <v>1</v>
      </c>
      <c r="BZ44" s="14">
        <v>3</v>
      </c>
      <c r="CA44" s="14">
        <f t="shared" si="0"/>
        <v>137</v>
      </c>
      <c r="CB44" s="14">
        <v>100</v>
      </c>
      <c r="CC44" s="14"/>
      <c r="CD44" s="21">
        <v>1</v>
      </c>
      <c r="CE44" s="14">
        <v>4</v>
      </c>
      <c r="CF44" s="14">
        <f t="shared" si="1"/>
        <v>137</v>
      </c>
      <c r="CG44" s="14">
        <v>100</v>
      </c>
      <c r="CH44" s="14"/>
      <c r="CI44" s="14"/>
      <c r="CJ44" s="14"/>
      <c r="CK44" s="14"/>
      <c r="CL44" s="16"/>
      <c r="CM44" s="7"/>
      <c r="CN44" s="7"/>
      <c r="CO44" s="7"/>
      <c r="CP44" s="7"/>
      <c r="CQ44" s="7"/>
      <c r="CR44" s="7"/>
      <c r="CS44" s="7"/>
    </row>
    <row r="45" spans="1:97" ht="18.75" customHeight="1">
      <c r="A45" s="8"/>
      <c r="B45" s="21">
        <v>100080004</v>
      </c>
      <c r="C45" s="14">
        <v>10008</v>
      </c>
      <c r="D45" s="14" t="s">
        <v>84</v>
      </c>
      <c r="E45" s="14">
        <v>7.8</v>
      </c>
      <c r="F45" s="14">
        <v>7.8</v>
      </c>
      <c r="G45" s="14">
        <v>19</v>
      </c>
      <c r="H45" s="14">
        <v>99</v>
      </c>
      <c r="I45" s="21">
        <v>9</v>
      </c>
      <c r="J45" s="21">
        <v>68</v>
      </c>
      <c r="K45" s="21">
        <v>9</v>
      </c>
      <c r="L45" s="21">
        <v>68</v>
      </c>
      <c r="M45" s="21">
        <v>14</v>
      </c>
      <c r="N45" s="21">
        <v>1</v>
      </c>
      <c r="O45" s="21">
        <v>4</v>
      </c>
      <c r="P45" s="21">
        <v>68</v>
      </c>
      <c r="Q45" s="21">
        <v>14</v>
      </c>
      <c r="R45" s="21">
        <v>1</v>
      </c>
      <c r="S45" s="21">
        <v>4</v>
      </c>
      <c r="T45" s="21">
        <v>68</v>
      </c>
      <c r="U45" s="21">
        <v>4</v>
      </c>
      <c r="V45" s="21">
        <v>68</v>
      </c>
      <c r="W45" s="21">
        <v>9</v>
      </c>
      <c r="X45" s="21">
        <v>68</v>
      </c>
      <c r="Y45" s="21">
        <v>19</v>
      </c>
      <c r="Z45" s="21">
        <v>68</v>
      </c>
      <c r="AA45" s="21">
        <v>14</v>
      </c>
      <c r="AB45" s="21">
        <v>68</v>
      </c>
      <c r="AC45" s="21">
        <v>14</v>
      </c>
      <c r="AD45" s="21">
        <v>68</v>
      </c>
      <c r="AE45" s="21">
        <v>4</v>
      </c>
      <c r="AF45" s="21">
        <v>68</v>
      </c>
      <c r="AG45" s="21">
        <v>14</v>
      </c>
      <c r="AH45" s="21">
        <v>68</v>
      </c>
      <c r="AI45" s="21">
        <v>24</v>
      </c>
      <c r="AJ45" s="21">
        <v>68</v>
      </c>
      <c r="AK45" s="21">
        <v>9</v>
      </c>
      <c r="AL45" s="21">
        <v>68</v>
      </c>
      <c r="AM45" s="21">
        <v>29</v>
      </c>
      <c r="AN45" s="21">
        <v>68</v>
      </c>
      <c r="AO45" s="21">
        <v>14</v>
      </c>
      <c r="AP45" s="21">
        <v>68</v>
      </c>
      <c r="AQ45" s="21">
        <v>4</v>
      </c>
      <c r="AR45" s="21">
        <v>68</v>
      </c>
      <c r="AS45" s="21">
        <v>49</v>
      </c>
      <c r="AT45" s="21">
        <v>68</v>
      </c>
      <c r="AU45" s="21">
        <v>9</v>
      </c>
      <c r="AV45" s="21">
        <v>68</v>
      </c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14"/>
      <c r="BH45" s="14"/>
      <c r="BI45" s="24"/>
      <c r="BJ45" s="14"/>
      <c r="BK45" s="14"/>
      <c r="BL45" s="14"/>
      <c r="BM45" s="14">
        <v>1</v>
      </c>
      <c r="BN45" s="21">
        <v>100080003</v>
      </c>
      <c r="BO45" s="14"/>
      <c r="BP45" s="14"/>
      <c r="BQ45" s="14"/>
      <c r="BR45" s="14"/>
      <c r="BS45" s="14"/>
      <c r="BT45" s="14"/>
      <c r="BU45" s="14"/>
      <c r="BV45" s="21">
        <v>1</v>
      </c>
      <c r="BW45" s="21">
        <v>4</v>
      </c>
      <c r="BX45" s="21">
        <v>50000</v>
      </c>
      <c r="BY45" s="21">
        <v>1</v>
      </c>
      <c r="BZ45" s="14">
        <v>3</v>
      </c>
      <c r="CA45" s="14">
        <f t="shared" si="0"/>
        <v>148</v>
      </c>
      <c r="CB45" s="14">
        <v>100</v>
      </c>
      <c r="CC45" s="14"/>
      <c r="CD45" s="21">
        <v>1</v>
      </c>
      <c r="CE45" s="14">
        <v>4</v>
      </c>
      <c r="CF45" s="14">
        <f t="shared" si="1"/>
        <v>148</v>
      </c>
      <c r="CG45" s="14">
        <v>100</v>
      </c>
      <c r="CH45" s="14"/>
      <c r="CI45" s="14"/>
      <c r="CJ45" s="14"/>
      <c r="CK45" s="14"/>
      <c r="CL45" s="16"/>
      <c r="CM45" s="7"/>
      <c r="CN45" s="7"/>
      <c r="CO45" s="7"/>
      <c r="CP45" s="7"/>
      <c r="CQ45" s="7"/>
      <c r="CR45" s="7"/>
      <c r="CS45" s="7"/>
    </row>
    <row r="46" spans="1:97" ht="18.75" customHeight="1">
      <c r="A46" s="8"/>
      <c r="B46" s="21">
        <v>100080005</v>
      </c>
      <c r="C46" s="14">
        <v>10008</v>
      </c>
      <c r="D46" s="14" t="s">
        <v>85</v>
      </c>
      <c r="E46" s="14">
        <v>8</v>
      </c>
      <c r="F46" s="14">
        <v>8</v>
      </c>
      <c r="G46" s="14">
        <v>19</v>
      </c>
      <c r="H46" s="14">
        <v>99</v>
      </c>
      <c r="I46" s="21">
        <v>10</v>
      </c>
      <c r="J46" s="21">
        <v>70</v>
      </c>
      <c r="K46" s="21">
        <v>10</v>
      </c>
      <c r="L46" s="21">
        <v>70</v>
      </c>
      <c r="M46" s="21">
        <v>15</v>
      </c>
      <c r="N46" s="21">
        <v>1</v>
      </c>
      <c r="O46" s="21">
        <v>5</v>
      </c>
      <c r="P46" s="21">
        <v>70</v>
      </c>
      <c r="Q46" s="21">
        <v>15</v>
      </c>
      <c r="R46" s="21">
        <v>1</v>
      </c>
      <c r="S46" s="21">
        <v>5</v>
      </c>
      <c r="T46" s="21">
        <v>70</v>
      </c>
      <c r="U46" s="21">
        <v>5</v>
      </c>
      <c r="V46" s="21">
        <v>70</v>
      </c>
      <c r="W46" s="21">
        <v>10</v>
      </c>
      <c r="X46" s="21">
        <v>70</v>
      </c>
      <c r="Y46" s="21">
        <v>20</v>
      </c>
      <c r="Z46" s="21">
        <v>70</v>
      </c>
      <c r="AA46" s="21">
        <v>15</v>
      </c>
      <c r="AB46" s="21">
        <v>70</v>
      </c>
      <c r="AC46" s="21">
        <v>15</v>
      </c>
      <c r="AD46" s="21">
        <v>70</v>
      </c>
      <c r="AE46" s="21">
        <v>5</v>
      </c>
      <c r="AF46" s="21">
        <v>70</v>
      </c>
      <c r="AG46" s="21">
        <v>15</v>
      </c>
      <c r="AH46" s="21">
        <v>70</v>
      </c>
      <c r="AI46" s="21">
        <v>25</v>
      </c>
      <c r="AJ46" s="21">
        <v>70</v>
      </c>
      <c r="AK46" s="21">
        <v>10</v>
      </c>
      <c r="AL46" s="21">
        <v>70</v>
      </c>
      <c r="AM46" s="21">
        <v>30</v>
      </c>
      <c r="AN46" s="21">
        <v>70</v>
      </c>
      <c r="AO46" s="21">
        <v>15</v>
      </c>
      <c r="AP46" s="21">
        <v>70</v>
      </c>
      <c r="AQ46" s="21">
        <v>5</v>
      </c>
      <c r="AR46" s="21">
        <v>70</v>
      </c>
      <c r="AS46" s="21">
        <v>50</v>
      </c>
      <c r="AT46" s="21">
        <v>70</v>
      </c>
      <c r="AU46" s="21">
        <v>10</v>
      </c>
      <c r="AV46" s="21">
        <v>70</v>
      </c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14"/>
      <c r="BH46" s="14"/>
      <c r="BI46" s="24"/>
      <c r="BJ46" s="14"/>
      <c r="BK46" s="14"/>
      <c r="BL46" s="14"/>
      <c r="BM46" s="14">
        <v>1</v>
      </c>
      <c r="BN46" s="21">
        <v>100080004</v>
      </c>
      <c r="BO46" s="14"/>
      <c r="BP46" s="14"/>
      <c r="BQ46" s="14"/>
      <c r="BR46" s="14"/>
      <c r="BS46" s="14"/>
      <c r="BT46" s="14"/>
      <c r="BU46" s="14"/>
      <c r="BV46" s="21">
        <v>1</v>
      </c>
      <c r="BW46" s="21">
        <v>1</v>
      </c>
      <c r="BX46" s="21">
        <v>30</v>
      </c>
      <c r="BY46" s="21">
        <v>1</v>
      </c>
      <c r="BZ46" s="14">
        <v>3</v>
      </c>
      <c r="CA46" s="14">
        <f t="shared" si="0"/>
        <v>152</v>
      </c>
      <c r="CB46" s="14">
        <v>100</v>
      </c>
      <c r="CC46" s="14"/>
      <c r="CD46" s="21">
        <v>1</v>
      </c>
      <c r="CE46" s="14">
        <v>4</v>
      </c>
      <c r="CF46" s="14">
        <f t="shared" si="1"/>
        <v>152</v>
      </c>
      <c r="CG46" s="14">
        <v>100</v>
      </c>
      <c r="CH46" s="14"/>
      <c r="CI46" s="14"/>
      <c r="CJ46" s="14"/>
      <c r="CK46" s="14"/>
      <c r="CL46" s="16"/>
      <c r="CM46" s="7"/>
      <c r="CN46" s="7"/>
      <c r="CO46" s="7"/>
      <c r="CP46" s="7"/>
      <c r="CQ46" s="7"/>
      <c r="CR46" s="7"/>
      <c r="CS46" s="7"/>
    </row>
    <row r="47" spans="1:97" ht="18.75" customHeight="1">
      <c r="A47" s="8"/>
      <c r="B47" s="21">
        <v>100090001</v>
      </c>
      <c r="C47" s="14">
        <v>10009</v>
      </c>
      <c r="D47" s="14" t="s">
        <v>86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21">
        <v>1</v>
      </c>
      <c r="J47" s="21">
        <v>72</v>
      </c>
      <c r="K47" s="21">
        <v>6</v>
      </c>
      <c r="L47" s="21">
        <v>72</v>
      </c>
      <c r="M47" s="21">
        <v>11</v>
      </c>
      <c r="N47" s="21">
        <v>1</v>
      </c>
      <c r="O47" s="21">
        <v>11</v>
      </c>
      <c r="P47" s="21">
        <v>72</v>
      </c>
      <c r="Q47" s="21">
        <v>11</v>
      </c>
      <c r="R47" s="21">
        <v>1</v>
      </c>
      <c r="S47" s="21">
        <v>6</v>
      </c>
      <c r="T47" s="21">
        <v>72</v>
      </c>
      <c r="U47" s="21">
        <v>6</v>
      </c>
      <c r="V47" s="21">
        <v>72</v>
      </c>
      <c r="W47" s="21">
        <v>11</v>
      </c>
      <c r="X47" s="21">
        <v>72</v>
      </c>
      <c r="Y47" s="21">
        <v>21</v>
      </c>
      <c r="Z47" s="21">
        <v>72</v>
      </c>
      <c r="AA47" s="21">
        <v>1</v>
      </c>
      <c r="AB47" s="21">
        <v>72</v>
      </c>
      <c r="AC47" s="21">
        <v>16</v>
      </c>
      <c r="AD47" s="21">
        <v>72</v>
      </c>
      <c r="AE47" s="21">
        <v>1</v>
      </c>
      <c r="AF47" s="21">
        <v>72</v>
      </c>
      <c r="AG47" s="21">
        <v>6</v>
      </c>
      <c r="AH47" s="21">
        <v>72</v>
      </c>
      <c r="AI47" s="21">
        <v>26</v>
      </c>
      <c r="AJ47" s="21">
        <v>72</v>
      </c>
      <c r="AK47" s="21">
        <v>11</v>
      </c>
      <c r="AL47" s="21">
        <v>72</v>
      </c>
      <c r="AM47" s="21">
        <v>16</v>
      </c>
      <c r="AN47" s="21">
        <v>72</v>
      </c>
      <c r="AO47" s="21">
        <v>21</v>
      </c>
      <c r="AP47" s="21">
        <v>72</v>
      </c>
      <c r="AQ47" s="21">
        <v>11</v>
      </c>
      <c r="AR47" s="21">
        <v>72</v>
      </c>
      <c r="AS47" s="21">
        <v>51</v>
      </c>
      <c r="AT47" s="21">
        <v>72</v>
      </c>
      <c r="AU47" s="21">
        <v>11</v>
      </c>
      <c r="AV47" s="21">
        <v>72</v>
      </c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14"/>
      <c r="BH47" s="14"/>
      <c r="BI47" s="24"/>
      <c r="BJ47" s="14"/>
      <c r="BK47" s="14"/>
      <c r="BL47" s="14"/>
      <c r="BM47" s="14">
        <v>1</v>
      </c>
      <c r="BN47" s="21">
        <v>100080005</v>
      </c>
      <c r="BO47" s="14"/>
      <c r="BP47" s="14"/>
      <c r="BQ47" s="14"/>
      <c r="BR47" s="14"/>
      <c r="BS47" s="14"/>
      <c r="BT47" s="14"/>
      <c r="BU47" s="14"/>
      <c r="BV47" s="21">
        <v>3</v>
      </c>
      <c r="BW47" s="21">
        <v>21</v>
      </c>
      <c r="BX47" s="21">
        <v>1</v>
      </c>
      <c r="BY47" s="21">
        <v>1</v>
      </c>
      <c r="BZ47" s="14">
        <v>3</v>
      </c>
      <c r="CA47" s="14">
        <f t="shared" si="0"/>
        <v>164</v>
      </c>
      <c r="CB47" s="14">
        <v>100</v>
      </c>
      <c r="CC47" s="14"/>
      <c r="CD47" s="21">
        <v>1</v>
      </c>
      <c r="CE47" s="14">
        <v>4</v>
      </c>
      <c r="CF47" s="14">
        <f t="shared" si="1"/>
        <v>164</v>
      </c>
      <c r="CG47" s="14">
        <v>100</v>
      </c>
      <c r="CH47" s="14"/>
      <c r="CI47" s="14"/>
      <c r="CJ47" s="14"/>
      <c r="CK47" s="14"/>
      <c r="CL47" s="16"/>
      <c r="CM47" s="7"/>
      <c r="CN47" s="7"/>
      <c r="CO47" s="7"/>
      <c r="CP47" s="7"/>
      <c r="CQ47" s="7"/>
      <c r="CR47" s="7"/>
      <c r="CS47" s="7"/>
    </row>
    <row r="48" spans="1:97" ht="18.75" customHeight="1">
      <c r="A48" s="8"/>
      <c r="B48" s="21">
        <v>100090002</v>
      </c>
      <c r="C48" s="14">
        <v>10009</v>
      </c>
      <c r="D48" s="14" t="s">
        <v>87</v>
      </c>
      <c r="E48" s="14">
        <v>8.4</v>
      </c>
      <c r="F48" s="14">
        <v>8.4</v>
      </c>
      <c r="G48" s="14">
        <v>20</v>
      </c>
      <c r="H48" s="14">
        <v>99</v>
      </c>
      <c r="I48" s="21">
        <v>2</v>
      </c>
      <c r="J48" s="21">
        <v>74</v>
      </c>
      <c r="K48" s="21">
        <v>7</v>
      </c>
      <c r="L48" s="21">
        <v>74</v>
      </c>
      <c r="M48" s="21">
        <v>12</v>
      </c>
      <c r="N48" s="21">
        <v>1</v>
      </c>
      <c r="O48" s="21">
        <v>12</v>
      </c>
      <c r="P48" s="21">
        <v>74</v>
      </c>
      <c r="Q48" s="21">
        <v>12</v>
      </c>
      <c r="R48" s="21">
        <v>1</v>
      </c>
      <c r="S48" s="21">
        <v>7</v>
      </c>
      <c r="T48" s="21">
        <v>74</v>
      </c>
      <c r="U48" s="21">
        <v>7</v>
      </c>
      <c r="V48" s="21">
        <v>74</v>
      </c>
      <c r="W48" s="21">
        <v>12</v>
      </c>
      <c r="X48" s="21">
        <v>74</v>
      </c>
      <c r="Y48" s="21">
        <v>22</v>
      </c>
      <c r="Z48" s="21">
        <v>74</v>
      </c>
      <c r="AA48" s="21">
        <v>2</v>
      </c>
      <c r="AB48" s="21">
        <v>74</v>
      </c>
      <c r="AC48" s="21">
        <v>17</v>
      </c>
      <c r="AD48" s="21">
        <v>74</v>
      </c>
      <c r="AE48" s="21">
        <v>2</v>
      </c>
      <c r="AF48" s="21">
        <v>74</v>
      </c>
      <c r="AG48" s="21">
        <v>7</v>
      </c>
      <c r="AH48" s="21">
        <v>74</v>
      </c>
      <c r="AI48" s="21">
        <v>27</v>
      </c>
      <c r="AJ48" s="21">
        <v>74</v>
      </c>
      <c r="AK48" s="21">
        <v>12</v>
      </c>
      <c r="AL48" s="21">
        <v>74</v>
      </c>
      <c r="AM48" s="21">
        <v>17</v>
      </c>
      <c r="AN48" s="21">
        <v>74</v>
      </c>
      <c r="AO48" s="21">
        <v>22</v>
      </c>
      <c r="AP48" s="21">
        <v>74</v>
      </c>
      <c r="AQ48" s="21">
        <v>12</v>
      </c>
      <c r="AR48" s="21">
        <v>74</v>
      </c>
      <c r="AS48" s="21">
        <v>52</v>
      </c>
      <c r="AT48" s="21">
        <v>74</v>
      </c>
      <c r="AU48" s="21">
        <v>12</v>
      </c>
      <c r="AV48" s="21">
        <v>74</v>
      </c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14"/>
      <c r="BH48" s="14"/>
      <c r="BI48" s="24"/>
      <c r="BJ48" s="14"/>
      <c r="BK48" s="14"/>
      <c r="BL48" s="14"/>
      <c r="BM48" s="14">
        <v>1</v>
      </c>
      <c r="BN48" s="21">
        <v>100090001</v>
      </c>
      <c r="BO48" s="14"/>
      <c r="BP48" s="14"/>
      <c r="BQ48" s="14"/>
      <c r="BR48" s="14"/>
      <c r="BS48" s="14"/>
      <c r="BT48" s="14"/>
      <c r="BU48" s="14"/>
      <c r="BV48" s="21">
        <v>3</v>
      </c>
      <c r="BW48" s="21">
        <v>21</v>
      </c>
      <c r="BX48" s="21">
        <v>1</v>
      </c>
      <c r="BY48" s="21">
        <v>1</v>
      </c>
      <c r="BZ48" s="14">
        <v>3</v>
      </c>
      <c r="CA48" s="14">
        <f t="shared" si="0"/>
        <v>168</v>
      </c>
      <c r="CB48" s="14">
        <v>100</v>
      </c>
      <c r="CC48" s="14"/>
      <c r="CD48" s="21">
        <v>1</v>
      </c>
      <c r="CE48" s="14">
        <v>4</v>
      </c>
      <c r="CF48" s="14">
        <f t="shared" si="1"/>
        <v>168</v>
      </c>
      <c r="CG48" s="14">
        <v>100</v>
      </c>
      <c r="CH48" s="14"/>
      <c r="CI48" s="14"/>
      <c r="CJ48" s="14"/>
      <c r="CK48" s="14"/>
      <c r="CL48" s="16"/>
      <c r="CM48" s="7"/>
      <c r="CN48" s="7"/>
      <c r="CO48" s="7"/>
      <c r="CP48" s="7"/>
      <c r="CQ48" s="7"/>
      <c r="CR48" s="7"/>
      <c r="CS48" s="7"/>
    </row>
    <row r="49" spans="1:97" ht="18.75" customHeight="1">
      <c r="A49" s="8"/>
      <c r="B49" s="21">
        <v>100090003</v>
      </c>
      <c r="C49" s="14">
        <v>10009</v>
      </c>
      <c r="D49" s="14" t="s">
        <v>88</v>
      </c>
      <c r="E49" s="14">
        <v>8.6</v>
      </c>
      <c r="F49" s="14">
        <v>8.6</v>
      </c>
      <c r="G49" s="14">
        <v>20</v>
      </c>
      <c r="H49" s="14">
        <v>99</v>
      </c>
      <c r="I49" s="21">
        <v>3</v>
      </c>
      <c r="J49" s="21">
        <v>76</v>
      </c>
      <c r="K49" s="21">
        <v>8</v>
      </c>
      <c r="L49" s="21">
        <v>76</v>
      </c>
      <c r="M49" s="21">
        <v>13</v>
      </c>
      <c r="N49" s="21">
        <v>1</v>
      </c>
      <c r="O49" s="21">
        <v>13</v>
      </c>
      <c r="P49" s="21">
        <v>76</v>
      </c>
      <c r="Q49" s="21">
        <v>13</v>
      </c>
      <c r="R49" s="21">
        <v>1</v>
      </c>
      <c r="S49" s="21">
        <v>8</v>
      </c>
      <c r="T49" s="21">
        <v>76</v>
      </c>
      <c r="U49" s="21">
        <v>8</v>
      </c>
      <c r="V49" s="21">
        <v>76</v>
      </c>
      <c r="W49" s="21">
        <v>13</v>
      </c>
      <c r="X49" s="21">
        <v>76</v>
      </c>
      <c r="Y49" s="21">
        <v>23</v>
      </c>
      <c r="Z49" s="21">
        <v>76</v>
      </c>
      <c r="AA49" s="21">
        <v>3</v>
      </c>
      <c r="AB49" s="21">
        <v>76</v>
      </c>
      <c r="AC49" s="21">
        <v>18</v>
      </c>
      <c r="AD49" s="21">
        <v>76</v>
      </c>
      <c r="AE49" s="21">
        <v>3</v>
      </c>
      <c r="AF49" s="21">
        <v>76</v>
      </c>
      <c r="AG49" s="21">
        <v>8</v>
      </c>
      <c r="AH49" s="21">
        <v>76</v>
      </c>
      <c r="AI49" s="21">
        <v>28</v>
      </c>
      <c r="AJ49" s="21">
        <v>76</v>
      </c>
      <c r="AK49" s="21">
        <v>13</v>
      </c>
      <c r="AL49" s="21">
        <v>76</v>
      </c>
      <c r="AM49" s="21">
        <v>18</v>
      </c>
      <c r="AN49" s="21">
        <v>76</v>
      </c>
      <c r="AO49" s="21">
        <v>23</v>
      </c>
      <c r="AP49" s="21">
        <v>76</v>
      </c>
      <c r="AQ49" s="21">
        <v>13</v>
      </c>
      <c r="AR49" s="21">
        <v>76</v>
      </c>
      <c r="AS49" s="21">
        <v>53</v>
      </c>
      <c r="AT49" s="21">
        <v>76</v>
      </c>
      <c r="AU49" s="21">
        <v>13</v>
      </c>
      <c r="AV49" s="21">
        <v>76</v>
      </c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14"/>
      <c r="BH49" s="14"/>
      <c r="BI49" s="24"/>
      <c r="BJ49" s="14"/>
      <c r="BK49" s="14"/>
      <c r="BL49" s="14"/>
      <c r="BM49" s="14">
        <v>1</v>
      </c>
      <c r="BN49" s="21">
        <v>100090002</v>
      </c>
      <c r="BO49" s="14"/>
      <c r="BP49" s="14"/>
      <c r="BQ49" s="14"/>
      <c r="BR49" s="14"/>
      <c r="BS49" s="14"/>
      <c r="BT49" s="14"/>
      <c r="BU49" s="14"/>
      <c r="BV49" s="21">
        <v>3</v>
      </c>
      <c r="BW49" s="21">
        <v>21</v>
      </c>
      <c r="BX49" s="21">
        <v>1</v>
      </c>
      <c r="BY49" s="21">
        <v>1</v>
      </c>
      <c r="BZ49" s="14">
        <v>3</v>
      </c>
      <c r="CA49" s="14">
        <f t="shared" si="0"/>
        <v>172</v>
      </c>
      <c r="CB49" s="14">
        <v>100</v>
      </c>
      <c r="CC49" s="14"/>
      <c r="CD49" s="21">
        <v>1</v>
      </c>
      <c r="CE49" s="14">
        <v>4</v>
      </c>
      <c r="CF49" s="14">
        <f t="shared" si="1"/>
        <v>172</v>
      </c>
      <c r="CG49" s="14">
        <v>100</v>
      </c>
      <c r="CH49" s="14"/>
      <c r="CI49" s="14"/>
      <c r="CJ49" s="14"/>
      <c r="CK49" s="14"/>
      <c r="CL49" s="17"/>
      <c r="CM49" s="11"/>
      <c r="CN49" s="11"/>
      <c r="CO49" s="11"/>
      <c r="CP49" s="11"/>
      <c r="CQ49" s="11"/>
      <c r="CR49" s="11"/>
      <c r="CS49" s="11"/>
    </row>
    <row r="50" spans="1:97" ht="18.75" customHeight="1">
      <c r="B50" s="21">
        <v>100090004</v>
      </c>
      <c r="C50" s="14">
        <v>10009</v>
      </c>
      <c r="D50" s="14" t="s">
        <v>89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21">
        <v>4</v>
      </c>
      <c r="J50" s="21">
        <v>78</v>
      </c>
      <c r="K50" s="21">
        <v>9</v>
      </c>
      <c r="L50" s="21">
        <v>78</v>
      </c>
      <c r="M50" s="21">
        <v>14</v>
      </c>
      <c r="N50" s="21">
        <v>1</v>
      </c>
      <c r="O50" s="21">
        <v>14</v>
      </c>
      <c r="P50" s="21">
        <v>78</v>
      </c>
      <c r="Q50" s="21">
        <v>14</v>
      </c>
      <c r="R50" s="21">
        <v>1</v>
      </c>
      <c r="S50" s="21">
        <v>9</v>
      </c>
      <c r="T50" s="21">
        <v>78</v>
      </c>
      <c r="U50" s="21">
        <v>9</v>
      </c>
      <c r="V50" s="21">
        <v>78</v>
      </c>
      <c r="W50" s="21">
        <v>14</v>
      </c>
      <c r="X50" s="21">
        <v>78</v>
      </c>
      <c r="Y50" s="21">
        <v>24</v>
      </c>
      <c r="Z50" s="21">
        <v>78</v>
      </c>
      <c r="AA50" s="21">
        <v>4</v>
      </c>
      <c r="AB50" s="21">
        <v>78</v>
      </c>
      <c r="AC50" s="21">
        <v>19</v>
      </c>
      <c r="AD50" s="21">
        <v>78</v>
      </c>
      <c r="AE50" s="21">
        <v>4</v>
      </c>
      <c r="AF50" s="21">
        <v>78</v>
      </c>
      <c r="AG50" s="21">
        <v>9</v>
      </c>
      <c r="AH50" s="21">
        <v>78</v>
      </c>
      <c r="AI50" s="21">
        <v>29</v>
      </c>
      <c r="AJ50" s="21">
        <v>78</v>
      </c>
      <c r="AK50" s="21">
        <v>14</v>
      </c>
      <c r="AL50" s="21">
        <v>78</v>
      </c>
      <c r="AM50" s="21">
        <v>19</v>
      </c>
      <c r="AN50" s="21">
        <v>78</v>
      </c>
      <c r="AO50" s="21">
        <v>24</v>
      </c>
      <c r="AP50" s="21">
        <v>78</v>
      </c>
      <c r="AQ50" s="21">
        <v>14</v>
      </c>
      <c r="AR50" s="21">
        <v>78</v>
      </c>
      <c r="AS50" s="21">
        <v>54</v>
      </c>
      <c r="AT50" s="21">
        <v>78</v>
      </c>
      <c r="AU50" s="21">
        <v>14</v>
      </c>
      <c r="AV50" s="21">
        <v>78</v>
      </c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14"/>
      <c r="BH50" s="14"/>
      <c r="BI50" s="24"/>
      <c r="BJ50" s="35"/>
      <c r="BK50" s="35"/>
      <c r="BL50" s="14"/>
      <c r="BM50" s="14">
        <v>1</v>
      </c>
      <c r="BN50" s="21">
        <v>100090003</v>
      </c>
      <c r="BO50" s="14"/>
      <c r="BP50" s="35"/>
      <c r="BQ50" s="35"/>
      <c r="BR50" s="14"/>
      <c r="BS50" s="35"/>
      <c r="BT50" s="35"/>
      <c r="BU50" s="35"/>
      <c r="BV50" s="21">
        <v>3</v>
      </c>
      <c r="BW50" s="21">
        <v>21</v>
      </c>
      <c r="BX50" s="21">
        <v>1</v>
      </c>
      <c r="BY50" s="21">
        <v>1</v>
      </c>
      <c r="BZ50" s="14">
        <v>3</v>
      </c>
      <c r="CA50" s="14">
        <f t="shared" si="0"/>
        <v>185</v>
      </c>
      <c r="CB50" s="14">
        <v>100</v>
      </c>
      <c r="CC50" s="35"/>
      <c r="CD50" s="21">
        <v>1</v>
      </c>
      <c r="CE50" s="14">
        <v>4</v>
      </c>
      <c r="CF50" s="14">
        <f t="shared" si="1"/>
        <v>185</v>
      </c>
      <c r="CG50" s="14">
        <v>100</v>
      </c>
      <c r="CH50" s="35"/>
      <c r="CI50" s="35"/>
      <c r="CJ50" s="35"/>
      <c r="CK50" s="35"/>
      <c r="CL50" s="53"/>
      <c r="CM50" s="35"/>
      <c r="CN50" s="35"/>
      <c r="CO50" s="35"/>
      <c r="CP50" s="35"/>
      <c r="CQ50" s="35"/>
      <c r="CR50" s="35"/>
      <c r="CS50" s="35"/>
    </row>
    <row r="51" spans="1:97" ht="18.75" customHeight="1">
      <c r="B51" s="21">
        <v>100090005</v>
      </c>
      <c r="C51" s="14">
        <v>10009</v>
      </c>
      <c r="D51" s="14" t="s">
        <v>90</v>
      </c>
      <c r="E51" s="14">
        <v>9</v>
      </c>
      <c r="F51" s="14">
        <v>9</v>
      </c>
      <c r="G51" s="14">
        <v>21</v>
      </c>
      <c r="H51" s="14">
        <v>99</v>
      </c>
      <c r="I51" s="21">
        <v>5</v>
      </c>
      <c r="J51" s="21">
        <v>80</v>
      </c>
      <c r="K51" s="21">
        <v>10</v>
      </c>
      <c r="L51" s="21">
        <v>80</v>
      </c>
      <c r="M51" s="21">
        <v>15</v>
      </c>
      <c r="N51" s="21">
        <v>1</v>
      </c>
      <c r="O51" s="21">
        <v>15</v>
      </c>
      <c r="P51" s="21">
        <v>80</v>
      </c>
      <c r="Q51" s="21">
        <v>15</v>
      </c>
      <c r="R51" s="21">
        <v>1</v>
      </c>
      <c r="S51" s="21">
        <v>10</v>
      </c>
      <c r="T51" s="21">
        <v>80</v>
      </c>
      <c r="U51" s="21">
        <v>10</v>
      </c>
      <c r="V51" s="21">
        <v>80</v>
      </c>
      <c r="W51" s="21">
        <v>15</v>
      </c>
      <c r="X51" s="21">
        <v>80</v>
      </c>
      <c r="Y51" s="21">
        <v>25</v>
      </c>
      <c r="Z51" s="21">
        <v>80</v>
      </c>
      <c r="AA51" s="21">
        <v>5</v>
      </c>
      <c r="AB51" s="21">
        <v>80</v>
      </c>
      <c r="AC51" s="21">
        <v>20</v>
      </c>
      <c r="AD51" s="21">
        <v>80</v>
      </c>
      <c r="AE51" s="21">
        <v>5</v>
      </c>
      <c r="AF51" s="21">
        <v>80</v>
      </c>
      <c r="AG51" s="21">
        <v>10</v>
      </c>
      <c r="AH51" s="21">
        <v>80</v>
      </c>
      <c r="AI51" s="21">
        <v>30</v>
      </c>
      <c r="AJ51" s="21">
        <v>80</v>
      </c>
      <c r="AK51" s="21">
        <v>15</v>
      </c>
      <c r="AL51" s="21">
        <v>80</v>
      </c>
      <c r="AM51" s="21">
        <v>20</v>
      </c>
      <c r="AN51" s="21">
        <v>80</v>
      </c>
      <c r="AO51" s="21">
        <v>25</v>
      </c>
      <c r="AP51" s="21">
        <v>80</v>
      </c>
      <c r="AQ51" s="21">
        <v>15</v>
      </c>
      <c r="AR51" s="21">
        <v>80</v>
      </c>
      <c r="AS51" s="21">
        <v>55</v>
      </c>
      <c r="AT51" s="21">
        <v>80</v>
      </c>
      <c r="AU51" s="21">
        <v>15</v>
      </c>
      <c r="AV51" s="21">
        <v>80</v>
      </c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14"/>
      <c r="BH51" s="14"/>
      <c r="BI51" s="24"/>
      <c r="BJ51" s="35"/>
      <c r="BK51" s="35"/>
      <c r="BL51" s="14"/>
      <c r="BM51" s="14">
        <v>1</v>
      </c>
      <c r="BN51" s="21">
        <v>100090004</v>
      </c>
      <c r="BO51" s="14"/>
      <c r="BP51" s="35"/>
      <c r="BQ51" s="35"/>
      <c r="BR51" s="14"/>
      <c r="BS51" s="35"/>
      <c r="BT51" s="35"/>
      <c r="BU51" s="35"/>
      <c r="BV51" s="21">
        <v>3</v>
      </c>
      <c r="BW51" s="21">
        <v>21</v>
      </c>
      <c r="BX51" s="21">
        <v>1</v>
      </c>
      <c r="BY51" s="21">
        <v>1</v>
      </c>
      <c r="BZ51" s="14">
        <v>3</v>
      </c>
      <c r="CA51" s="14">
        <f t="shared" si="0"/>
        <v>189</v>
      </c>
      <c r="CB51" s="14">
        <v>100</v>
      </c>
      <c r="CC51" s="35"/>
      <c r="CD51" s="21">
        <v>1</v>
      </c>
      <c r="CE51" s="14">
        <v>4</v>
      </c>
      <c r="CF51" s="14">
        <f t="shared" si="1"/>
        <v>189</v>
      </c>
      <c r="CG51" s="14">
        <v>100</v>
      </c>
      <c r="CH51" s="35"/>
      <c r="CI51" s="35"/>
      <c r="CJ51" s="35"/>
      <c r="CK51" s="35"/>
      <c r="CL51" s="53"/>
      <c r="CM51" s="35"/>
      <c r="CN51" s="35"/>
      <c r="CO51" s="35"/>
      <c r="CP51" s="35"/>
      <c r="CQ51" s="35"/>
      <c r="CR51" s="35"/>
      <c r="CS51" s="35"/>
    </row>
    <row r="52" spans="1:97" ht="18.75" customHeight="1">
      <c r="B52" s="21">
        <v>100100001</v>
      </c>
      <c r="C52" s="14">
        <v>10010</v>
      </c>
      <c r="D52" s="14" t="s">
        <v>91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21">
        <v>1</v>
      </c>
      <c r="J52" s="21">
        <v>82</v>
      </c>
      <c r="K52" s="21">
        <v>1</v>
      </c>
      <c r="L52" s="21">
        <v>82</v>
      </c>
      <c r="M52" s="21">
        <v>6</v>
      </c>
      <c r="N52" s="21">
        <v>1</v>
      </c>
      <c r="O52" s="21">
        <v>16</v>
      </c>
      <c r="P52" s="21">
        <v>82</v>
      </c>
      <c r="Q52" s="21">
        <v>11</v>
      </c>
      <c r="R52" s="21">
        <v>1</v>
      </c>
      <c r="S52" s="21">
        <v>11</v>
      </c>
      <c r="T52" s="21">
        <v>82</v>
      </c>
      <c r="U52" s="21">
        <v>1</v>
      </c>
      <c r="V52" s="21">
        <v>82</v>
      </c>
      <c r="W52" s="21">
        <v>6</v>
      </c>
      <c r="X52" s="21">
        <v>82</v>
      </c>
      <c r="Y52" s="21">
        <v>21</v>
      </c>
      <c r="Z52" s="21">
        <v>82</v>
      </c>
      <c r="AA52" s="21">
        <v>6</v>
      </c>
      <c r="AB52" s="21">
        <v>82</v>
      </c>
      <c r="AC52" s="21">
        <v>11</v>
      </c>
      <c r="AD52" s="21">
        <v>82</v>
      </c>
      <c r="AE52" s="21">
        <v>11</v>
      </c>
      <c r="AF52" s="21">
        <v>82</v>
      </c>
      <c r="AG52" s="21">
        <v>1</v>
      </c>
      <c r="AH52" s="21">
        <v>82</v>
      </c>
      <c r="AI52" s="21">
        <v>26</v>
      </c>
      <c r="AJ52" s="21">
        <v>82</v>
      </c>
      <c r="AK52" s="21">
        <v>6</v>
      </c>
      <c r="AL52" s="21">
        <v>82</v>
      </c>
      <c r="AM52" s="21">
        <v>11</v>
      </c>
      <c r="AN52" s="21">
        <v>82</v>
      </c>
      <c r="AO52" s="21">
        <v>11</v>
      </c>
      <c r="AP52" s="21">
        <v>82</v>
      </c>
      <c r="AQ52" s="21">
        <v>16</v>
      </c>
      <c r="AR52" s="21">
        <v>82</v>
      </c>
      <c r="AS52" s="21">
        <v>21</v>
      </c>
      <c r="AT52" s="21">
        <v>82</v>
      </c>
      <c r="AU52" s="21">
        <v>26</v>
      </c>
      <c r="AV52" s="21">
        <v>82</v>
      </c>
      <c r="AW52" s="21">
        <v>16</v>
      </c>
      <c r="AX52" s="21">
        <v>82</v>
      </c>
      <c r="AY52" s="21">
        <v>21</v>
      </c>
      <c r="AZ52" s="21">
        <v>82</v>
      </c>
      <c r="BA52" s="21">
        <v>26</v>
      </c>
      <c r="BB52" s="21">
        <v>82</v>
      </c>
      <c r="BC52" s="21">
        <v>56</v>
      </c>
      <c r="BD52" s="21">
        <v>82</v>
      </c>
      <c r="BE52" s="21">
        <v>26</v>
      </c>
      <c r="BF52" s="21">
        <v>82</v>
      </c>
      <c r="BG52" s="14"/>
      <c r="BH52" s="14"/>
      <c r="BI52" s="24"/>
      <c r="BJ52" s="35"/>
      <c r="BK52" s="35"/>
      <c r="BL52" s="14"/>
      <c r="BM52" s="14">
        <v>1</v>
      </c>
      <c r="BN52" s="21">
        <v>100090005</v>
      </c>
      <c r="BO52" s="14"/>
      <c r="BP52" s="35"/>
      <c r="BQ52" s="35"/>
      <c r="BR52" s="14"/>
      <c r="BS52" s="35"/>
      <c r="BT52" s="35"/>
      <c r="BU52" s="35"/>
      <c r="BV52" s="21">
        <v>1</v>
      </c>
      <c r="BW52" s="21">
        <v>1</v>
      </c>
      <c r="BX52" s="21">
        <v>10</v>
      </c>
      <c r="BY52" s="21">
        <v>1</v>
      </c>
      <c r="BZ52" s="14">
        <v>3</v>
      </c>
      <c r="CA52" s="14">
        <f t="shared" si="0"/>
        <v>202</v>
      </c>
      <c r="CB52" s="14">
        <v>100</v>
      </c>
      <c r="CC52" s="35"/>
      <c r="CD52" s="21">
        <v>1</v>
      </c>
      <c r="CE52" s="14">
        <v>4</v>
      </c>
      <c r="CF52" s="14">
        <f t="shared" si="1"/>
        <v>202</v>
      </c>
      <c r="CG52" s="14">
        <v>100</v>
      </c>
      <c r="CH52" s="35"/>
      <c r="CI52" s="35"/>
      <c r="CJ52" s="35"/>
      <c r="CK52" s="35"/>
      <c r="CL52" s="53"/>
      <c r="CM52" s="35"/>
      <c r="CN52" s="35"/>
      <c r="CO52" s="35"/>
      <c r="CP52" s="35"/>
      <c r="CQ52" s="35"/>
      <c r="CR52" s="35"/>
      <c r="CS52" s="35"/>
    </row>
    <row r="53" spans="1:97" ht="18.75" customHeight="1">
      <c r="B53" s="21">
        <v>100100002</v>
      </c>
      <c r="C53" s="14">
        <v>10010</v>
      </c>
      <c r="D53" s="14" t="s">
        <v>92</v>
      </c>
      <c r="E53" s="14">
        <v>9.4</v>
      </c>
      <c r="F53" s="14">
        <v>9.4</v>
      </c>
      <c r="G53" s="14">
        <v>22</v>
      </c>
      <c r="H53" s="14">
        <v>99</v>
      </c>
      <c r="I53" s="21">
        <v>2</v>
      </c>
      <c r="J53" s="21">
        <v>84</v>
      </c>
      <c r="K53" s="21">
        <v>2</v>
      </c>
      <c r="L53" s="21">
        <v>84</v>
      </c>
      <c r="M53" s="21">
        <v>7</v>
      </c>
      <c r="N53" s="21">
        <v>1</v>
      </c>
      <c r="O53" s="21">
        <v>17</v>
      </c>
      <c r="P53" s="21">
        <v>84</v>
      </c>
      <c r="Q53" s="21">
        <v>12</v>
      </c>
      <c r="R53" s="21">
        <v>1</v>
      </c>
      <c r="S53" s="21">
        <v>12</v>
      </c>
      <c r="T53" s="21">
        <v>84</v>
      </c>
      <c r="U53" s="21">
        <v>2</v>
      </c>
      <c r="V53" s="21">
        <v>84</v>
      </c>
      <c r="W53" s="21">
        <v>7</v>
      </c>
      <c r="X53" s="21">
        <v>84</v>
      </c>
      <c r="Y53" s="21">
        <v>22</v>
      </c>
      <c r="Z53" s="21">
        <v>84</v>
      </c>
      <c r="AA53" s="21">
        <v>7</v>
      </c>
      <c r="AB53" s="21">
        <v>84</v>
      </c>
      <c r="AC53" s="21">
        <v>12</v>
      </c>
      <c r="AD53" s="21">
        <v>84</v>
      </c>
      <c r="AE53" s="21">
        <v>12</v>
      </c>
      <c r="AF53" s="21">
        <v>84</v>
      </c>
      <c r="AG53" s="21">
        <v>2</v>
      </c>
      <c r="AH53" s="21">
        <v>84</v>
      </c>
      <c r="AI53" s="21">
        <v>27</v>
      </c>
      <c r="AJ53" s="21">
        <v>84</v>
      </c>
      <c r="AK53" s="21">
        <v>7</v>
      </c>
      <c r="AL53" s="21">
        <v>84</v>
      </c>
      <c r="AM53" s="21">
        <v>12</v>
      </c>
      <c r="AN53" s="21">
        <v>84</v>
      </c>
      <c r="AO53" s="21">
        <v>12</v>
      </c>
      <c r="AP53" s="21">
        <v>84</v>
      </c>
      <c r="AQ53" s="21">
        <v>17</v>
      </c>
      <c r="AR53" s="21">
        <v>84</v>
      </c>
      <c r="AS53" s="21">
        <v>22</v>
      </c>
      <c r="AT53" s="21">
        <v>84</v>
      </c>
      <c r="AU53" s="21">
        <v>27</v>
      </c>
      <c r="AV53" s="21">
        <v>84</v>
      </c>
      <c r="AW53" s="21">
        <v>17</v>
      </c>
      <c r="AX53" s="21">
        <v>84</v>
      </c>
      <c r="AY53" s="21">
        <v>22</v>
      </c>
      <c r="AZ53" s="21">
        <v>84</v>
      </c>
      <c r="BA53" s="21">
        <v>27</v>
      </c>
      <c r="BB53" s="21">
        <v>84</v>
      </c>
      <c r="BC53" s="21">
        <v>57</v>
      </c>
      <c r="BD53" s="21">
        <v>84</v>
      </c>
      <c r="BE53" s="21">
        <v>27</v>
      </c>
      <c r="BF53" s="21">
        <v>84</v>
      </c>
      <c r="BG53" s="14"/>
      <c r="BH53" s="14"/>
      <c r="BI53" s="24"/>
      <c r="BJ53" s="35"/>
      <c r="BK53" s="35"/>
      <c r="BL53" s="14"/>
      <c r="BM53" s="14">
        <v>1</v>
      </c>
      <c r="BN53" s="21">
        <v>100100001</v>
      </c>
      <c r="BO53" s="14"/>
      <c r="BP53" s="35"/>
      <c r="BQ53" s="35"/>
      <c r="BR53" s="14"/>
      <c r="BS53" s="35"/>
      <c r="BT53" s="35"/>
      <c r="BU53" s="35"/>
      <c r="BV53" s="21">
        <v>1</v>
      </c>
      <c r="BW53" s="21">
        <v>1</v>
      </c>
      <c r="BX53" s="21">
        <v>10</v>
      </c>
      <c r="BY53" s="21">
        <v>1</v>
      </c>
      <c r="BZ53" s="14">
        <v>3</v>
      </c>
      <c r="CA53" s="14">
        <f t="shared" si="0"/>
        <v>207</v>
      </c>
      <c r="CB53" s="14">
        <v>100</v>
      </c>
      <c r="CC53" s="35"/>
      <c r="CD53" s="21">
        <v>1</v>
      </c>
      <c r="CE53" s="14">
        <v>4</v>
      </c>
      <c r="CF53" s="14">
        <f t="shared" si="1"/>
        <v>207</v>
      </c>
      <c r="CG53" s="14">
        <v>100</v>
      </c>
      <c r="CH53" s="35"/>
      <c r="CI53" s="35"/>
      <c r="CJ53" s="35"/>
      <c r="CK53" s="35"/>
      <c r="CL53" s="53"/>
      <c r="CM53" s="35"/>
      <c r="CN53" s="35"/>
      <c r="CO53" s="35"/>
      <c r="CP53" s="35"/>
      <c r="CQ53" s="35"/>
      <c r="CR53" s="35"/>
      <c r="CS53" s="35"/>
    </row>
    <row r="54" spans="1:97" ht="18.75" customHeight="1">
      <c r="B54" s="21">
        <v>100100003</v>
      </c>
      <c r="C54" s="14">
        <v>10010</v>
      </c>
      <c r="D54" s="14" t="s">
        <v>93</v>
      </c>
      <c r="E54" s="14">
        <v>9.6</v>
      </c>
      <c r="F54" s="14">
        <v>9.6</v>
      </c>
      <c r="G54" s="14">
        <v>22</v>
      </c>
      <c r="H54" s="14">
        <v>99</v>
      </c>
      <c r="I54" s="21">
        <v>3</v>
      </c>
      <c r="J54" s="21">
        <v>86</v>
      </c>
      <c r="K54" s="21">
        <v>3</v>
      </c>
      <c r="L54" s="21">
        <v>86</v>
      </c>
      <c r="M54" s="21">
        <v>8</v>
      </c>
      <c r="N54" s="21">
        <v>1</v>
      </c>
      <c r="O54" s="21">
        <v>18</v>
      </c>
      <c r="P54" s="21">
        <v>86</v>
      </c>
      <c r="Q54" s="21">
        <v>13</v>
      </c>
      <c r="R54" s="21">
        <v>1</v>
      </c>
      <c r="S54" s="21">
        <v>13</v>
      </c>
      <c r="T54" s="21">
        <v>86</v>
      </c>
      <c r="U54" s="21">
        <v>3</v>
      </c>
      <c r="V54" s="21">
        <v>86</v>
      </c>
      <c r="W54" s="21">
        <v>8</v>
      </c>
      <c r="X54" s="21">
        <v>86</v>
      </c>
      <c r="Y54" s="21">
        <v>23</v>
      </c>
      <c r="Z54" s="21">
        <v>86</v>
      </c>
      <c r="AA54" s="21">
        <v>8</v>
      </c>
      <c r="AB54" s="21">
        <v>86</v>
      </c>
      <c r="AC54" s="21">
        <v>13</v>
      </c>
      <c r="AD54" s="21">
        <v>86</v>
      </c>
      <c r="AE54" s="21">
        <v>13</v>
      </c>
      <c r="AF54" s="21">
        <v>86</v>
      </c>
      <c r="AG54" s="21">
        <v>3</v>
      </c>
      <c r="AH54" s="21">
        <v>86</v>
      </c>
      <c r="AI54" s="21">
        <v>28</v>
      </c>
      <c r="AJ54" s="21">
        <v>86</v>
      </c>
      <c r="AK54" s="21">
        <v>8</v>
      </c>
      <c r="AL54" s="21">
        <v>86</v>
      </c>
      <c r="AM54" s="21">
        <v>13</v>
      </c>
      <c r="AN54" s="21">
        <v>86</v>
      </c>
      <c r="AO54" s="21">
        <v>13</v>
      </c>
      <c r="AP54" s="21">
        <v>86</v>
      </c>
      <c r="AQ54" s="21">
        <v>18</v>
      </c>
      <c r="AR54" s="21">
        <v>86</v>
      </c>
      <c r="AS54" s="21">
        <v>23</v>
      </c>
      <c r="AT54" s="21">
        <v>86</v>
      </c>
      <c r="AU54" s="21">
        <v>28</v>
      </c>
      <c r="AV54" s="21">
        <v>86</v>
      </c>
      <c r="AW54" s="21">
        <v>18</v>
      </c>
      <c r="AX54" s="21">
        <v>86</v>
      </c>
      <c r="AY54" s="21">
        <v>23</v>
      </c>
      <c r="AZ54" s="21">
        <v>86</v>
      </c>
      <c r="BA54" s="21">
        <v>28</v>
      </c>
      <c r="BB54" s="21">
        <v>86</v>
      </c>
      <c r="BC54" s="21">
        <v>58</v>
      </c>
      <c r="BD54" s="21">
        <v>86</v>
      </c>
      <c r="BE54" s="21">
        <v>28</v>
      </c>
      <c r="BF54" s="21">
        <v>86</v>
      </c>
      <c r="BG54" s="14"/>
      <c r="BH54" s="14"/>
      <c r="BI54" s="24"/>
      <c r="BJ54" s="35"/>
      <c r="BK54" s="35"/>
      <c r="BL54" s="14"/>
      <c r="BM54" s="14">
        <v>1</v>
      </c>
      <c r="BN54" s="21">
        <v>100100002</v>
      </c>
      <c r="BO54" s="14"/>
      <c r="BP54" s="35"/>
      <c r="BQ54" s="35"/>
      <c r="BR54" s="14"/>
      <c r="BS54" s="35"/>
      <c r="BT54" s="35"/>
      <c r="BU54" s="35"/>
      <c r="BV54" s="21">
        <v>1</v>
      </c>
      <c r="BW54" s="21">
        <v>1</v>
      </c>
      <c r="BX54" s="21">
        <v>10</v>
      </c>
      <c r="BY54" s="21">
        <v>1</v>
      </c>
      <c r="BZ54" s="14">
        <v>3</v>
      </c>
      <c r="CA54" s="14">
        <f t="shared" si="0"/>
        <v>211</v>
      </c>
      <c r="CB54" s="14">
        <v>100</v>
      </c>
      <c r="CC54" s="35"/>
      <c r="CD54" s="21">
        <v>1</v>
      </c>
      <c r="CE54" s="14">
        <v>4</v>
      </c>
      <c r="CF54" s="14">
        <f t="shared" si="1"/>
        <v>211</v>
      </c>
      <c r="CG54" s="14">
        <v>100</v>
      </c>
      <c r="CH54" s="35"/>
      <c r="CI54" s="35"/>
      <c r="CJ54" s="35"/>
      <c r="CK54" s="35"/>
      <c r="CL54" s="53"/>
      <c r="CM54" s="35"/>
      <c r="CN54" s="35"/>
      <c r="CO54" s="35"/>
      <c r="CP54" s="35"/>
      <c r="CQ54" s="35"/>
      <c r="CR54" s="35"/>
      <c r="CS54" s="35"/>
    </row>
    <row r="55" spans="1:97" ht="18.75" customHeight="1">
      <c r="B55" s="21">
        <v>100100004</v>
      </c>
      <c r="C55" s="14">
        <v>10010</v>
      </c>
      <c r="D55" s="14" t="s">
        <v>94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21">
        <v>4</v>
      </c>
      <c r="J55" s="21">
        <v>88</v>
      </c>
      <c r="K55" s="21">
        <v>4</v>
      </c>
      <c r="L55" s="21">
        <v>88</v>
      </c>
      <c r="M55" s="21">
        <v>9</v>
      </c>
      <c r="N55" s="21">
        <v>1</v>
      </c>
      <c r="O55" s="21">
        <v>19</v>
      </c>
      <c r="P55" s="21">
        <v>88</v>
      </c>
      <c r="Q55" s="21">
        <v>14</v>
      </c>
      <c r="R55" s="21">
        <v>1</v>
      </c>
      <c r="S55" s="21">
        <v>14</v>
      </c>
      <c r="T55" s="21">
        <v>88</v>
      </c>
      <c r="U55" s="21">
        <v>4</v>
      </c>
      <c r="V55" s="21">
        <v>88</v>
      </c>
      <c r="W55" s="21">
        <v>9</v>
      </c>
      <c r="X55" s="21">
        <v>88</v>
      </c>
      <c r="Y55" s="21">
        <v>24</v>
      </c>
      <c r="Z55" s="21">
        <v>88</v>
      </c>
      <c r="AA55" s="21">
        <v>9</v>
      </c>
      <c r="AB55" s="21">
        <v>88</v>
      </c>
      <c r="AC55" s="21">
        <v>14</v>
      </c>
      <c r="AD55" s="21">
        <v>88</v>
      </c>
      <c r="AE55" s="21">
        <v>14</v>
      </c>
      <c r="AF55" s="21">
        <v>88</v>
      </c>
      <c r="AG55" s="21">
        <v>4</v>
      </c>
      <c r="AH55" s="21">
        <v>88</v>
      </c>
      <c r="AI55" s="21">
        <v>29</v>
      </c>
      <c r="AJ55" s="21">
        <v>88</v>
      </c>
      <c r="AK55" s="21">
        <v>9</v>
      </c>
      <c r="AL55" s="21">
        <v>88</v>
      </c>
      <c r="AM55" s="21">
        <v>14</v>
      </c>
      <c r="AN55" s="21">
        <v>88</v>
      </c>
      <c r="AO55" s="21">
        <v>14</v>
      </c>
      <c r="AP55" s="21">
        <v>88</v>
      </c>
      <c r="AQ55" s="21">
        <v>19</v>
      </c>
      <c r="AR55" s="21">
        <v>88</v>
      </c>
      <c r="AS55" s="21">
        <v>24</v>
      </c>
      <c r="AT55" s="21">
        <v>88</v>
      </c>
      <c r="AU55" s="21">
        <v>29</v>
      </c>
      <c r="AV55" s="21">
        <v>88</v>
      </c>
      <c r="AW55" s="21">
        <v>19</v>
      </c>
      <c r="AX55" s="21">
        <v>88</v>
      </c>
      <c r="AY55" s="21">
        <v>24</v>
      </c>
      <c r="AZ55" s="21">
        <v>88</v>
      </c>
      <c r="BA55" s="21">
        <v>29</v>
      </c>
      <c r="BB55" s="21">
        <v>88</v>
      </c>
      <c r="BC55" s="21">
        <v>59</v>
      </c>
      <c r="BD55" s="21">
        <v>88</v>
      </c>
      <c r="BE55" s="21">
        <v>29</v>
      </c>
      <c r="BF55" s="21">
        <v>88</v>
      </c>
      <c r="BG55" s="14"/>
      <c r="BH55" s="14"/>
      <c r="BI55" s="24"/>
      <c r="BJ55" s="35"/>
      <c r="BK55" s="35"/>
      <c r="BL55" s="14"/>
      <c r="BM55" s="14">
        <v>1</v>
      </c>
      <c r="BN55" s="21">
        <v>100100003</v>
      </c>
      <c r="BO55" s="14"/>
      <c r="BP55" s="35"/>
      <c r="BQ55" s="35"/>
      <c r="BR55" s="14"/>
      <c r="BS55" s="35"/>
      <c r="BT55" s="35"/>
      <c r="BU55" s="35"/>
      <c r="BV55" s="21">
        <v>1</v>
      </c>
      <c r="BW55" s="21">
        <v>1</v>
      </c>
      <c r="BX55" s="21">
        <v>10</v>
      </c>
      <c r="BY55" s="21">
        <v>1</v>
      </c>
      <c r="BZ55" s="14">
        <v>3</v>
      </c>
      <c r="CA55" s="14">
        <f t="shared" si="0"/>
        <v>225</v>
      </c>
      <c r="CB55" s="14">
        <v>100</v>
      </c>
      <c r="CC55" s="35"/>
      <c r="CD55" s="21">
        <v>1</v>
      </c>
      <c r="CE55" s="14">
        <v>4</v>
      </c>
      <c r="CF55" s="14">
        <f t="shared" si="1"/>
        <v>225</v>
      </c>
      <c r="CG55" s="14">
        <v>100</v>
      </c>
      <c r="CH55" s="35"/>
      <c r="CI55" s="35"/>
      <c r="CJ55" s="35"/>
      <c r="CK55" s="35"/>
      <c r="CL55" s="53"/>
      <c r="CM55" s="35"/>
      <c r="CN55" s="35"/>
      <c r="CO55" s="35"/>
      <c r="CP55" s="35"/>
      <c r="CQ55" s="35"/>
      <c r="CR55" s="35"/>
      <c r="CS55" s="35"/>
    </row>
    <row r="56" spans="1:97" ht="18.75" customHeight="1">
      <c r="B56" s="21">
        <v>100100005</v>
      </c>
      <c r="C56" s="14">
        <v>10010</v>
      </c>
      <c r="D56" s="14" t="s">
        <v>95</v>
      </c>
      <c r="E56" s="14">
        <v>10</v>
      </c>
      <c r="F56" s="14">
        <v>10</v>
      </c>
      <c r="G56" s="14">
        <v>23</v>
      </c>
      <c r="H56" s="14">
        <v>99</v>
      </c>
      <c r="I56" s="21">
        <v>5</v>
      </c>
      <c r="J56" s="21">
        <v>90</v>
      </c>
      <c r="K56" s="21">
        <v>5</v>
      </c>
      <c r="L56" s="21">
        <v>90</v>
      </c>
      <c r="M56" s="21">
        <v>10</v>
      </c>
      <c r="N56" s="21">
        <v>1</v>
      </c>
      <c r="O56" s="21">
        <v>20</v>
      </c>
      <c r="P56" s="21">
        <v>90</v>
      </c>
      <c r="Q56" s="21">
        <v>15</v>
      </c>
      <c r="R56" s="21">
        <v>1</v>
      </c>
      <c r="S56" s="21">
        <v>15</v>
      </c>
      <c r="T56" s="21">
        <v>90</v>
      </c>
      <c r="U56" s="21">
        <v>5</v>
      </c>
      <c r="V56" s="21">
        <v>90</v>
      </c>
      <c r="W56" s="21">
        <v>10</v>
      </c>
      <c r="X56" s="21">
        <v>90</v>
      </c>
      <c r="Y56" s="21">
        <v>25</v>
      </c>
      <c r="Z56" s="21">
        <v>90</v>
      </c>
      <c r="AA56" s="21">
        <v>10</v>
      </c>
      <c r="AB56" s="21">
        <v>90</v>
      </c>
      <c r="AC56" s="21">
        <v>15</v>
      </c>
      <c r="AD56" s="21">
        <v>90</v>
      </c>
      <c r="AE56" s="21">
        <v>15</v>
      </c>
      <c r="AF56" s="21">
        <v>90</v>
      </c>
      <c r="AG56" s="21">
        <v>5</v>
      </c>
      <c r="AH56" s="21">
        <v>90</v>
      </c>
      <c r="AI56" s="21">
        <v>30</v>
      </c>
      <c r="AJ56" s="21">
        <v>90</v>
      </c>
      <c r="AK56" s="21">
        <v>10</v>
      </c>
      <c r="AL56" s="21">
        <v>90</v>
      </c>
      <c r="AM56" s="21">
        <v>15</v>
      </c>
      <c r="AN56" s="21">
        <v>90</v>
      </c>
      <c r="AO56" s="21">
        <v>15</v>
      </c>
      <c r="AP56" s="21">
        <v>90</v>
      </c>
      <c r="AQ56" s="21">
        <v>20</v>
      </c>
      <c r="AR56" s="21">
        <v>90</v>
      </c>
      <c r="AS56" s="21">
        <v>25</v>
      </c>
      <c r="AT56" s="21">
        <v>90</v>
      </c>
      <c r="AU56" s="21">
        <v>30</v>
      </c>
      <c r="AV56" s="21">
        <v>90</v>
      </c>
      <c r="AW56" s="21">
        <v>20</v>
      </c>
      <c r="AX56" s="21">
        <v>90</v>
      </c>
      <c r="AY56" s="21">
        <v>25</v>
      </c>
      <c r="AZ56" s="21">
        <v>90</v>
      </c>
      <c r="BA56" s="21">
        <v>30</v>
      </c>
      <c r="BB56" s="21">
        <v>90</v>
      </c>
      <c r="BC56" s="21">
        <v>60</v>
      </c>
      <c r="BD56" s="21">
        <v>90</v>
      </c>
      <c r="BE56" s="21">
        <v>30</v>
      </c>
      <c r="BF56" s="21">
        <v>90</v>
      </c>
      <c r="BG56" s="14"/>
      <c r="BH56" s="14"/>
      <c r="BI56" s="24"/>
      <c r="BJ56" s="35"/>
      <c r="BK56" s="35"/>
      <c r="BL56" s="14"/>
      <c r="BM56" s="14">
        <v>1</v>
      </c>
      <c r="BN56" s="21">
        <v>100100004</v>
      </c>
      <c r="BO56" s="14"/>
      <c r="BP56" s="35"/>
      <c r="BQ56" s="35"/>
      <c r="BR56" s="14"/>
      <c r="BS56" s="35"/>
      <c r="BT56" s="35"/>
      <c r="BU56" s="35"/>
      <c r="BV56" s="21">
        <v>1</v>
      </c>
      <c r="BW56" s="21">
        <v>1</v>
      </c>
      <c r="BX56" s="21">
        <v>50</v>
      </c>
      <c r="BY56" s="21">
        <v>1</v>
      </c>
      <c r="BZ56" s="14">
        <v>3</v>
      </c>
      <c r="CA56" s="14">
        <f t="shared" si="0"/>
        <v>230</v>
      </c>
      <c r="CB56" s="14">
        <v>100</v>
      </c>
      <c r="CC56" s="35"/>
      <c r="CD56" s="21">
        <v>1</v>
      </c>
      <c r="CE56" s="14">
        <v>4</v>
      </c>
      <c r="CF56" s="14">
        <f t="shared" si="1"/>
        <v>230</v>
      </c>
      <c r="CG56" s="14">
        <v>100</v>
      </c>
      <c r="CH56" s="35"/>
      <c r="CI56" s="35"/>
      <c r="CJ56" s="35"/>
      <c r="CK56" s="35"/>
      <c r="CL56" s="53"/>
      <c r="CM56" s="35"/>
      <c r="CN56" s="35"/>
      <c r="CO56" s="35"/>
      <c r="CP56" s="35"/>
      <c r="CQ56" s="35"/>
      <c r="CR56" s="35"/>
      <c r="CS56" s="35"/>
    </row>
    <row r="57" spans="1:97" ht="18.75" customHeight="1">
      <c r="B57" s="21">
        <v>200010001</v>
      </c>
      <c r="C57" s="14">
        <v>20001</v>
      </c>
      <c r="D57" s="14" t="s">
        <v>1998</v>
      </c>
      <c r="E57" s="14">
        <v>4.3</v>
      </c>
      <c r="F57" s="14">
        <v>4.3</v>
      </c>
      <c r="G57" s="14">
        <v>10</v>
      </c>
      <c r="H57" s="14">
        <v>99</v>
      </c>
      <c r="I57" s="21">
        <v>1</v>
      </c>
      <c r="J57" s="21">
        <v>1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14">
        <v>3</v>
      </c>
      <c r="BH57" s="14"/>
      <c r="BI57" s="24" t="s">
        <v>227</v>
      </c>
      <c r="BJ57" s="14">
        <v>4</v>
      </c>
      <c r="BK57" s="35"/>
      <c r="BL57" s="24" t="s">
        <v>287</v>
      </c>
      <c r="BM57" s="14"/>
      <c r="BN57" s="14"/>
      <c r="BO57" s="14"/>
      <c r="BP57" s="35"/>
      <c r="BQ57" s="35"/>
      <c r="BR57" s="14"/>
      <c r="BS57" s="35"/>
      <c r="BT57" s="35"/>
      <c r="BU57" s="35"/>
      <c r="BV57" s="21">
        <v>1</v>
      </c>
      <c r="BW57" s="21">
        <v>1</v>
      </c>
      <c r="BX57" s="21">
        <v>1</v>
      </c>
      <c r="BY57" s="21">
        <v>1</v>
      </c>
      <c r="BZ57" s="14">
        <v>3</v>
      </c>
      <c r="CA57" s="14">
        <f t="shared" si="0"/>
        <v>43</v>
      </c>
      <c r="CB57" s="14">
        <v>100</v>
      </c>
      <c r="CC57" s="35"/>
      <c r="CD57" s="21">
        <v>1</v>
      </c>
      <c r="CE57" s="14">
        <v>4</v>
      </c>
      <c r="CF57" s="14">
        <f t="shared" si="1"/>
        <v>43</v>
      </c>
      <c r="CG57" s="14">
        <v>100</v>
      </c>
      <c r="CH57" s="35"/>
      <c r="CI57" s="35"/>
      <c r="CJ57" s="35"/>
      <c r="CK57" s="35"/>
      <c r="CL57" s="53"/>
      <c r="CM57" s="35"/>
      <c r="CN57" s="35"/>
      <c r="CO57" s="35"/>
      <c r="CP57" s="35"/>
      <c r="CQ57" s="35"/>
      <c r="CR57" s="35"/>
      <c r="CS57" s="35"/>
    </row>
    <row r="58" spans="1:97" ht="18.75" customHeight="1">
      <c r="B58" s="21">
        <v>200010002</v>
      </c>
      <c r="C58" s="14">
        <v>20001</v>
      </c>
      <c r="D58" s="14" t="s">
        <v>1999</v>
      </c>
      <c r="E58" s="14">
        <v>4.5</v>
      </c>
      <c r="F58" s="14">
        <v>4.5</v>
      </c>
      <c r="G58" s="14">
        <v>15</v>
      </c>
      <c r="H58" s="14">
        <v>99</v>
      </c>
      <c r="I58" s="21">
        <v>1</v>
      </c>
      <c r="J58" s="21">
        <v>1</v>
      </c>
      <c r="K58" s="21">
        <v>0</v>
      </c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>
        <v>0</v>
      </c>
      <c r="R58" s="21">
        <v>0</v>
      </c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14">
        <v>3</v>
      </c>
      <c r="BH58" s="14"/>
      <c r="BI58" s="24" t="s">
        <v>227</v>
      </c>
      <c r="BJ58" s="14">
        <v>4</v>
      </c>
      <c r="BK58" s="35"/>
      <c r="BL58" s="24" t="s">
        <v>287</v>
      </c>
      <c r="BM58" s="14">
        <v>1</v>
      </c>
      <c r="BN58" s="14">
        <v>200010001</v>
      </c>
      <c r="BO58" s="14"/>
      <c r="BP58" s="35"/>
      <c r="BQ58" s="35"/>
      <c r="BR58" s="14"/>
      <c r="BS58" s="35"/>
      <c r="BT58" s="35"/>
      <c r="BU58" s="35"/>
      <c r="BV58" s="21">
        <v>1</v>
      </c>
      <c r="BW58" s="21">
        <v>1</v>
      </c>
      <c r="BX58" s="21">
        <v>1</v>
      </c>
      <c r="BY58" s="21">
        <v>1</v>
      </c>
      <c r="BZ58" s="14">
        <v>3</v>
      </c>
      <c r="CA58" s="14">
        <f t="shared" si="0"/>
        <v>68</v>
      </c>
      <c r="CB58" s="14">
        <v>100</v>
      </c>
      <c r="CC58" s="35"/>
      <c r="CD58" s="21">
        <v>1</v>
      </c>
      <c r="CE58" s="14">
        <v>4</v>
      </c>
      <c r="CF58" s="14">
        <f t="shared" si="1"/>
        <v>68</v>
      </c>
      <c r="CG58" s="14">
        <v>100</v>
      </c>
      <c r="CH58" s="35"/>
      <c r="CI58" s="35"/>
      <c r="CJ58" s="35"/>
      <c r="CK58" s="35"/>
      <c r="CL58" s="53"/>
      <c r="CM58" s="35"/>
      <c r="CN58" s="35"/>
      <c r="CO58" s="35"/>
      <c r="CP58" s="35"/>
      <c r="CQ58" s="35"/>
      <c r="CR58" s="35"/>
      <c r="CS58" s="35"/>
    </row>
    <row r="59" spans="1:97" ht="18.75" customHeight="1">
      <c r="B59" s="21">
        <v>200010003</v>
      </c>
      <c r="C59" s="14">
        <v>20001</v>
      </c>
      <c r="D59" s="14" t="s">
        <v>2000</v>
      </c>
      <c r="E59" s="14">
        <v>4.7</v>
      </c>
      <c r="F59" s="14">
        <v>4.7</v>
      </c>
      <c r="G59" s="14">
        <v>20</v>
      </c>
      <c r="H59" s="14">
        <v>99</v>
      </c>
      <c r="I59" s="21">
        <v>1</v>
      </c>
      <c r="J59" s="21">
        <v>1</v>
      </c>
      <c r="K59" s="21">
        <v>0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14">
        <v>3</v>
      </c>
      <c r="BH59" s="14"/>
      <c r="BI59" s="24" t="s">
        <v>227</v>
      </c>
      <c r="BJ59" s="14">
        <v>4</v>
      </c>
      <c r="BK59" s="35"/>
      <c r="BL59" s="24" t="s">
        <v>287</v>
      </c>
      <c r="BM59" s="14">
        <v>1</v>
      </c>
      <c r="BN59" s="14">
        <v>200010002</v>
      </c>
      <c r="BO59" s="14"/>
      <c r="BP59" s="35"/>
      <c r="BQ59" s="35"/>
      <c r="BR59" s="14"/>
      <c r="BS59" s="35"/>
      <c r="BT59" s="35"/>
      <c r="BU59" s="35"/>
      <c r="BV59" s="21">
        <v>1</v>
      </c>
      <c r="BW59" s="21">
        <v>1</v>
      </c>
      <c r="BX59" s="21">
        <v>1</v>
      </c>
      <c r="BY59" s="21">
        <v>1</v>
      </c>
      <c r="BZ59" s="14">
        <v>3</v>
      </c>
      <c r="CA59" s="14">
        <f t="shared" si="0"/>
        <v>94</v>
      </c>
      <c r="CB59" s="14">
        <v>100</v>
      </c>
      <c r="CC59" s="35"/>
      <c r="CD59" s="21">
        <v>1</v>
      </c>
      <c r="CE59" s="14">
        <v>4</v>
      </c>
      <c r="CF59" s="14">
        <f t="shared" si="1"/>
        <v>94</v>
      </c>
      <c r="CG59" s="14">
        <v>100</v>
      </c>
      <c r="CH59" s="35"/>
      <c r="CI59" s="35"/>
      <c r="CJ59" s="35"/>
      <c r="CK59" s="35"/>
      <c r="CL59" s="53"/>
      <c r="CM59" s="35"/>
      <c r="CN59" s="35"/>
      <c r="CO59" s="35"/>
      <c r="CP59" s="35"/>
      <c r="CQ59" s="35"/>
      <c r="CR59" s="35"/>
      <c r="CS59" s="35"/>
    </row>
    <row r="60" spans="1:97" ht="18.75" customHeight="1">
      <c r="B60" s="21">
        <v>200010004</v>
      </c>
      <c r="C60" s="14">
        <v>20001</v>
      </c>
      <c r="D60" s="14" t="s">
        <v>2001</v>
      </c>
      <c r="E60" s="14">
        <v>4.9000000000000004</v>
      </c>
      <c r="F60" s="14">
        <v>4.9000000000000004</v>
      </c>
      <c r="G60" s="14">
        <v>25</v>
      </c>
      <c r="H60" s="14">
        <v>99</v>
      </c>
      <c r="I60" s="21">
        <v>1</v>
      </c>
      <c r="J60" s="21">
        <v>1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>
        <v>0</v>
      </c>
      <c r="R60" s="21">
        <v>0</v>
      </c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14">
        <v>3</v>
      </c>
      <c r="BH60" s="14"/>
      <c r="BI60" s="24" t="s">
        <v>227</v>
      </c>
      <c r="BJ60" s="14">
        <v>4</v>
      </c>
      <c r="BK60" s="35"/>
      <c r="BL60" s="24" t="s">
        <v>287</v>
      </c>
      <c r="BM60" s="14">
        <v>1</v>
      </c>
      <c r="BN60" s="14">
        <v>200010003</v>
      </c>
      <c r="BO60" s="14"/>
      <c r="BP60" s="35"/>
      <c r="BQ60" s="35"/>
      <c r="BR60" s="14"/>
      <c r="BS60" s="35"/>
      <c r="BT60" s="35"/>
      <c r="BU60" s="35"/>
      <c r="BV60" s="21">
        <v>1</v>
      </c>
      <c r="BW60" s="21">
        <v>1</v>
      </c>
      <c r="BX60" s="21">
        <v>1</v>
      </c>
      <c r="BY60" s="21">
        <v>1</v>
      </c>
      <c r="BZ60" s="14">
        <v>3</v>
      </c>
      <c r="CA60" s="14">
        <f t="shared" si="0"/>
        <v>123</v>
      </c>
      <c r="CB60" s="14">
        <v>100</v>
      </c>
      <c r="CC60" s="35"/>
      <c r="CD60" s="21">
        <v>1</v>
      </c>
      <c r="CE60" s="14">
        <v>4</v>
      </c>
      <c r="CF60" s="14">
        <f t="shared" si="1"/>
        <v>123</v>
      </c>
      <c r="CG60" s="14">
        <v>100</v>
      </c>
      <c r="CH60" s="35"/>
      <c r="CI60" s="35"/>
      <c r="CJ60" s="35"/>
      <c r="CK60" s="35"/>
      <c r="CL60" s="53"/>
      <c r="CM60" s="35"/>
      <c r="CN60" s="35"/>
      <c r="CO60" s="35"/>
      <c r="CP60" s="35"/>
      <c r="CQ60" s="35"/>
      <c r="CR60" s="35"/>
      <c r="CS60" s="35"/>
    </row>
    <row r="61" spans="1:97" ht="18.75" customHeight="1">
      <c r="B61" s="21">
        <v>200010005</v>
      </c>
      <c r="C61" s="14">
        <v>20001</v>
      </c>
      <c r="D61" s="14" t="s">
        <v>2002</v>
      </c>
      <c r="E61" s="14">
        <v>5.0999999999999996</v>
      </c>
      <c r="F61" s="14">
        <v>5.0999999999999996</v>
      </c>
      <c r="G61" s="14">
        <v>30</v>
      </c>
      <c r="H61" s="14">
        <v>99</v>
      </c>
      <c r="I61" s="21">
        <v>1</v>
      </c>
      <c r="J61" s="21">
        <v>1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5">
        <v>3</v>
      </c>
      <c r="BH61" s="35"/>
      <c r="BI61" s="24" t="s">
        <v>227</v>
      </c>
      <c r="BJ61" s="25">
        <v>4</v>
      </c>
      <c r="BK61" s="35"/>
      <c r="BL61" s="24" t="s">
        <v>287</v>
      </c>
      <c r="BM61" s="14">
        <v>1</v>
      </c>
      <c r="BN61" s="14">
        <v>200010004</v>
      </c>
      <c r="BO61" s="35"/>
      <c r="BP61" s="35"/>
      <c r="BQ61" s="35"/>
      <c r="BR61" s="35"/>
      <c r="BS61" s="35"/>
      <c r="BT61" s="35"/>
      <c r="BU61" s="35"/>
      <c r="BV61" s="21">
        <v>1</v>
      </c>
      <c r="BW61" s="21">
        <v>1</v>
      </c>
      <c r="BX61" s="21">
        <v>1</v>
      </c>
      <c r="BY61" s="21">
        <v>1</v>
      </c>
      <c r="BZ61" s="14">
        <v>3</v>
      </c>
      <c r="CA61" s="14">
        <f t="shared" si="0"/>
        <v>153</v>
      </c>
      <c r="CB61" s="14">
        <v>100</v>
      </c>
      <c r="CC61" s="35"/>
      <c r="CD61" s="21">
        <v>1</v>
      </c>
      <c r="CE61" s="14">
        <v>4</v>
      </c>
      <c r="CF61" s="14">
        <f t="shared" si="1"/>
        <v>153</v>
      </c>
      <c r="CG61" s="14">
        <v>100</v>
      </c>
      <c r="CH61" s="35"/>
      <c r="CI61" s="35"/>
      <c r="CJ61" s="35"/>
      <c r="CK61" s="35"/>
      <c r="CL61" s="36"/>
    </row>
    <row r="62" spans="1:97" ht="18.75" customHeight="1">
      <c r="B62" s="21">
        <v>200020001</v>
      </c>
      <c r="C62" s="14">
        <v>20002</v>
      </c>
      <c r="D62" s="14" t="s">
        <v>2003</v>
      </c>
      <c r="E62" s="14">
        <v>4.3</v>
      </c>
      <c r="F62" s="14">
        <v>4.3</v>
      </c>
      <c r="G62" s="14">
        <v>10</v>
      </c>
      <c r="H62" s="14">
        <v>99</v>
      </c>
      <c r="I62" s="21">
        <v>1</v>
      </c>
      <c r="J62" s="21">
        <v>1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>
        <v>0</v>
      </c>
      <c r="R62" s="21">
        <v>0</v>
      </c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14">
        <v>3</v>
      </c>
      <c r="BH62" s="14"/>
      <c r="BI62" s="24" t="s">
        <v>227</v>
      </c>
      <c r="BJ62" s="14">
        <v>4</v>
      </c>
      <c r="BK62" s="35"/>
      <c r="BL62" s="24" t="s">
        <v>287</v>
      </c>
      <c r="BM62" s="14"/>
      <c r="BN62" s="14"/>
      <c r="BO62" s="14"/>
      <c r="BP62" s="35"/>
      <c r="BQ62" s="35"/>
      <c r="BR62" s="14"/>
      <c r="BS62" s="35"/>
      <c r="BT62" s="35"/>
      <c r="BU62" s="35"/>
      <c r="BV62" s="21">
        <v>1</v>
      </c>
      <c r="BW62" s="21">
        <v>1</v>
      </c>
      <c r="BX62" s="21">
        <v>1</v>
      </c>
      <c r="BY62" s="21">
        <v>1</v>
      </c>
      <c r="BZ62" s="14">
        <v>3</v>
      </c>
      <c r="CA62" s="14">
        <f t="shared" ref="CA62:CA66" si="2">ROUND(E62*G62,0)</f>
        <v>43</v>
      </c>
      <c r="CB62" s="14">
        <v>100</v>
      </c>
      <c r="CC62" s="35"/>
      <c r="CD62" s="21">
        <v>1</v>
      </c>
      <c r="CE62" s="14">
        <v>4</v>
      </c>
      <c r="CF62" s="14">
        <f t="shared" ref="CF62:CF66" si="3">ROUND(F62*G62,0)</f>
        <v>43</v>
      </c>
      <c r="CG62" s="14">
        <v>100</v>
      </c>
      <c r="CH62" s="35"/>
      <c r="CI62" s="35"/>
      <c r="CJ62" s="35"/>
      <c r="CK62" s="35"/>
      <c r="CL62" s="53"/>
      <c r="CM62" s="35"/>
      <c r="CN62" s="35"/>
      <c r="CO62" s="35"/>
      <c r="CP62" s="35"/>
      <c r="CQ62" s="35"/>
      <c r="CR62" s="35"/>
      <c r="CS62" s="35"/>
    </row>
    <row r="63" spans="1:97" ht="18.75" customHeight="1">
      <c r="B63" s="21">
        <v>200020002</v>
      </c>
      <c r="C63" s="14">
        <v>20002</v>
      </c>
      <c r="D63" s="14" t="s">
        <v>2004</v>
      </c>
      <c r="E63" s="14">
        <v>4.5</v>
      </c>
      <c r="F63" s="14">
        <v>4.5</v>
      </c>
      <c r="G63" s="14">
        <v>15</v>
      </c>
      <c r="H63" s="14">
        <v>99</v>
      </c>
      <c r="I63" s="21">
        <v>1</v>
      </c>
      <c r="J63" s="21">
        <v>1</v>
      </c>
      <c r="K63" s="21">
        <v>0</v>
      </c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>
        <v>0</v>
      </c>
      <c r="R63" s="21">
        <v>0</v>
      </c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14">
        <v>3</v>
      </c>
      <c r="BH63" s="14"/>
      <c r="BI63" s="24" t="s">
        <v>227</v>
      </c>
      <c r="BJ63" s="14">
        <v>4</v>
      </c>
      <c r="BK63" s="35"/>
      <c r="BL63" s="24" t="s">
        <v>287</v>
      </c>
      <c r="BM63" s="14">
        <v>1</v>
      </c>
      <c r="BN63" s="14">
        <v>200010001</v>
      </c>
      <c r="BO63" s="14"/>
      <c r="BP63" s="35"/>
      <c r="BQ63" s="35"/>
      <c r="BR63" s="14"/>
      <c r="BS63" s="35"/>
      <c r="BT63" s="35"/>
      <c r="BU63" s="35"/>
      <c r="BV63" s="21">
        <v>1</v>
      </c>
      <c r="BW63" s="21">
        <v>1</v>
      </c>
      <c r="BX63" s="21">
        <v>1</v>
      </c>
      <c r="BY63" s="21">
        <v>1</v>
      </c>
      <c r="BZ63" s="14">
        <v>3</v>
      </c>
      <c r="CA63" s="14">
        <f t="shared" si="2"/>
        <v>68</v>
      </c>
      <c r="CB63" s="14">
        <v>100</v>
      </c>
      <c r="CC63" s="35"/>
      <c r="CD63" s="21">
        <v>1</v>
      </c>
      <c r="CE63" s="14">
        <v>4</v>
      </c>
      <c r="CF63" s="14">
        <f t="shared" si="3"/>
        <v>68</v>
      </c>
      <c r="CG63" s="14">
        <v>100</v>
      </c>
      <c r="CH63" s="35"/>
      <c r="CI63" s="35"/>
      <c r="CJ63" s="35"/>
      <c r="CK63" s="35"/>
      <c r="CL63" s="53"/>
      <c r="CM63" s="35"/>
      <c r="CN63" s="35"/>
      <c r="CO63" s="35"/>
      <c r="CP63" s="35"/>
      <c r="CQ63" s="35"/>
      <c r="CR63" s="35"/>
      <c r="CS63" s="35"/>
    </row>
    <row r="64" spans="1:97" ht="18.75" customHeight="1">
      <c r="B64" s="21">
        <v>200020003</v>
      </c>
      <c r="C64" s="14">
        <v>20002</v>
      </c>
      <c r="D64" s="14" t="s">
        <v>2005</v>
      </c>
      <c r="E64" s="14">
        <v>4.7</v>
      </c>
      <c r="F64" s="14">
        <v>4.7</v>
      </c>
      <c r="G64" s="14">
        <v>20</v>
      </c>
      <c r="H64" s="14">
        <v>99</v>
      </c>
      <c r="I64" s="21">
        <v>1</v>
      </c>
      <c r="J64" s="21">
        <v>1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>
        <v>0</v>
      </c>
      <c r="R64" s="21">
        <v>0</v>
      </c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14">
        <v>3</v>
      </c>
      <c r="BH64" s="14"/>
      <c r="BI64" s="24" t="s">
        <v>227</v>
      </c>
      <c r="BJ64" s="14">
        <v>4</v>
      </c>
      <c r="BK64" s="35"/>
      <c r="BL64" s="24" t="s">
        <v>287</v>
      </c>
      <c r="BM64" s="14">
        <v>1</v>
      </c>
      <c r="BN64" s="14">
        <v>200010002</v>
      </c>
      <c r="BO64" s="14"/>
      <c r="BP64" s="35"/>
      <c r="BQ64" s="35"/>
      <c r="BR64" s="14"/>
      <c r="BS64" s="35"/>
      <c r="BT64" s="35"/>
      <c r="BU64" s="35"/>
      <c r="BV64" s="21">
        <v>1</v>
      </c>
      <c r="BW64" s="21">
        <v>1</v>
      </c>
      <c r="BX64" s="21">
        <v>1</v>
      </c>
      <c r="BY64" s="21">
        <v>1</v>
      </c>
      <c r="BZ64" s="14">
        <v>3</v>
      </c>
      <c r="CA64" s="14">
        <f t="shared" si="2"/>
        <v>94</v>
      </c>
      <c r="CB64" s="14">
        <v>100</v>
      </c>
      <c r="CC64" s="35"/>
      <c r="CD64" s="21">
        <v>1</v>
      </c>
      <c r="CE64" s="14">
        <v>4</v>
      </c>
      <c r="CF64" s="14">
        <f t="shared" si="3"/>
        <v>94</v>
      </c>
      <c r="CG64" s="14">
        <v>100</v>
      </c>
      <c r="CH64" s="35"/>
      <c r="CI64" s="35"/>
      <c r="CJ64" s="35"/>
      <c r="CK64" s="35"/>
      <c r="CL64" s="53"/>
      <c r="CM64" s="35"/>
      <c r="CN64" s="35"/>
      <c r="CO64" s="35"/>
      <c r="CP64" s="35"/>
      <c r="CQ64" s="35"/>
      <c r="CR64" s="35"/>
      <c r="CS64" s="35"/>
    </row>
    <row r="65" spans="2:97" ht="18.75" customHeight="1">
      <c r="B65" s="21">
        <v>200020004</v>
      </c>
      <c r="C65" s="14">
        <v>20002</v>
      </c>
      <c r="D65" s="14" t="s">
        <v>2006</v>
      </c>
      <c r="E65" s="14">
        <v>4.9000000000000004</v>
      </c>
      <c r="F65" s="14">
        <v>4.9000000000000004</v>
      </c>
      <c r="G65" s="14">
        <v>25</v>
      </c>
      <c r="H65" s="14">
        <v>99</v>
      </c>
      <c r="I65" s="21">
        <v>1</v>
      </c>
      <c r="J65" s="21">
        <v>1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>
        <v>0</v>
      </c>
      <c r="R65" s="21">
        <v>0</v>
      </c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14">
        <v>3</v>
      </c>
      <c r="BH65" s="14"/>
      <c r="BI65" s="24" t="s">
        <v>227</v>
      </c>
      <c r="BJ65" s="14">
        <v>4</v>
      </c>
      <c r="BK65" s="35"/>
      <c r="BL65" s="24" t="s">
        <v>287</v>
      </c>
      <c r="BM65" s="14">
        <v>1</v>
      </c>
      <c r="BN65" s="14">
        <v>200010003</v>
      </c>
      <c r="BO65" s="14"/>
      <c r="BP65" s="35"/>
      <c r="BQ65" s="35"/>
      <c r="BR65" s="14"/>
      <c r="BS65" s="35"/>
      <c r="BT65" s="35"/>
      <c r="BU65" s="35"/>
      <c r="BV65" s="21">
        <v>1</v>
      </c>
      <c r="BW65" s="21">
        <v>1</v>
      </c>
      <c r="BX65" s="21">
        <v>1</v>
      </c>
      <c r="BY65" s="21">
        <v>1</v>
      </c>
      <c r="BZ65" s="14">
        <v>3</v>
      </c>
      <c r="CA65" s="14">
        <f t="shared" si="2"/>
        <v>123</v>
      </c>
      <c r="CB65" s="14">
        <v>100</v>
      </c>
      <c r="CC65" s="35"/>
      <c r="CD65" s="21">
        <v>1</v>
      </c>
      <c r="CE65" s="14">
        <v>4</v>
      </c>
      <c r="CF65" s="14">
        <f t="shared" si="3"/>
        <v>123</v>
      </c>
      <c r="CG65" s="14">
        <v>100</v>
      </c>
      <c r="CH65" s="35"/>
      <c r="CI65" s="35"/>
      <c r="CJ65" s="35"/>
      <c r="CK65" s="35"/>
      <c r="CL65" s="53"/>
      <c r="CM65" s="35"/>
      <c r="CN65" s="35"/>
      <c r="CO65" s="35"/>
      <c r="CP65" s="35"/>
      <c r="CQ65" s="35"/>
      <c r="CR65" s="35"/>
      <c r="CS65" s="35"/>
    </row>
    <row r="66" spans="2:97" ht="18.75" customHeight="1">
      <c r="B66" s="21">
        <v>200020005</v>
      </c>
      <c r="C66" s="14">
        <v>20002</v>
      </c>
      <c r="D66" s="14" t="s">
        <v>2007</v>
      </c>
      <c r="E66" s="14">
        <v>5.0999999999999996</v>
      </c>
      <c r="F66" s="14">
        <v>5.0999999999999996</v>
      </c>
      <c r="G66" s="14">
        <v>30</v>
      </c>
      <c r="H66" s="14">
        <v>99</v>
      </c>
      <c r="I66" s="21">
        <v>1</v>
      </c>
      <c r="J66" s="21">
        <v>1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5">
        <v>3</v>
      </c>
      <c r="BH66" s="35"/>
      <c r="BI66" s="24" t="s">
        <v>227</v>
      </c>
      <c r="BJ66" s="25">
        <v>4</v>
      </c>
      <c r="BK66" s="35"/>
      <c r="BL66" s="24" t="s">
        <v>287</v>
      </c>
      <c r="BM66" s="14">
        <v>1</v>
      </c>
      <c r="BN66" s="14">
        <v>200010004</v>
      </c>
      <c r="BO66" s="35"/>
      <c r="BP66" s="35"/>
      <c r="BQ66" s="35"/>
      <c r="BR66" s="35"/>
      <c r="BS66" s="35"/>
      <c r="BT66" s="35"/>
      <c r="BU66" s="35"/>
      <c r="BV66" s="21">
        <v>1</v>
      </c>
      <c r="BW66" s="21">
        <v>1</v>
      </c>
      <c r="BX66" s="21">
        <v>1</v>
      </c>
      <c r="BY66" s="21">
        <v>1</v>
      </c>
      <c r="BZ66" s="14">
        <v>3</v>
      </c>
      <c r="CA66" s="14">
        <f t="shared" si="2"/>
        <v>153</v>
      </c>
      <c r="CB66" s="14">
        <v>100</v>
      </c>
      <c r="CC66" s="35"/>
      <c r="CD66" s="21">
        <v>1</v>
      </c>
      <c r="CE66" s="14">
        <v>4</v>
      </c>
      <c r="CF66" s="14">
        <f t="shared" si="3"/>
        <v>153</v>
      </c>
      <c r="CG66" s="14">
        <v>100</v>
      </c>
      <c r="CH66" s="35"/>
      <c r="CI66" s="35"/>
      <c r="CJ66" s="35"/>
      <c r="CK66" s="35"/>
      <c r="CL66" s="36"/>
    </row>
    <row r="67" spans="2:97" ht="18.75" customHeight="1">
      <c r="B67" s="21">
        <v>200030001</v>
      </c>
      <c r="C67" s="14">
        <v>20003</v>
      </c>
      <c r="D67" s="14" t="s">
        <v>2008</v>
      </c>
      <c r="E67" s="14">
        <v>4.3</v>
      </c>
      <c r="F67" s="14">
        <v>4.3</v>
      </c>
      <c r="G67" s="14">
        <v>10</v>
      </c>
      <c r="H67" s="14">
        <v>99</v>
      </c>
      <c r="I67" s="21">
        <v>1</v>
      </c>
      <c r="J67" s="21">
        <v>1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>
        <v>0</v>
      </c>
      <c r="R67" s="21">
        <v>0</v>
      </c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14">
        <v>3</v>
      </c>
      <c r="BH67" s="14"/>
      <c r="BI67" s="24" t="s">
        <v>227</v>
      </c>
      <c r="BJ67" s="14">
        <v>4</v>
      </c>
      <c r="BK67" s="35"/>
      <c r="BL67" s="24" t="s">
        <v>287</v>
      </c>
      <c r="BM67" s="14"/>
      <c r="BN67" s="14"/>
      <c r="BO67" s="14"/>
      <c r="BP67" s="35"/>
      <c r="BQ67" s="35"/>
      <c r="BR67" s="14"/>
      <c r="BS67" s="35"/>
      <c r="BT67" s="35"/>
      <c r="BU67" s="35"/>
      <c r="BV67" s="21">
        <v>1</v>
      </c>
      <c r="BW67" s="21">
        <v>1</v>
      </c>
      <c r="BX67" s="21">
        <v>1</v>
      </c>
      <c r="BY67" s="21">
        <v>1</v>
      </c>
      <c r="BZ67" s="14">
        <v>3</v>
      </c>
      <c r="CA67" s="14">
        <f t="shared" ref="CA67:CA71" si="4">ROUND(E67*G67,0)</f>
        <v>43</v>
      </c>
      <c r="CB67" s="14">
        <v>100</v>
      </c>
      <c r="CC67" s="35"/>
      <c r="CD67" s="21">
        <v>1</v>
      </c>
      <c r="CE67" s="14">
        <v>4</v>
      </c>
      <c r="CF67" s="14">
        <f t="shared" ref="CF67:CF71" si="5">ROUND(F67*G67,0)</f>
        <v>43</v>
      </c>
      <c r="CG67" s="14">
        <v>100</v>
      </c>
      <c r="CH67" s="35"/>
      <c r="CI67" s="35"/>
      <c r="CJ67" s="35"/>
      <c r="CK67" s="35"/>
      <c r="CL67" s="53"/>
      <c r="CM67" s="35"/>
      <c r="CN67" s="35"/>
      <c r="CO67" s="35"/>
      <c r="CP67" s="35"/>
      <c r="CQ67" s="35"/>
      <c r="CR67" s="35"/>
      <c r="CS67" s="35"/>
    </row>
    <row r="68" spans="2:97" ht="18.75" customHeight="1">
      <c r="B68" s="21">
        <v>200030002</v>
      </c>
      <c r="C68" s="14">
        <v>20003</v>
      </c>
      <c r="D68" s="14" t="s">
        <v>2009</v>
      </c>
      <c r="E68" s="14">
        <v>4.5</v>
      </c>
      <c r="F68" s="14">
        <v>4.5</v>
      </c>
      <c r="G68" s="14">
        <v>15</v>
      </c>
      <c r="H68" s="14">
        <v>99</v>
      </c>
      <c r="I68" s="21">
        <v>1</v>
      </c>
      <c r="J68" s="21">
        <v>1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14">
        <v>3</v>
      </c>
      <c r="BH68" s="14"/>
      <c r="BI68" s="24" t="s">
        <v>227</v>
      </c>
      <c r="BJ68" s="14">
        <v>4</v>
      </c>
      <c r="BK68" s="35"/>
      <c r="BL68" s="24" t="s">
        <v>287</v>
      </c>
      <c r="BM68" s="14">
        <v>1</v>
      </c>
      <c r="BN68" s="14">
        <v>200010001</v>
      </c>
      <c r="BO68" s="14"/>
      <c r="BP68" s="35"/>
      <c r="BQ68" s="35"/>
      <c r="BR68" s="14"/>
      <c r="BS68" s="35"/>
      <c r="BT68" s="35"/>
      <c r="BU68" s="35"/>
      <c r="BV68" s="21">
        <v>1</v>
      </c>
      <c r="BW68" s="21">
        <v>1</v>
      </c>
      <c r="BX68" s="21">
        <v>1</v>
      </c>
      <c r="BY68" s="21">
        <v>1</v>
      </c>
      <c r="BZ68" s="14">
        <v>3</v>
      </c>
      <c r="CA68" s="14">
        <f t="shared" si="4"/>
        <v>68</v>
      </c>
      <c r="CB68" s="14">
        <v>100</v>
      </c>
      <c r="CC68" s="35"/>
      <c r="CD68" s="21">
        <v>1</v>
      </c>
      <c r="CE68" s="14">
        <v>4</v>
      </c>
      <c r="CF68" s="14">
        <f t="shared" si="5"/>
        <v>68</v>
      </c>
      <c r="CG68" s="14">
        <v>100</v>
      </c>
      <c r="CH68" s="35"/>
      <c r="CI68" s="35"/>
      <c r="CJ68" s="35"/>
      <c r="CK68" s="35"/>
      <c r="CL68" s="53"/>
      <c r="CM68" s="35"/>
      <c r="CN68" s="35"/>
      <c r="CO68" s="35"/>
      <c r="CP68" s="35"/>
      <c r="CQ68" s="35"/>
      <c r="CR68" s="35"/>
      <c r="CS68" s="35"/>
    </row>
    <row r="69" spans="2:97" ht="18.75" customHeight="1">
      <c r="B69" s="21">
        <v>200030003</v>
      </c>
      <c r="C69" s="14">
        <v>20003</v>
      </c>
      <c r="D69" s="14" t="s">
        <v>2010</v>
      </c>
      <c r="E69" s="14">
        <v>4.7</v>
      </c>
      <c r="F69" s="14">
        <v>4.7</v>
      </c>
      <c r="G69" s="14">
        <v>20</v>
      </c>
      <c r="H69" s="14">
        <v>99</v>
      </c>
      <c r="I69" s="21">
        <v>1</v>
      </c>
      <c r="J69" s="21">
        <v>1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14">
        <v>3</v>
      </c>
      <c r="BH69" s="14"/>
      <c r="BI69" s="24" t="s">
        <v>227</v>
      </c>
      <c r="BJ69" s="14">
        <v>4</v>
      </c>
      <c r="BK69" s="35"/>
      <c r="BL69" s="24" t="s">
        <v>287</v>
      </c>
      <c r="BM69" s="14">
        <v>1</v>
      </c>
      <c r="BN69" s="14">
        <v>200010002</v>
      </c>
      <c r="BO69" s="14"/>
      <c r="BP69" s="35"/>
      <c r="BQ69" s="35"/>
      <c r="BR69" s="14"/>
      <c r="BS69" s="35"/>
      <c r="BT69" s="35"/>
      <c r="BU69" s="35"/>
      <c r="BV69" s="21">
        <v>1</v>
      </c>
      <c r="BW69" s="21">
        <v>1</v>
      </c>
      <c r="BX69" s="21">
        <v>1</v>
      </c>
      <c r="BY69" s="21">
        <v>1</v>
      </c>
      <c r="BZ69" s="14">
        <v>3</v>
      </c>
      <c r="CA69" s="14">
        <f t="shared" si="4"/>
        <v>94</v>
      </c>
      <c r="CB69" s="14">
        <v>100</v>
      </c>
      <c r="CC69" s="35"/>
      <c r="CD69" s="21">
        <v>1</v>
      </c>
      <c r="CE69" s="14">
        <v>4</v>
      </c>
      <c r="CF69" s="14">
        <f t="shared" si="5"/>
        <v>94</v>
      </c>
      <c r="CG69" s="14">
        <v>100</v>
      </c>
      <c r="CH69" s="35"/>
      <c r="CI69" s="35"/>
      <c r="CJ69" s="35"/>
      <c r="CK69" s="35"/>
      <c r="CL69" s="53"/>
      <c r="CM69" s="35"/>
      <c r="CN69" s="35"/>
      <c r="CO69" s="35"/>
      <c r="CP69" s="35"/>
      <c r="CQ69" s="35"/>
      <c r="CR69" s="35"/>
      <c r="CS69" s="35"/>
    </row>
    <row r="70" spans="2:97" ht="18.75" customHeight="1">
      <c r="B70" s="21">
        <v>200030004</v>
      </c>
      <c r="C70" s="14">
        <v>20003</v>
      </c>
      <c r="D70" s="14" t="s">
        <v>2011</v>
      </c>
      <c r="E70" s="14">
        <v>4.9000000000000004</v>
      </c>
      <c r="F70" s="14">
        <v>4.9000000000000004</v>
      </c>
      <c r="G70" s="14">
        <v>25</v>
      </c>
      <c r="H70" s="14">
        <v>99</v>
      </c>
      <c r="I70" s="21">
        <v>1</v>
      </c>
      <c r="J70" s="21">
        <v>1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14">
        <v>3</v>
      </c>
      <c r="BH70" s="14"/>
      <c r="BI70" s="24" t="s">
        <v>227</v>
      </c>
      <c r="BJ70" s="14">
        <v>4</v>
      </c>
      <c r="BK70" s="35"/>
      <c r="BL70" s="24" t="s">
        <v>287</v>
      </c>
      <c r="BM70" s="14">
        <v>1</v>
      </c>
      <c r="BN70" s="14">
        <v>200010003</v>
      </c>
      <c r="BO70" s="14"/>
      <c r="BP70" s="35"/>
      <c r="BQ70" s="35"/>
      <c r="BR70" s="14"/>
      <c r="BS70" s="35"/>
      <c r="BT70" s="35"/>
      <c r="BU70" s="35"/>
      <c r="BV70" s="21">
        <v>1</v>
      </c>
      <c r="BW70" s="21">
        <v>1</v>
      </c>
      <c r="BX70" s="21">
        <v>1</v>
      </c>
      <c r="BY70" s="21">
        <v>1</v>
      </c>
      <c r="BZ70" s="14">
        <v>3</v>
      </c>
      <c r="CA70" s="14">
        <f t="shared" si="4"/>
        <v>123</v>
      </c>
      <c r="CB70" s="14">
        <v>100</v>
      </c>
      <c r="CC70" s="35"/>
      <c r="CD70" s="21">
        <v>1</v>
      </c>
      <c r="CE70" s="14">
        <v>4</v>
      </c>
      <c r="CF70" s="14">
        <f t="shared" si="5"/>
        <v>123</v>
      </c>
      <c r="CG70" s="14">
        <v>100</v>
      </c>
      <c r="CH70" s="35"/>
      <c r="CI70" s="35"/>
      <c r="CJ70" s="35"/>
      <c r="CK70" s="35"/>
      <c r="CL70" s="53"/>
      <c r="CM70" s="35"/>
      <c r="CN70" s="35"/>
      <c r="CO70" s="35"/>
      <c r="CP70" s="35"/>
      <c r="CQ70" s="35"/>
      <c r="CR70" s="35"/>
      <c r="CS70" s="35"/>
    </row>
    <row r="71" spans="2:97" ht="18.75" customHeight="1">
      <c r="B71" s="21">
        <v>200030005</v>
      </c>
      <c r="C71" s="14">
        <v>20003</v>
      </c>
      <c r="D71" s="14" t="s">
        <v>2012</v>
      </c>
      <c r="E71" s="14">
        <v>5.0999999999999996</v>
      </c>
      <c r="F71" s="14">
        <v>5.0999999999999996</v>
      </c>
      <c r="G71" s="14">
        <v>30</v>
      </c>
      <c r="H71" s="14">
        <v>99</v>
      </c>
      <c r="I71" s="21">
        <v>1</v>
      </c>
      <c r="J71" s="21">
        <v>1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>
        <v>0</v>
      </c>
      <c r="R71" s="21">
        <v>0</v>
      </c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5">
        <v>3</v>
      </c>
      <c r="BH71" s="35"/>
      <c r="BI71" s="24" t="s">
        <v>227</v>
      </c>
      <c r="BJ71" s="25">
        <v>4</v>
      </c>
      <c r="BK71" s="35"/>
      <c r="BL71" s="24" t="s">
        <v>287</v>
      </c>
      <c r="BM71" s="14">
        <v>1</v>
      </c>
      <c r="BN71" s="14">
        <v>200010004</v>
      </c>
      <c r="BO71" s="35"/>
      <c r="BP71" s="35"/>
      <c r="BQ71" s="35"/>
      <c r="BR71" s="35"/>
      <c r="BS71" s="35"/>
      <c r="BT71" s="35"/>
      <c r="BU71" s="35"/>
      <c r="BV71" s="21">
        <v>1</v>
      </c>
      <c r="BW71" s="21">
        <v>1</v>
      </c>
      <c r="BX71" s="21">
        <v>1</v>
      </c>
      <c r="BY71" s="21">
        <v>1</v>
      </c>
      <c r="BZ71" s="14">
        <v>3</v>
      </c>
      <c r="CA71" s="14">
        <f t="shared" si="4"/>
        <v>153</v>
      </c>
      <c r="CB71" s="14">
        <v>100</v>
      </c>
      <c r="CC71" s="35"/>
      <c r="CD71" s="21">
        <v>1</v>
      </c>
      <c r="CE71" s="14">
        <v>4</v>
      </c>
      <c r="CF71" s="14">
        <f t="shared" si="5"/>
        <v>153</v>
      </c>
      <c r="CG71" s="14">
        <v>100</v>
      </c>
      <c r="CH71" s="35"/>
      <c r="CI71" s="35"/>
      <c r="CJ71" s="35"/>
      <c r="CK71" s="35"/>
      <c r="CL71" s="36"/>
    </row>
    <row r="72" spans="2:97" ht="18.75" customHeight="1">
      <c r="B72" s="21">
        <v>200040001</v>
      </c>
      <c r="C72" s="14">
        <v>20004</v>
      </c>
      <c r="D72" s="14" t="s">
        <v>2013</v>
      </c>
      <c r="E72" s="14">
        <v>4.3</v>
      </c>
      <c r="F72" s="14">
        <v>4.3</v>
      </c>
      <c r="G72" s="14">
        <v>10</v>
      </c>
      <c r="H72" s="14">
        <v>99</v>
      </c>
      <c r="I72" s="21">
        <v>1</v>
      </c>
      <c r="J72" s="21">
        <v>1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>
        <v>0</v>
      </c>
      <c r="R72" s="21">
        <v>0</v>
      </c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14">
        <v>3</v>
      </c>
      <c r="BH72" s="14"/>
      <c r="BI72" s="24" t="s">
        <v>227</v>
      </c>
      <c r="BJ72" s="14">
        <v>4</v>
      </c>
      <c r="BK72" s="35"/>
      <c r="BL72" s="24" t="s">
        <v>287</v>
      </c>
      <c r="BM72" s="14"/>
      <c r="BN72" s="14"/>
      <c r="BO72" s="14"/>
      <c r="BP72" s="35"/>
      <c r="BQ72" s="35"/>
      <c r="BR72" s="14"/>
      <c r="BS72" s="35"/>
      <c r="BT72" s="35"/>
      <c r="BU72" s="35"/>
      <c r="BV72" s="21">
        <v>1</v>
      </c>
      <c r="BW72" s="21">
        <v>1</v>
      </c>
      <c r="BX72" s="21">
        <v>1</v>
      </c>
      <c r="BY72" s="21">
        <v>1</v>
      </c>
      <c r="BZ72" s="14">
        <v>3</v>
      </c>
      <c r="CA72" s="14">
        <f t="shared" ref="CA72:CA76" si="6">ROUND(E72*G72,0)</f>
        <v>43</v>
      </c>
      <c r="CB72" s="14">
        <v>100</v>
      </c>
      <c r="CC72" s="35"/>
      <c r="CD72" s="21">
        <v>1</v>
      </c>
      <c r="CE72" s="14">
        <v>4</v>
      </c>
      <c r="CF72" s="14">
        <f t="shared" ref="CF72:CF76" si="7">ROUND(F72*G72,0)</f>
        <v>43</v>
      </c>
      <c r="CG72" s="14">
        <v>100</v>
      </c>
      <c r="CH72" s="35"/>
      <c r="CI72" s="35"/>
      <c r="CJ72" s="35"/>
      <c r="CK72" s="35"/>
      <c r="CL72" s="53"/>
      <c r="CM72" s="35"/>
      <c r="CN72" s="35"/>
      <c r="CO72" s="35"/>
      <c r="CP72" s="35"/>
      <c r="CQ72" s="35"/>
      <c r="CR72" s="35"/>
      <c r="CS72" s="35"/>
    </row>
    <row r="73" spans="2:97" ht="18.75" customHeight="1">
      <c r="B73" s="21">
        <v>200040002</v>
      </c>
      <c r="C73" s="14">
        <v>20004</v>
      </c>
      <c r="D73" s="14" t="s">
        <v>2014</v>
      </c>
      <c r="E73" s="14">
        <v>4.5</v>
      </c>
      <c r="F73" s="14">
        <v>4.5</v>
      </c>
      <c r="G73" s="14">
        <v>15</v>
      </c>
      <c r="H73" s="14">
        <v>99</v>
      </c>
      <c r="I73" s="21">
        <v>1</v>
      </c>
      <c r="J73" s="21">
        <v>1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>
        <v>0</v>
      </c>
      <c r="R73" s="21">
        <v>0</v>
      </c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14">
        <v>3</v>
      </c>
      <c r="BH73" s="14"/>
      <c r="BI73" s="24" t="s">
        <v>227</v>
      </c>
      <c r="BJ73" s="14">
        <v>4</v>
      </c>
      <c r="BK73" s="35"/>
      <c r="BL73" s="24" t="s">
        <v>287</v>
      </c>
      <c r="BM73" s="14">
        <v>1</v>
      </c>
      <c r="BN73" s="14">
        <v>200010001</v>
      </c>
      <c r="BO73" s="14"/>
      <c r="BP73" s="35"/>
      <c r="BQ73" s="35"/>
      <c r="BR73" s="14"/>
      <c r="BS73" s="35"/>
      <c r="BT73" s="35"/>
      <c r="BU73" s="35"/>
      <c r="BV73" s="21">
        <v>1</v>
      </c>
      <c r="BW73" s="21">
        <v>1</v>
      </c>
      <c r="BX73" s="21">
        <v>1</v>
      </c>
      <c r="BY73" s="21">
        <v>1</v>
      </c>
      <c r="BZ73" s="14">
        <v>3</v>
      </c>
      <c r="CA73" s="14">
        <f t="shared" si="6"/>
        <v>68</v>
      </c>
      <c r="CB73" s="14">
        <v>100</v>
      </c>
      <c r="CC73" s="35"/>
      <c r="CD73" s="21">
        <v>1</v>
      </c>
      <c r="CE73" s="14">
        <v>4</v>
      </c>
      <c r="CF73" s="14">
        <f t="shared" si="7"/>
        <v>68</v>
      </c>
      <c r="CG73" s="14">
        <v>100</v>
      </c>
      <c r="CH73" s="35"/>
      <c r="CI73" s="35"/>
      <c r="CJ73" s="35"/>
      <c r="CK73" s="35"/>
      <c r="CL73" s="53"/>
      <c r="CM73" s="35"/>
      <c r="CN73" s="35"/>
      <c r="CO73" s="35"/>
      <c r="CP73" s="35"/>
      <c r="CQ73" s="35"/>
      <c r="CR73" s="35"/>
      <c r="CS73" s="35"/>
    </row>
    <row r="74" spans="2:97" ht="18.75" customHeight="1">
      <c r="B74" s="21">
        <v>200040003</v>
      </c>
      <c r="C74" s="14">
        <v>20004</v>
      </c>
      <c r="D74" s="14" t="s">
        <v>2015</v>
      </c>
      <c r="E74" s="14">
        <v>4.7</v>
      </c>
      <c r="F74" s="14">
        <v>4.7</v>
      </c>
      <c r="G74" s="14">
        <v>20</v>
      </c>
      <c r="H74" s="14">
        <v>99</v>
      </c>
      <c r="I74" s="21">
        <v>1</v>
      </c>
      <c r="J74" s="21">
        <v>1</v>
      </c>
      <c r="K74" s="21">
        <v>0</v>
      </c>
      <c r="L74" s="21">
        <v>0</v>
      </c>
      <c r="M74" s="21">
        <v>0</v>
      </c>
      <c r="N74" s="21">
        <v>0</v>
      </c>
      <c r="O74" s="21">
        <v>0</v>
      </c>
      <c r="P74" s="21">
        <v>0</v>
      </c>
      <c r="Q74" s="21">
        <v>0</v>
      </c>
      <c r="R74" s="21">
        <v>0</v>
      </c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14">
        <v>3</v>
      </c>
      <c r="BH74" s="14"/>
      <c r="BI74" s="24" t="s">
        <v>227</v>
      </c>
      <c r="BJ74" s="14">
        <v>4</v>
      </c>
      <c r="BK74" s="35"/>
      <c r="BL74" s="24" t="s">
        <v>287</v>
      </c>
      <c r="BM74" s="14">
        <v>1</v>
      </c>
      <c r="BN74" s="14">
        <v>200010002</v>
      </c>
      <c r="BO74" s="14"/>
      <c r="BP74" s="35"/>
      <c r="BQ74" s="35"/>
      <c r="BR74" s="14"/>
      <c r="BS74" s="35"/>
      <c r="BT74" s="35"/>
      <c r="BU74" s="35"/>
      <c r="BV74" s="21">
        <v>1</v>
      </c>
      <c r="BW74" s="21">
        <v>1</v>
      </c>
      <c r="BX74" s="21">
        <v>1</v>
      </c>
      <c r="BY74" s="21">
        <v>1</v>
      </c>
      <c r="BZ74" s="14">
        <v>3</v>
      </c>
      <c r="CA74" s="14">
        <f t="shared" si="6"/>
        <v>94</v>
      </c>
      <c r="CB74" s="14">
        <v>100</v>
      </c>
      <c r="CC74" s="35"/>
      <c r="CD74" s="21">
        <v>1</v>
      </c>
      <c r="CE74" s="14">
        <v>4</v>
      </c>
      <c r="CF74" s="14">
        <f t="shared" si="7"/>
        <v>94</v>
      </c>
      <c r="CG74" s="14">
        <v>100</v>
      </c>
      <c r="CH74" s="35"/>
      <c r="CI74" s="35"/>
      <c r="CJ74" s="35"/>
      <c r="CK74" s="35"/>
      <c r="CL74" s="53"/>
      <c r="CM74" s="35"/>
      <c r="CN74" s="35"/>
      <c r="CO74" s="35"/>
      <c r="CP74" s="35"/>
      <c r="CQ74" s="35"/>
      <c r="CR74" s="35"/>
      <c r="CS74" s="35"/>
    </row>
    <row r="75" spans="2:97" ht="18.75" customHeight="1">
      <c r="B75" s="21">
        <v>200040004</v>
      </c>
      <c r="C75" s="14">
        <v>20004</v>
      </c>
      <c r="D75" s="14" t="s">
        <v>2016</v>
      </c>
      <c r="E75" s="14">
        <v>4.9000000000000004</v>
      </c>
      <c r="F75" s="14">
        <v>4.9000000000000004</v>
      </c>
      <c r="G75" s="14">
        <v>25</v>
      </c>
      <c r="H75" s="14">
        <v>99</v>
      </c>
      <c r="I75" s="21">
        <v>1</v>
      </c>
      <c r="J75" s="21">
        <v>1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>
        <v>0</v>
      </c>
      <c r="R75" s="21">
        <v>0</v>
      </c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14">
        <v>3</v>
      </c>
      <c r="BH75" s="14"/>
      <c r="BI75" s="24" t="s">
        <v>227</v>
      </c>
      <c r="BJ75" s="14">
        <v>4</v>
      </c>
      <c r="BK75" s="35"/>
      <c r="BL75" s="24" t="s">
        <v>287</v>
      </c>
      <c r="BM75" s="14">
        <v>1</v>
      </c>
      <c r="BN75" s="14">
        <v>200010003</v>
      </c>
      <c r="BO75" s="14"/>
      <c r="BP75" s="35"/>
      <c r="BQ75" s="35"/>
      <c r="BR75" s="14"/>
      <c r="BS75" s="35"/>
      <c r="BT75" s="35"/>
      <c r="BU75" s="35"/>
      <c r="BV75" s="21">
        <v>1</v>
      </c>
      <c r="BW75" s="21">
        <v>1</v>
      </c>
      <c r="BX75" s="21">
        <v>1</v>
      </c>
      <c r="BY75" s="21">
        <v>1</v>
      </c>
      <c r="BZ75" s="14">
        <v>3</v>
      </c>
      <c r="CA75" s="14">
        <f t="shared" si="6"/>
        <v>123</v>
      </c>
      <c r="CB75" s="14">
        <v>100</v>
      </c>
      <c r="CC75" s="35"/>
      <c r="CD75" s="21">
        <v>1</v>
      </c>
      <c r="CE75" s="14">
        <v>4</v>
      </c>
      <c r="CF75" s="14">
        <f t="shared" si="7"/>
        <v>123</v>
      </c>
      <c r="CG75" s="14">
        <v>100</v>
      </c>
      <c r="CH75" s="35"/>
      <c r="CI75" s="35"/>
      <c r="CJ75" s="35"/>
      <c r="CK75" s="35"/>
      <c r="CL75" s="53"/>
      <c r="CM75" s="35"/>
      <c r="CN75" s="35"/>
      <c r="CO75" s="35"/>
      <c r="CP75" s="35"/>
      <c r="CQ75" s="35"/>
      <c r="CR75" s="35"/>
      <c r="CS75" s="35"/>
    </row>
    <row r="76" spans="2:97" ht="18.75" customHeight="1">
      <c r="B76" s="21">
        <v>200040005</v>
      </c>
      <c r="C76" s="14">
        <v>20004</v>
      </c>
      <c r="D76" s="14" t="s">
        <v>2017</v>
      </c>
      <c r="E76" s="14">
        <v>5.0999999999999996</v>
      </c>
      <c r="F76" s="14">
        <v>5.0999999999999996</v>
      </c>
      <c r="G76" s="14">
        <v>30</v>
      </c>
      <c r="H76" s="14">
        <v>99</v>
      </c>
      <c r="I76" s="21">
        <v>1</v>
      </c>
      <c r="J76" s="21">
        <v>1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>
        <v>0</v>
      </c>
      <c r="R76" s="21">
        <v>0</v>
      </c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5">
        <v>3</v>
      </c>
      <c r="BH76" s="35"/>
      <c r="BI76" s="24" t="s">
        <v>227</v>
      </c>
      <c r="BJ76" s="25">
        <v>4</v>
      </c>
      <c r="BK76" s="35"/>
      <c r="BL76" s="24" t="s">
        <v>287</v>
      </c>
      <c r="BM76" s="14">
        <v>1</v>
      </c>
      <c r="BN76" s="14">
        <v>200010004</v>
      </c>
      <c r="BO76" s="35"/>
      <c r="BP76" s="35"/>
      <c r="BQ76" s="35"/>
      <c r="BR76" s="35"/>
      <c r="BS76" s="35"/>
      <c r="BT76" s="35"/>
      <c r="BU76" s="35"/>
      <c r="BV76" s="21">
        <v>1</v>
      </c>
      <c r="BW76" s="21">
        <v>1</v>
      </c>
      <c r="BX76" s="21">
        <v>1</v>
      </c>
      <c r="BY76" s="21">
        <v>1</v>
      </c>
      <c r="BZ76" s="14">
        <v>3</v>
      </c>
      <c r="CA76" s="14">
        <f t="shared" si="6"/>
        <v>153</v>
      </c>
      <c r="CB76" s="14">
        <v>100</v>
      </c>
      <c r="CC76" s="35"/>
      <c r="CD76" s="21">
        <v>1</v>
      </c>
      <c r="CE76" s="14">
        <v>4</v>
      </c>
      <c r="CF76" s="14">
        <f t="shared" si="7"/>
        <v>153</v>
      </c>
      <c r="CG76" s="14">
        <v>100</v>
      </c>
      <c r="CH76" s="35"/>
      <c r="CI76" s="35"/>
      <c r="CJ76" s="35"/>
      <c r="CK76" s="35"/>
      <c r="CL76" s="36"/>
    </row>
    <row r="77" spans="2:97" ht="18.75" customHeight="1">
      <c r="B77" s="21">
        <v>200050001</v>
      </c>
      <c r="C77" s="14">
        <v>20005</v>
      </c>
      <c r="D77" s="14" t="s">
        <v>2018</v>
      </c>
      <c r="E77" s="14">
        <v>4.3</v>
      </c>
      <c r="F77" s="14">
        <v>4.3</v>
      </c>
      <c r="G77" s="14">
        <v>10</v>
      </c>
      <c r="H77" s="14">
        <v>99</v>
      </c>
      <c r="I77" s="21">
        <v>1</v>
      </c>
      <c r="J77" s="21">
        <v>1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14">
        <v>3</v>
      </c>
      <c r="BH77" s="14"/>
      <c r="BI77" s="24" t="s">
        <v>227</v>
      </c>
      <c r="BJ77" s="14">
        <v>4</v>
      </c>
      <c r="BK77" s="35"/>
      <c r="BL77" s="24" t="s">
        <v>287</v>
      </c>
      <c r="BM77" s="14"/>
      <c r="BN77" s="14"/>
      <c r="BO77" s="14"/>
      <c r="BP77" s="35"/>
      <c r="BQ77" s="35"/>
      <c r="BR77" s="14"/>
      <c r="BS77" s="35"/>
      <c r="BT77" s="35"/>
      <c r="BU77" s="35"/>
      <c r="BV77" s="21">
        <v>1</v>
      </c>
      <c r="BW77" s="21">
        <v>1</v>
      </c>
      <c r="BX77" s="21">
        <v>1</v>
      </c>
      <c r="BY77" s="21">
        <v>1</v>
      </c>
      <c r="BZ77" s="14">
        <v>3</v>
      </c>
      <c r="CA77" s="14">
        <f t="shared" ref="CA77:CA81" si="8">ROUND(E77*G77,0)</f>
        <v>43</v>
      </c>
      <c r="CB77" s="14">
        <v>100</v>
      </c>
      <c r="CC77" s="35"/>
      <c r="CD77" s="21">
        <v>1</v>
      </c>
      <c r="CE77" s="14">
        <v>4</v>
      </c>
      <c r="CF77" s="14">
        <f t="shared" ref="CF77:CF81" si="9">ROUND(F77*G77,0)</f>
        <v>43</v>
      </c>
      <c r="CG77" s="14">
        <v>100</v>
      </c>
      <c r="CH77" s="35"/>
      <c r="CI77" s="35"/>
      <c r="CJ77" s="35"/>
      <c r="CK77" s="35"/>
      <c r="CL77" s="53"/>
      <c r="CM77" s="35"/>
      <c r="CN77" s="35"/>
      <c r="CO77" s="35"/>
      <c r="CP77" s="35"/>
      <c r="CQ77" s="35"/>
      <c r="CR77" s="35"/>
      <c r="CS77" s="35"/>
    </row>
    <row r="78" spans="2:97" ht="18.75" customHeight="1">
      <c r="B78" s="21">
        <v>200050002</v>
      </c>
      <c r="C78" s="14">
        <v>20005</v>
      </c>
      <c r="D78" s="14" t="s">
        <v>2019</v>
      </c>
      <c r="E78" s="14">
        <v>4.5</v>
      </c>
      <c r="F78" s="14">
        <v>4.5</v>
      </c>
      <c r="G78" s="14">
        <v>15</v>
      </c>
      <c r="H78" s="14">
        <v>99</v>
      </c>
      <c r="I78" s="21">
        <v>1</v>
      </c>
      <c r="J78" s="21">
        <v>1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>
        <v>0</v>
      </c>
      <c r="R78" s="21">
        <v>0</v>
      </c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14">
        <v>3</v>
      </c>
      <c r="BH78" s="14"/>
      <c r="BI78" s="24" t="s">
        <v>227</v>
      </c>
      <c r="BJ78" s="14">
        <v>4</v>
      </c>
      <c r="BK78" s="35"/>
      <c r="BL78" s="24" t="s">
        <v>287</v>
      </c>
      <c r="BM78" s="14">
        <v>1</v>
      </c>
      <c r="BN78" s="14">
        <v>200010001</v>
      </c>
      <c r="BO78" s="14"/>
      <c r="BP78" s="35"/>
      <c r="BQ78" s="35"/>
      <c r="BR78" s="14"/>
      <c r="BS78" s="35"/>
      <c r="BT78" s="35"/>
      <c r="BU78" s="35"/>
      <c r="BV78" s="21">
        <v>1</v>
      </c>
      <c r="BW78" s="21">
        <v>1</v>
      </c>
      <c r="BX78" s="21">
        <v>1</v>
      </c>
      <c r="BY78" s="21">
        <v>1</v>
      </c>
      <c r="BZ78" s="14">
        <v>3</v>
      </c>
      <c r="CA78" s="14">
        <f t="shared" si="8"/>
        <v>68</v>
      </c>
      <c r="CB78" s="14">
        <v>100</v>
      </c>
      <c r="CC78" s="35"/>
      <c r="CD78" s="21">
        <v>1</v>
      </c>
      <c r="CE78" s="14">
        <v>4</v>
      </c>
      <c r="CF78" s="14">
        <f t="shared" si="9"/>
        <v>68</v>
      </c>
      <c r="CG78" s="14">
        <v>100</v>
      </c>
      <c r="CH78" s="35"/>
      <c r="CI78" s="35"/>
      <c r="CJ78" s="35"/>
      <c r="CK78" s="35"/>
      <c r="CL78" s="53"/>
      <c r="CM78" s="35"/>
      <c r="CN78" s="35"/>
      <c r="CO78" s="35"/>
      <c r="CP78" s="35"/>
      <c r="CQ78" s="35"/>
      <c r="CR78" s="35"/>
      <c r="CS78" s="35"/>
    </row>
    <row r="79" spans="2:97" ht="18.75" customHeight="1">
      <c r="B79" s="21">
        <v>200050003</v>
      </c>
      <c r="C79" s="14">
        <v>20005</v>
      </c>
      <c r="D79" s="14" t="s">
        <v>2020</v>
      </c>
      <c r="E79" s="14">
        <v>4.7</v>
      </c>
      <c r="F79" s="14">
        <v>4.7</v>
      </c>
      <c r="G79" s="14">
        <v>20</v>
      </c>
      <c r="H79" s="14">
        <v>99</v>
      </c>
      <c r="I79" s="21">
        <v>1</v>
      </c>
      <c r="J79" s="21">
        <v>1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0</v>
      </c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14">
        <v>3</v>
      </c>
      <c r="BH79" s="14"/>
      <c r="BI79" s="24" t="s">
        <v>227</v>
      </c>
      <c r="BJ79" s="14">
        <v>4</v>
      </c>
      <c r="BK79" s="35"/>
      <c r="BL79" s="24" t="s">
        <v>287</v>
      </c>
      <c r="BM79" s="14">
        <v>1</v>
      </c>
      <c r="BN79" s="14">
        <v>200010002</v>
      </c>
      <c r="BO79" s="14"/>
      <c r="BP79" s="35"/>
      <c r="BQ79" s="35"/>
      <c r="BR79" s="14"/>
      <c r="BS79" s="35"/>
      <c r="BT79" s="35"/>
      <c r="BU79" s="35"/>
      <c r="BV79" s="21">
        <v>1</v>
      </c>
      <c r="BW79" s="21">
        <v>1</v>
      </c>
      <c r="BX79" s="21">
        <v>1</v>
      </c>
      <c r="BY79" s="21">
        <v>1</v>
      </c>
      <c r="BZ79" s="14">
        <v>3</v>
      </c>
      <c r="CA79" s="14">
        <f t="shared" si="8"/>
        <v>94</v>
      </c>
      <c r="CB79" s="14">
        <v>100</v>
      </c>
      <c r="CC79" s="35"/>
      <c r="CD79" s="21">
        <v>1</v>
      </c>
      <c r="CE79" s="14">
        <v>4</v>
      </c>
      <c r="CF79" s="14">
        <f t="shared" si="9"/>
        <v>94</v>
      </c>
      <c r="CG79" s="14">
        <v>100</v>
      </c>
      <c r="CH79" s="35"/>
      <c r="CI79" s="35"/>
      <c r="CJ79" s="35"/>
      <c r="CK79" s="35"/>
      <c r="CL79" s="53"/>
      <c r="CM79" s="35"/>
      <c r="CN79" s="35"/>
      <c r="CO79" s="35"/>
      <c r="CP79" s="35"/>
      <c r="CQ79" s="35"/>
      <c r="CR79" s="35"/>
      <c r="CS79" s="35"/>
    </row>
    <row r="80" spans="2:97" ht="18.75" customHeight="1">
      <c r="B80" s="21">
        <v>200050004</v>
      </c>
      <c r="C80" s="14">
        <v>20005</v>
      </c>
      <c r="D80" s="14" t="s">
        <v>2021</v>
      </c>
      <c r="E80" s="14">
        <v>4.9000000000000004</v>
      </c>
      <c r="F80" s="14">
        <v>4.9000000000000004</v>
      </c>
      <c r="G80" s="14">
        <v>25</v>
      </c>
      <c r="H80" s="14">
        <v>99</v>
      </c>
      <c r="I80" s="21">
        <v>1</v>
      </c>
      <c r="J80" s="21">
        <v>1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14">
        <v>3</v>
      </c>
      <c r="BH80" s="14"/>
      <c r="BI80" s="24" t="s">
        <v>227</v>
      </c>
      <c r="BJ80" s="14">
        <v>4</v>
      </c>
      <c r="BK80" s="35"/>
      <c r="BL80" s="24" t="s">
        <v>287</v>
      </c>
      <c r="BM80" s="14">
        <v>1</v>
      </c>
      <c r="BN80" s="14">
        <v>200010003</v>
      </c>
      <c r="BO80" s="14"/>
      <c r="BP80" s="35"/>
      <c r="BQ80" s="35"/>
      <c r="BR80" s="14"/>
      <c r="BS80" s="35"/>
      <c r="BT80" s="35"/>
      <c r="BU80" s="35"/>
      <c r="BV80" s="21">
        <v>1</v>
      </c>
      <c r="BW80" s="21">
        <v>1</v>
      </c>
      <c r="BX80" s="21">
        <v>1</v>
      </c>
      <c r="BY80" s="21">
        <v>1</v>
      </c>
      <c r="BZ80" s="14">
        <v>3</v>
      </c>
      <c r="CA80" s="14">
        <f t="shared" si="8"/>
        <v>123</v>
      </c>
      <c r="CB80" s="14">
        <v>100</v>
      </c>
      <c r="CC80" s="35"/>
      <c r="CD80" s="21">
        <v>1</v>
      </c>
      <c r="CE80" s="14">
        <v>4</v>
      </c>
      <c r="CF80" s="14">
        <f t="shared" si="9"/>
        <v>123</v>
      </c>
      <c r="CG80" s="14">
        <v>100</v>
      </c>
      <c r="CH80" s="35"/>
      <c r="CI80" s="35"/>
      <c r="CJ80" s="35"/>
      <c r="CK80" s="35"/>
      <c r="CL80" s="53"/>
      <c r="CM80" s="35"/>
      <c r="CN80" s="35"/>
      <c r="CO80" s="35"/>
      <c r="CP80" s="35"/>
      <c r="CQ80" s="35"/>
      <c r="CR80" s="35"/>
      <c r="CS80" s="35"/>
    </row>
    <row r="81" spans="2:90" ht="18.75" customHeight="1">
      <c r="B81" s="21">
        <v>200050005</v>
      </c>
      <c r="C81" s="14">
        <v>20005</v>
      </c>
      <c r="D81" s="14" t="s">
        <v>2022</v>
      </c>
      <c r="E81" s="14">
        <v>5.0999999999999996</v>
      </c>
      <c r="F81" s="14">
        <v>5.0999999999999996</v>
      </c>
      <c r="G81" s="14">
        <v>30</v>
      </c>
      <c r="H81" s="14">
        <v>99</v>
      </c>
      <c r="I81" s="21">
        <v>1</v>
      </c>
      <c r="J81" s="21">
        <v>1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5">
        <v>3</v>
      </c>
      <c r="BH81" s="35"/>
      <c r="BI81" s="24" t="s">
        <v>227</v>
      </c>
      <c r="BJ81" s="25">
        <v>4</v>
      </c>
      <c r="BK81" s="35"/>
      <c r="BL81" s="24" t="s">
        <v>287</v>
      </c>
      <c r="BM81" s="14">
        <v>1</v>
      </c>
      <c r="BN81" s="14">
        <v>200010004</v>
      </c>
      <c r="BO81" s="35"/>
      <c r="BP81" s="35"/>
      <c r="BQ81" s="35"/>
      <c r="BR81" s="35"/>
      <c r="BS81" s="35"/>
      <c r="BT81" s="35"/>
      <c r="BU81" s="35"/>
      <c r="BV81" s="21">
        <v>1</v>
      </c>
      <c r="BW81" s="21">
        <v>1</v>
      </c>
      <c r="BX81" s="21">
        <v>1</v>
      </c>
      <c r="BY81" s="21">
        <v>1</v>
      </c>
      <c r="BZ81" s="14">
        <v>3</v>
      </c>
      <c r="CA81" s="14">
        <f t="shared" si="8"/>
        <v>153</v>
      </c>
      <c r="CB81" s="14">
        <v>100</v>
      </c>
      <c r="CC81" s="35"/>
      <c r="CD81" s="21">
        <v>1</v>
      </c>
      <c r="CE81" s="14">
        <v>4</v>
      </c>
      <c r="CF81" s="14">
        <f t="shared" si="9"/>
        <v>153</v>
      </c>
      <c r="CG81" s="14">
        <v>100</v>
      </c>
      <c r="CH81" s="35"/>
      <c r="CI81" s="35"/>
      <c r="CJ81" s="35"/>
      <c r="CK81" s="35"/>
      <c r="CL81" s="36"/>
    </row>
    <row r="82" spans="2:90" ht="18.75" customHeight="1">
      <c r="B82" s="44">
        <v>300010001</v>
      </c>
      <c r="C82" s="35">
        <v>30001</v>
      </c>
      <c r="D82" s="35" t="s">
        <v>1795</v>
      </c>
      <c r="E82" s="14">
        <v>8.6</v>
      </c>
      <c r="F82" s="14">
        <v>4.3</v>
      </c>
      <c r="G82" s="14">
        <v>10</v>
      </c>
      <c r="H82" s="35">
        <v>99</v>
      </c>
      <c r="I82" s="21">
        <v>1</v>
      </c>
      <c r="J82" s="21">
        <v>1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21">
        <v>1</v>
      </c>
      <c r="BW82" s="21">
        <v>1</v>
      </c>
      <c r="BX82" s="21">
        <v>1</v>
      </c>
      <c r="BY82" s="21">
        <v>1</v>
      </c>
      <c r="BZ82" s="14">
        <v>3</v>
      </c>
      <c r="CA82" s="14">
        <f t="shared" si="0"/>
        <v>86</v>
      </c>
      <c r="CB82" s="14">
        <v>100</v>
      </c>
      <c r="CC82" s="35"/>
      <c r="CD82" s="21">
        <v>1</v>
      </c>
      <c r="CE82" s="14">
        <v>4</v>
      </c>
      <c r="CF82" s="14">
        <f t="shared" si="1"/>
        <v>43</v>
      </c>
      <c r="CG82" s="14">
        <v>100</v>
      </c>
      <c r="CH82" s="35"/>
      <c r="CI82" s="35"/>
      <c r="CJ82" s="35"/>
      <c r="CK82" s="35"/>
      <c r="CL82" s="36"/>
    </row>
    <row r="83" spans="2:90" ht="18.75" customHeight="1">
      <c r="B83" s="44">
        <v>300010002</v>
      </c>
      <c r="C83" s="35">
        <v>30001</v>
      </c>
      <c r="D83" s="35" t="s">
        <v>1806</v>
      </c>
      <c r="E83" s="14">
        <v>10.5</v>
      </c>
      <c r="F83" s="14">
        <v>4.5</v>
      </c>
      <c r="G83" s="14">
        <v>15</v>
      </c>
      <c r="H83" s="35">
        <v>99</v>
      </c>
      <c r="I83" s="21">
        <v>1</v>
      </c>
      <c r="J83" s="21">
        <v>1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>
        <v>0</v>
      </c>
      <c r="R83" s="21">
        <v>0</v>
      </c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35"/>
      <c r="BH83" s="35"/>
      <c r="BI83" s="35"/>
      <c r="BJ83" s="35"/>
      <c r="BK83" s="35"/>
      <c r="BL83" s="35"/>
      <c r="BM83" s="35">
        <v>1</v>
      </c>
      <c r="BN83" s="35">
        <v>300010001</v>
      </c>
      <c r="BO83" s="35"/>
      <c r="BP83" s="35"/>
      <c r="BQ83" s="35"/>
      <c r="BR83" s="35"/>
      <c r="BS83" s="35"/>
      <c r="BT83" s="35"/>
      <c r="BU83" s="35"/>
      <c r="BV83" s="21">
        <v>1</v>
      </c>
      <c r="BW83" s="21">
        <v>1</v>
      </c>
      <c r="BX83" s="21">
        <v>1</v>
      </c>
      <c r="BY83" s="21">
        <v>1</v>
      </c>
      <c r="BZ83" s="14">
        <v>3</v>
      </c>
      <c r="CA83" s="14">
        <f t="shared" si="0"/>
        <v>158</v>
      </c>
      <c r="CB83" s="14">
        <v>100</v>
      </c>
      <c r="CC83" s="35"/>
      <c r="CD83" s="21">
        <v>1</v>
      </c>
      <c r="CE83" s="14">
        <v>4</v>
      </c>
      <c r="CF83" s="14">
        <f t="shared" si="1"/>
        <v>68</v>
      </c>
      <c r="CG83" s="14">
        <v>100</v>
      </c>
      <c r="CH83" s="35"/>
      <c r="CI83" s="35"/>
      <c r="CJ83" s="35"/>
      <c r="CK83" s="35"/>
      <c r="CL83" s="36"/>
    </row>
    <row r="84" spans="2:90" ht="18.75" customHeight="1">
      <c r="B84" s="44">
        <v>300010003</v>
      </c>
      <c r="C84" s="35">
        <v>30001</v>
      </c>
      <c r="D84" s="35" t="s">
        <v>1807</v>
      </c>
      <c r="E84" s="14">
        <v>12.4</v>
      </c>
      <c r="F84" s="14">
        <v>4.7</v>
      </c>
      <c r="G84" s="14">
        <v>20</v>
      </c>
      <c r="H84" s="35">
        <v>99</v>
      </c>
      <c r="I84" s="21">
        <v>1</v>
      </c>
      <c r="J84" s="21">
        <v>1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35"/>
      <c r="BH84" s="35"/>
      <c r="BI84" s="35"/>
      <c r="BJ84" s="35"/>
      <c r="BK84" s="35"/>
      <c r="BL84" s="35"/>
      <c r="BM84" s="35">
        <v>1</v>
      </c>
      <c r="BN84" s="35">
        <v>300010002</v>
      </c>
      <c r="BO84" s="35"/>
      <c r="BP84" s="35"/>
      <c r="BQ84" s="35"/>
      <c r="BR84" s="35"/>
      <c r="BS84" s="35"/>
      <c r="BT84" s="35"/>
      <c r="BU84" s="35"/>
      <c r="BV84" s="21">
        <v>1</v>
      </c>
      <c r="BW84" s="21">
        <v>1</v>
      </c>
      <c r="BX84" s="21">
        <v>1</v>
      </c>
      <c r="BY84" s="21">
        <v>1</v>
      </c>
      <c r="BZ84" s="14">
        <v>3</v>
      </c>
      <c r="CA84" s="14">
        <f t="shared" si="0"/>
        <v>248</v>
      </c>
      <c r="CB84" s="14">
        <v>100</v>
      </c>
      <c r="CC84" s="35"/>
      <c r="CD84" s="21">
        <v>1</v>
      </c>
      <c r="CE84" s="14">
        <v>4</v>
      </c>
      <c r="CF84" s="14">
        <f t="shared" si="1"/>
        <v>94</v>
      </c>
      <c r="CG84" s="14">
        <v>100</v>
      </c>
      <c r="CH84" s="35"/>
      <c r="CI84" s="35"/>
      <c r="CJ84" s="35"/>
      <c r="CK84" s="35"/>
      <c r="CL84" s="36"/>
    </row>
    <row r="85" spans="2:90" ht="18.75" customHeight="1">
      <c r="B85" s="44">
        <v>300010004</v>
      </c>
      <c r="C85" s="35">
        <v>30001</v>
      </c>
      <c r="D85" s="35" t="s">
        <v>1808</v>
      </c>
      <c r="E85" s="14">
        <v>17.100000000000001</v>
      </c>
      <c r="F85" s="14">
        <v>4.9000000000000004</v>
      </c>
      <c r="G85" s="14">
        <v>25</v>
      </c>
      <c r="H85" s="35">
        <v>99</v>
      </c>
      <c r="I85" s="21">
        <v>1</v>
      </c>
      <c r="J85" s="21">
        <v>1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35"/>
      <c r="BH85" s="35"/>
      <c r="BI85" s="35"/>
      <c r="BJ85" s="35"/>
      <c r="BK85" s="35"/>
      <c r="BL85" s="35"/>
      <c r="BM85" s="35">
        <v>1</v>
      </c>
      <c r="BN85" s="35">
        <v>300010003</v>
      </c>
      <c r="BO85" s="35"/>
      <c r="BP85" s="35"/>
      <c r="BQ85" s="35"/>
      <c r="BR85" s="35"/>
      <c r="BS85" s="35"/>
      <c r="BT85" s="35"/>
      <c r="BU85" s="35"/>
      <c r="BV85" s="21">
        <v>1</v>
      </c>
      <c r="BW85" s="21">
        <v>1</v>
      </c>
      <c r="BX85" s="21">
        <v>1</v>
      </c>
      <c r="BY85" s="21">
        <v>1</v>
      </c>
      <c r="BZ85" s="14">
        <v>3</v>
      </c>
      <c r="CA85" s="14">
        <f t="shared" si="0"/>
        <v>428</v>
      </c>
      <c r="CB85" s="14">
        <v>100</v>
      </c>
      <c r="CC85" s="35"/>
      <c r="CD85" s="21">
        <v>1</v>
      </c>
      <c r="CE85" s="14">
        <v>4</v>
      </c>
      <c r="CF85" s="14">
        <f t="shared" si="1"/>
        <v>123</v>
      </c>
      <c r="CG85" s="14">
        <v>100</v>
      </c>
      <c r="CH85" s="35"/>
      <c r="CI85" s="35"/>
      <c r="CJ85" s="35"/>
      <c r="CK85" s="35"/>
      <c r="CL85" s="36"/>
    </row>
    <row r="86" spans="2:90" ht="18.75" customHeight="1">
      <c r="B86" s="44">
        <v>300010005</v>
      </c>
      <c r="C86" s="35">
        <v>30001</v>
      </c>
      <c r="D86" s="35" t="s">
        <v>1809</v>
      </c>
      <c r="E86" s="14">
        <v>22.9</v>
      </c>
      <c r="F86" s="14">
        <v>5.0999999999999996</v>
      </c>
      <c r="G86" s="14">
        <v>30</v>
      </c>
      <c r="H86" s="35">
        <v>99</v>
      </c>
      <c r="I86" s="21">
        <v>1</v>
      </c>
      <c r="J86" s="21">
        <v>1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35"/>
      <c r="BH86" s="35"/>
      <c r="BI86" s="35"/>
      <c r="BJ86" s="35"/>
      <c r="BK86" s="35"/>
      <c r="BL86" s="35"/>
      <c r="BM86" s="35">
        <v>1</v>
      </c>
      <c r="BN86" s="35">
        <v>300010004</v>
      </c>
      <c r="BO86" s="35"/>
      <c r="BP86" s="35"/>
      <c r="BQ86" s="35"/>
      <c r="BR86" s="35"/>
      <c r="BS86" s="35"/>
      <c r="BT86" s="35"/>
      <c r="BU86" s="35"/>
      <c r="BV86" s="21">
        <v>1</v>
      </c>
      <c r="BW86" s="21">
        <v>1</v>
      </c>
      <c r="BX86" s="21">
        <v>1</v>
      </c>
      <c r="BY86" s="21">
        <v>1</v>
      </c>
      <c r="BZ86" s="14">
        <v>3</v>
      </c>
      <c r="CA86" s="14">
        <f t="shared" si="0"/>
        <v>687</v>
      </c>
      <c r="CB86" s="14">
        <v>100</v>
      </c>
      <c r="CC86" s="35"/>
      <c r="CD86" s="21">
        <v>1</v>
      </c>
      <c r="CE86" s="14">
        <v>4</v>
      </c>
      <c r="CF86" s="14">
        <f t="shared" si="1"/>
        <v>153</v>
      </c>
      <c r="CG86" s="14">
        <v>100</v>
      </c>
      <c r="CH86" s="35"/>
      <c r="CI86" s="35"/>
      <c r="CJ86" s="35"/>
      <c r="CK86" s="35"/>
      <c r="CL86" s="36"/>
    </row>
    <row r="87" spans="2:90" ht="18.75" customHeight="1">
      <c r="B87" s="44">
        <v>300020001</v>
      </c>
      <c r="C87" s="35">
        <v>30002</v>
      </c>
      <c r="D87" s="35" t="s">
        <v>1810</v>
      </c>
      <c r="E87" s="14">
        <v>4.3</v>
      </c>
      <c r="F87" s="14">
        <v>8.6</v>
      </c>
      <c r="G87" s="14">
        <v>10</v>
      </c>
      <c r="H87" s="35">
        <v>99</v>
      </c>
      <c r="I87" s="21">
        <v>1</v>
      </c>
      <c r="J87" s="21">
        <v>1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21">
        <v>1</v>
      </c>
      <c r="BW87" s="21">
        <v>1</v>
      </c>
      <c r="BX87" s="21">
        <v>1</v>
      </c>
      <c r="BY87" s="21">
        <v>1</v>
      </c>
      <c r="BZ87" s="14">
        <v>3</v>
      </c>
      <c r="CA87" s="14">
        <f t="shared" si="0"/>
        <v>43</v>
      </c>
      <c r="CB87" s="14">
        <v>100</v>
      </c>
      <c r="CC87" s="35"/>
      <c r="CD87" s="21">
        <v>1</v>
      </c>
      <c r="CE87" s="14">
        <v>4</v>
      </c>
      <c r="CF87" s="14">
        <f t="shared" si="1"/>
        <v>86</v>
      </c>
      <c r="CG87" s="14">
        <v>100</v>
      </c>
      <c r="CH87" s="35"/>
      <c r="CI87" s="35"/>
      <c r="CJ87" s="35"/>
      <c r="CK87" s="35"/>
      <c r="CL87" s="36"/>
    </row>
    <row r="88" spans="2:90" ht="18.75" customHeight="1">
      <c r="B88" s="44">
        <v>300020002</v>
      </c>
      <c r="C88" s="35">
        <v>30002</v>
      </c>
      <c r="D88" s="35" t="s">
        <v>1811</v>
      </c>
      <c r="E88" s="14">
        <v>4.5</v>
      </c>
      <c r="F88" s="14">
        <v>10.5</v>
      </c>
      <c r="G88" s="14">
        <v>15</v>
      </c>
      <c r="H88" s="35">
        <v>99</v>
      </c>
      <c r="I88" s="21">
        <v>1</v>
      </c>
      <c r="J88" s="21">
        <v>1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35"/>
      <c r="BH88" s="35"/>
      <c r="BI88" s="35"/>
      <c r="BJ88" s="35"/>
      <c r="BK88" s="35"/>
      <c r="BL88" s="35"/>
      <c r="BM88" s="35">
        <v>1</v>
      </c>
      <c r="BN88" s="35">
        <v>300020001</v>
      </c>
      <c r="BO88" s="35"/>
      <c r="BP88" s="35"/>
      <c r="BQ88" s="35"/>
      <c r="BR88" s="35"/>
      <c r="BS88" s="35"/>
      <c r="BT88" s="35"/>
      <c r="BU88" s="35"/>
      <c r="BV88" s="21">
        <v>1</v>
      </c>
      <c r="BW88" s="21">
        <v>1</v>
      </c>
      <c r="BX88" s="21">
        <v>1</v>
      </c>
      <c r="BY88" s="21">
        <v>1</v>
      </c>
      <c r="BZ88" s="14">
        <v>3</v>
      </c>
      <c r="CA88" s="14">
        <f t="shared" si="0"/>
        <v>68</v>
      </c>
      <c r="CB88" s="14">
        <v>100</v>
      </c>
      <c r="CC88" s="35"/>
      <c r="CD88" s="21">
        <v>1</v>
      </c>
      <c r="CE88" s="14">
        <v>4</v>
      </c>
      <c r="CF88" s="14">
        <f t="shared" si="1"/>
        <v>158</v>
      </c>
      <c r="CG88" s="14">
        <v>100</v>
      </c>
      <c r="CH88" s="35"/>
      <c r="CI88" s="35"/>
      <c r="CJ88" s="35"/>
      <c r="CK88" s="35"/>
      <c r="CL88" s="36"/>
    </row>
    <row r="89" spans="2:90" ht="18.75" customHeight="1">
      <c r="B89" s="44">
        <v>300020003</v>
      </c>
      <c r="C89" s="35">
        <v>30002</v>
      </c>
      <c r="D89" s="35" t="s">
        <v>1812</v>
      </c>
      <c r="E89" s="14">
        <v>4.7</v>
      </c>
      <c r="F89" s="14">
        <v>12.4</v>
      </c>
      <c r="G89" s="14">
        <v>20</v>
      </c>
      <c r="H89" s="35">
        <v>99</v>
      </c>
      <c r="I89" s="21">
        <v>1</v>
      </c>
      <c r="J89" s="21">
        <v>1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35"/>
      <c r="BH89" s="35"/>
      <c r="BI89" s="35"/>
      <c r="BJ89" s="35"/>
      <c r="BK89" s="35"/>
      <c r="BL89" s="35"/>
      <c r="BM89" s="35">
        <v>1</v>
      </c>
      <c r="BN89" s="35">
        <v>300020002</v>
      </c>
      <c r="BO89" s="35"/>
      <c r="BP89" s="35"/>
      <c r="BQ89" s="35"/>
      <c r="BR89" s="35"/>
      <c r="BS89" s="35"/>
      <c r="BT89" s="35"/>
      <c r="BU89" s="35"/>
      <c r="BV89" s="21">
        <v>1</v>
      </c>
      <c r="BW89" s="21">
        <v>1</v>
      </c>
      <c r="BX89" s="21">
        <v>1</v>
      </c>
      <c r="BY89" s="21">
        <v>1</v>
      </c>
      <c r="BZ89" s="14">
        <v>3</v>
      </c>
      <c r="CA89" s="14">
        <f t="shared" si="0"/>
        <v>94</v>
      </c>
      <c r="CB89" s="14">
        <v>100</v>
      </c>
      <c r="CC89" s="35"/>
      <c r="CD89" s="21">
        <v>1</v>
      </c>
      <c r="CE89" s="14">
        <v>4</v>
      </c>
      <c r="CF89" s="14">
        <f t="shared" si="1"/>
        <v>248</v>
      </c>
      <c r="CG89" s="14">
        <v>100</v>
      </c>
      <c r="CH89" s="35"/>
      <c r="CI89" s="35"/>
      <c r="CJ89" s="35"/>
      <c r="CK89" s="35"/>
      <c r="CL89" s="36"/>
    </row>
    <row r="90" spans="2:90" ht="18.75" customHeight="1">
      <c r="B90" s="44">
        <v>300020004</v>
      </c>
      <c r="C90" s="35">
        <v>30002</v>
      </c>
      <c r="D90" s="35" t="s">
        <v>1813</v>
      </c>
      <c r="E90" s="14">
        <v>4.9000000000000004</v>
      </c>
      <c r="F90" s="14">
        <v>17.100000000000001</v>
      </c>
      <c r="G90" s="14">
        <v>25</v>
      </c>
      <c r="H90" s="35">
        <v>99</v>
      </c>
      <c r="I90" s="21">
        <v>1</v>
      </c>
      <c r="J90" s="21">
        <v>1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35"/>
      <c r="BH90" s="35"/>
      <c r="BI90" s="35"/>
      <c r="BJ90" s="35"/>
      <c r="BK90" s="35"/>
      <c r="BL90" s="35"/>
      <c r="BM90" s="35">
        <v>1</v>
      </c>
      <c r="BN90" s="35">
        <v>300020003</v>
      </c>
      <c r="BO90" s="35"/>
      <c r="BP90" s="35"/>
      <c r="BQ90" s="35"/>
      <c r="BR90" s="35"/>
      <c r="BS90" s="35"/>
      <c r="BT90" s="35"/>
      <c r="BU90" s="35"/>
      <c r="BV90" s="21">
        <v>1</v>
      </c>
      <c r="BW90" s="21">
        <v>1</v>
      </c>
      <c r="BX90" s="21">
        <v>1</v>
      </c>
      <c r="BY90" s="21">
        <v>1</v>
      </c>
      <c r="BZ90" s="14">
        <v>3</v>
      </c>
      <c r="CA90" s="14">
        <f t="shared" si="0"/>
        <v>123</v>
      </c>
      <c r="CB90" s="14">
        <v>100</v>
      </c>
      <c r="CC90" s="35"/>
      <c r="CD90" s="21">
        <v>1</v>
      </c>
      <c r="CE90" s="14">
        <v>4</v>
      </c>
      <c r="CF90" s="14">
        <f t="shared" si="1"/>
        <v>428</v>
      </c>
      <c r="CG90" s="14">
        <v>100</v>
      </c>
      <c r="CH90" s="35"/>
      <c r="CI90" s="35"/>
      <c r="CJ90" s="35"/>
      <c r="CK90" s="35"/>
      <c r="CL90" s="36"/>
    </row>
    <row r="91" spans="2:90" ht="18.75" customHeight="1">
      <c r="B91" s="44">
        <v>300020005</v>
      </c>
      <c r="C91" s="35">
        <v>30002</v>
      </c>
      <c r="D91" s="35" t="s">
        <v>1814</v>
      </c>
      <c r="E91" s="14">
        <v>5.0999999999999996</v>
      </c>
      <c r="F91" s="14">
        <v>22.9</v>
      </c>
      <c r="G91" s="14">
        <v>30</v>
      </c>
      <c r="H91" s="35">
        <v>99</v>
      </c>
      <c r="I91" s="21">
        <v>1</v>
      </c>
      <c r="J91" s="21">
        <v>1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>
        <v>0</v>
      </c>
      <c r="R91" s="21">
        <v>0</v>
      </c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35"/>
      <c r="BH91" s="35"/>
      <c r="BI91" s="35"/>
      <c r="BJ91" s="35"/>
      <c r="BK91" s="35"/>
      <c r="BL91" s="35"/>
      <c r="BM91" s="35">
        <v>1</v>
      </c>
      <c r="BN91" s="35">
        <v>300020004</v>
      </c>
      <c r="BO91" s="35"/>
      <c r="BP91" s="35"/>
      <c r="BQ91" s="35"/>
      <c r="BR91" s="35"/>
      <c r="BS91" s="35"/>
      <c r="BT91" s="35"/>
      <c r="BU91" s="35"/>
      <c r="BV91" s="21">
        <v>1</v>
      </c>
      <c r="BW91" s="21">
        <v>1</v>
      </c>
      <c r="BX91" s="21">
        <v>1</v>
      </c>
      <c r="BY91" s="21">
        <v>1</v>
      </c>
      <c r="BZ91" s="14">
        <v>3</v>
      </c>
      <c r="CA91" s="14">
        <f t="shared" si="0"/>
        <v>153</v>
      </c>
      <c r="CB91" s="14">
        <v>100</v>
      </c>
      <c r="CC91" s="35"/>
      <c r="CD91" s="21">
        <v>1</v>
      </c>
      <c r="CE91" s="14">
        <v>4</v>
      </c>
      <c r="CF91" s="14">
        <f t="shared" si="1"/>
        <v>687</v>
      </c>
      <c r="CG91" s="14">
        <v>100</v>
      </c>
      <c r="CH91" s="35"/>
      <c r="CI91" s="35"/>
      <c r="CJ91" s="35"/>
      <c r="CK91" s="35"/>
      <c r="CL91" s="36"/>
    </row>
    <row r="92" spans="2:90" ht="18.75" customHeight="1">
      <c r="B92" s="44">
        <v>300030001</v>
      </c>
      <c r="C92" s="35">
        <v>30003</v>
      </c>
      <c r="D92" s="35" t="s">
        <v>1881</v>
      </c>
      <c r="E92" s="14">
        <v>4.3</v>
      </c>
      <c r="F92" s="14">
        <v>4.3</v>
      </c>
      <c r="G92" s="14">
        <v>10</v>
      </c>
      <c r="H92" s="35">
        <v>99</v>
      </c>
      <c r="I92" s="21">
        <v>1</v>
      </c>
      <c r="J92" s="21">
        <v>1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0</v>
      </c>
      <c r="R92" s="21">
        <v>0</v>
      </c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35"/>
      <c r="BH92" s="35"/>
      <c r="BI92" s="35"/>
      <c r="BJ92" s="35"/>
      <c r="BK92" s="35"/>
      <c r="BL92" s="35"/>
      <c r="BM92" s="35">
        <v>14</v>
      </c>
      <c r="BN92" s="35"/>
      <c r="BO92" s="35" t="s">
        <v>1816</v>
      </c>
      <c r="BP92" s="35"/>
      <c r="BQ92" s="35"/>
      <c r="BR92" s="35"/>
      <c r="BS92" s="35"/>
      <c r="BT92" s="35"/>
      <c r="BU92" s="35"/>
      <c r="BV92" s="21">
        <v>1</v>
      </c>
      <c r="BW92" s="21">
        <v>1</v>
      </c>
      <c r="BX92" s="21">
        <v>1</v>
      </c>
      <c r="BY92" s="21">
        <v>1</v>
      </c>
      <c r="BZ92" s="14">
        <v>3</v>
      </c>
      <c r="CA92" s="14">
        <f t="shared" si="0"/>
        <v>43</v>
      </c>
      <c r="CB92" s="14">
        <v>100</v>
      </c>
      <c r="CC92" s="35"/>
      <c r="CD92" s="21">
        <v>1</v>
      </c>
      <c r="CE92" s="14">
        <v>4</v>
      </c>
      <c r="CF92" s="14">
        <f t="shared" si="1"/>
        <v>43</v>
      </c>
      <c r="CG92" s="14">
        <v>100</v>
      </c>
      <c r="CH92" s="35"/>
      <c r="CI92" s="35"/>
      <c r="CJ92" s="35"/>
      <c r="CK92" s="35"/>
      <c r="CL92" s="36"/>
    </row>
    <row r="93" spans="2:90" ht="18.75" customHeight="1">
      <c r="B93" s="44">
        <v>300030002</v>
      </c>
      <c r="C93" s="35">
        <v>30003</v>
      </c>
      <c r="D93" s="35" t="s">
        <v>1882</v>
      </c>
      <c r="E93" s="14">
        <v>4.5</v>
      </c>
      <c r="F93" s="14">
        <v>4.5</v>
      </c>
      <c r="G93" s="14">
        <v>15</v>
      </c>
      <c r="H93" s="35">
        <v>99</v>
      </c>
      <c r="I93" s="21">
        <v>1</v>
      </c>
      <c r="J93" s="21">
        <v>1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>
        <v>0</v>
      </c>
      <c r="R93" s="21">
        <v>0</v>
      </c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35"/>
      <c r="BH93" s="35"/>
      <c r="BI93" s="35"/>
      <c r="BJ93" s="35"/>
      <c r="BK93" s="35"/>
      <c r="BL93" s="35"/>
      <c r="BM93" s="35">
        <v>14</v>
      </c>
      <c r="BN93" s="35"/>
      <c r="BO93" s="35" t="s">
        <v>1816</v>
      </c>
      <c r="BP93" s="35">
        <v>1</v>
      </c>
      <c r="BQ93" s="35">
        <v>300030001</v>
      </c>
      <c r="BR93" s="35"/>
      <c r="BS93" s="35"/>
      <c r="BT93" s="35"/>
      <c r="BU93" s="35"/>
      <c r="BV93" s="21">
        <v>1</v>
      </c>
      <c r="BW93" s="21">
        <v>1</v>
      </c>
      <c r="BX93" s="21">
        <v>1</v>
      </c>
      <c r="BY93" s="21">
        <v>1</v>
      </c>
      <c r="BZ93" s="14">
        <v>3</v>
      </c>
      <c r="CA93" s="14">
        <f t="shared" si="0"/>
        <v>68</v>
      </c>
      <c r="CB93" s="14">
        <v>100</v>
      </c>
      <c r="CC93" s="35"/>
      <c r="CD93" s="21">
        <v>1</v>
      </c>
      <c r="CE93" s="14">
        <v>4</v>
      </c>
      <c r="CF93" s="14">
        <f t="shared" si="1"/>
        <v>68</v>
      </c>
      <c r="CG93" s="14">
        <v>100</v>
      </c>
      <c r="CH93" s="35"/>
      <c r="CI93" s="35"/>
      <c r="CJ93" s="35"/>
      <c r="CK93" s="35"/>
      <c r="CL93" s="36"/>
    </row>
    <row r="94" spans="2:90" ht="18.75" customHeight="1">
      <c r="B94" s="44">
        <v>300030003</v>
      </c>
      <c r="C94" s="35">
        <v>30003</v>
      </c>
      <c r="D94" s="35" t="s">
        <v>1883</v>
      </c>
      <c r="E94" s="14">
        <v>4.7</v>
      </c>
      <c r="F94" s="14">
        <v>4.7</v>
      </c>
      <c r="G94" s="14">
        <v>20</v>
      </c>
      <c r="H94" s="35">
        <v>99</v>
      </c>
      <c r="I94" s="21">
        <v>1</v>
      </c>
      <c r="J94" s="21">
        <v>1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35"/>
      <c r="BH94" s="35"/>
      <c r="BI94" s="35"/>
      <c r="BJ94" s="35"/>
      <c r="BK94" s="35"/>
      <c r="BL94" s="35"/>
      <c r="BM94" s="35">
        <v>14</v>
      </c>
      <c r="BN94" s="35"/>
      <c r="BO94" s="35" t="s">
        <v>1816</v>
      </c>
      <c r="BP94" s="35">
        <v>1</v>
      </c>
      <c r="BQ94" s="35">
        <v>300030002</v>
      </c>
      <c r="BR94" s="35"/>
      <c r="BS94" s="35"/>
      <c r="BT94" s="35"/>
      <c r="BU94" s="35"/>
      <c r="BV94" s="21">
        <v>1</v>
      </c>
      <c r="BW94" s="21">
        <v>1</v>
      </c>
      <c r="BX94" s="21">
        <v>1</v>
      </c>
      <c r="BY94" s="21">
        <v>1</v>
      </c>
      <c r="BZ94" s="14">
        <v>3</v>
      </c>
      <c r="CA94" s="14">
        <f t="shared" si="0"/>
        <v>94</v>
      </c>
      <c r="CB94" s="14">
        <v>100</v>
      </c>
      <c r="CC94" s="35"/>
      <c r="CD94" s="21">
        <v>1</v>
      </c>
      <c r="CE94" s="14">
        <v>4</v>
      </c>
      <c r="CF94" s="14">
        <f t="shared" si="1"/>
        <v>94</v>
      </c>
      <c r="CG94" s="14">
        <v>100</v>
      </c>
      <c r="CH94" s="35"/>
      <c r="CI94" s="35"/>
      <c r="CJ94" s="35"/>
      <c r="CK94" s="35"/>
      <c r="CL94" s="36"/>
    </row>
    <row r="95" spans="2:90" ht="18.75" customHeight="1">
      <c r="B95" s="44">
        <v>300030004</v>
      </c>
      <c r="C95" s="35">
        <v>30003</v>
      </c>
      <c r="D95" s="35" t="s">
        <v>1884</v>
      </c>
      <c r="E95" s="14">
        <v>4.9000000000000004</v>
      </c>
      <c r="F95" s="14">
        <v>4.9000000000000004</v>
      </c>
      <c r="G95" s="14">
        <v>25</v>
      </c>
      <c r="H95" s="35">
        <v>99</v>
      </c>
      <c r="I95" s="21">
        <v>1</v>
      </c>
      <c r="J95" s="21">
        <v>1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35"/>
      <c r="BH95" s="35"/>
      <c r="BI95" s="35"/>
      <c r="BJ95" s="35"/>
      <c r="BK95" s="35"/>
      <c r="BL95" s="35"/>
      <c r="BM95" s="35">
        <v>14</v>
      </c>
      <c r="BN95" s="35"/>
      <c r="BO95" s="35" t="s">
        <v>1816</v>
      </c>
      <c r="BP95" s="35">
        <v>1</v>
      </c>
      <c r="BQ95" s="35">
        <v>300030003</v>
      </c>
      <c r="BR95" s="35"/>
      <c r="BS95" s="35"/>
      <c r="BT95" s="35"/>
      <c r="BU95" s="35"/>
      <c r="BV95" s="21">
        <v>1</v>
      </c>
      <c r="BW95" s="21">
        <v>1</v>
      </c>
      <c r="BX95" s="21">
        <v>1</v>
      </c>
      <c r="BY95" s="21">
        <v>1</v>
      </c>
      <c r="BZ95" s="14">
        <v>3</v>
      </c>
      <c r="CA95" s="14">
        <f t="shared" si="0"/>
        <v>123</v>
      </c>
      <c r="CB95" s="14">
        <v>100</v>
      </c>
      <c r="CC95" s="35"/>
      <c r="CD95" s="21">
        <v>1</v>
      </c>
      <c r="CE95" s="14">
        <v>4</v>
      </c>
      <c r="CF95" s="14">
        <f t="shared" si="1"/>
        <v>123</v>
      </c>
      <c r="CG95" s="14">
        <v>100</v>
      </c>
      <c r="CH95" s="35"/>
      <c r="CI95" s="35"/>
      <c r="CJ95" s="35"/>
      <c r="CK95" s="35"/>
      <c r="CL95" s="36"/>
    </row>
    <row r="96" spans="2:90" ht="18.75" customHeight="1">
      <c r="B96" s="44">
        <v>300030005</v>
      </c>
      <c r="C96" s="35">
        <v>30003</v>
      </c>
      <c r="D96" s="35" t="s">
        <v>1885</v>
      </c>
      <c r="E96" s="14">
        <v>5.0999999999999996</v>
      </c>
      <c r="F96" s="14">
        <v>5.0999999999999996</v>
      </c>
      <c r="G96" s="14">
        <v>30</v>
      </c>
      <c r="H96" s="35">
        <v>99</v>
      </c>
      <c r="I96" s="21">
        <v>1</v>
      </c>
      <c r="J96" s="21">
        <v>1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35"/>
      <c r="BH96" s="35"/>
      <c r="BI96" s="35"/>
      <c r="BJ96" s="35"/>
      <c r="BK96" s="35"/>
      <c r="BL96" s="35"/>
      <c r="BM96" s="35">
        <v>14</v>
      </c>
      <c r="BN96" s="35"/>
      <c r="BO96" s="35" t="s">
        <v>1816</v>
      </c>
      <c r="BP96" s="35">
        <v>1</v>
      </c>
      <c r="BQ96" s="35">
        <v>300030004</v>
      </c>
      <c r="BR96" s="35"/>
      <c r="BS96" s="35"/>
      <c r="BT96" s="35"/>
      <c r="BU96" s="35"/>
      <c r="BV96" s="21">
        <v>1</v>
      </c>
      <c r="BW96" s="21">
        <v>1</v>
      </c>
      <c r="BX96" s="21">
        <v>1</v>
      </c>
      <c r="BY96" s="21">
        <v>1</v>
      </c>
      <c r="BZ96" s="14">
        <v>3</v>
      </c>
      <c r="CA96" s="14">
        <f t="shared" ref="CA96:CA116" si="10">ROUND(E96*G96,0)</f>
        <v>153</v>
      </c>
      <c r="CB96" s="14">
        <v>100</v>
      </c>
      <c r="CC96" s="35"/>
      <c r="CD96" s="21">
        <v>1</v>
      </c>
      <c r="CE96" s="14">
        <v>4</v>
      </c>
      <c r="CF96" s="14">
        <f t="shared" ref="CF96:CF116" si="11">ROUND(F96*G96,0)</f>
        <v>153</v>
      </c>
      <c r="CG96" s="14">
        <v>100</v>
      </c>
      <c r="CH96" s="35"/>
      <c r="CI96" s="35"/>
      <c r="CJ96" s="35"/>
      <c r="CK96" s="35"/>
      <c r="CL96" s="36"/>
    </row>
    <row r="97" spans="2:90" ht="18.75" customHeight="1">
      <c r="B97" s="44">
        <v>300040001</v>
      </c>
      <c r="C97" s="35">
        <v>30004</v>
      </c>
      <c r="D97" s="35" t="s">
        <v>1887</v>
      </c>
      <c r="E97" s="14">
        <v>4.3</v>
      </c>
      <c r="F97" s="14">
        <v>4.3</v>
      </c>
      <c r="G97" s="14">
        <v>10</v>
      </c>
      <c r="H97" s="35">
        <v>99</v>
      </c>
      <c r="I97" s="21">
        <v>1</v>
      </c>
      <c r="J97" s="21">
        <v>1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35"/>
      <c r="BH97" s="35"/>
      <c r="BI97" s="35"/>
      <c r="BJ97" s="35"/>
      <c r="BK97" s="35"/>
      <c r="BL97" s="35"/>
      <c r="BM97" s="35">
        <v>14</v>
      </c>
      <c r="BN97" s="35"/>
      <c r="BO97" s="35" t="s">
        <v>1817</v>
      </c>
      <c r="BP97" s="35"/>
      <c r="BQ97" s="35"/>
      <c r="BR97" s="35"/>
      <c r="BS97" s="35"/>
      <c r="BT97" s="35"/>
      <c r="BU97" s="35"/>
      <c r="BV97" s="21">
        <v>1</v>
      </c>
      <c r="BW97" s="21">
        <v>1</v>
      </c>
      <c r="BX97" s="21">
        <v>1</v>
      </c>
      <c r="BY97" s="21">
        <v>1</v>
      </c>
      <c r="BZ97" s="14">
        <v>3</v>
      </c>
      <c r="CA97" s="14">
        <f t="shared" si="10"/>
        <v>43</v>
      </c>
      <c r="CB97" s="14">
        <v>100</v>
      </c>
      <c r="CC97" s="35"/>
      <c r="CD97" s="21">
        <v>1</v>
      </c>
      <c r="CE97" s="14">
        <v>4</v>
      </c>
      <c r="CF97" s="14">
        <f t="shared" si="11"/>
        <v>43</v>
      </c>
      <c r="CG97" s="14">
        <v>100</v>
      </c>
      <c r="CH97" s="35"/>
      <c r="CI97" s="35"/>
      <c r="CJ97" s="35"/>
      <c r="CK97" s="35"/>
      <c r="CL97" s="36"/>
    </row>
    <row r="98" spans="2:90" ht="18.75" customHeight="1">
      <c r="B98" s="44">
        <v>300040002</v>
      </c>
      <c r="C98" s="35">
        <v>30004</v>
      </c>
      <c r="D98" s="35" t="s">
        <v>1888</v>
      </c>
      <c r="E98" s="14">
        <v>4.5</v>
      </c>
      <c r="F98" s="14">
        <v>4.5</v>
      </c>
      <c r="G98" s="14">
        <v>15</v>
      </c>
      <c r="H98" s="35">
        <v>99</v>
      </c>
      <c r="I98" s="21">
        <v>1</v>
      </c>
      <c r="J98" s="21">
        <v>1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35"/>
      <c r="BH98" s="35"/>
      <c r="BI98" s="35"/>
      <c r="BJ98" s="35"/>
      <c r="BK98" s="35"/>
      <c r="BL98" s="35"/>
      <c r="BM98" s="35">
        <v>14</v>
      </c>
      <c r="BN98" s="35"/>
      <c r="BO98" s="35" t="s">
        <v>1817</v>
      </c>
      <c r="BP98" s="35">
        <v>1</v>
      </c>
      <c r="BQ98" s="35">
        <v>300040001</v>
      </c>
      <c r="BR98" s="35"/>
      <c r="BS98" s="35"/>
      <c r="BT98" s="35"/>
      <c r="BU98" s="35"/>
      <c r="BV98" s="21">
        <v>1</v>
      </c>
      <c r="BW98" s="21">
        <v>1</v>
      </c>
      <c r="BX98" s="21">
        <v>1</v>
      </c>
      <c r="BY98" s="21">
        <v>1</v>
      </c>
      <c r="BZ98" s="14">
        <v>3</v>
      </c>
      <c r="CA98" s="14">
        <f t="shared" si="10"/>
        <v>68</v>
      </c>
      <c r="CB98" s="14">
        <v>100</v>
      </c>
      <c r="CC98" s="35"/>
      <c r="CD98" s="21">
        <v>1</v>
      </c>
      <c r="CE98" s="14">
        <v>4</v>
      </c>
      <c r="CF98" s="14">
        <f t="shared" si="11"/>
        <v>68</v>
      </c>
      <c r="CG98" s="14">
        <v>100</v>
      </c>
      <c r="CH98" s="35"/>
      <c r="CI98" s="35"/>
      <c r="CJ98" s="35"/>
      <c r="CK98" s="35"/>
      <c r="CL98" s="36"/>
    </row>
    <row r="99" spans="2:90" ht="18.75" customHeight="1">
      <c r="B99" s="44">
        <v>300040003</v>
      </c>
      <c r="C99" s="35">
        <v>30004</v>
      </c>
      <c r="D99" s="35" t="s">
        <v>1889</v>
      </c>
      <c r="E99" s="14">
        <v>4.7</v>
      </c>
      <c r="F99" s="14">
        <v>4.7</v>
      </c>
      <c r="G99" s="14">
        <v>20</v>
      </c>
      <c r="H99" s="35">
        <v>99</v>
      </c>
      <c r="I99" s="21">
        <v>1</v>
      </c>
      <c r="J99" s="21">
        <v>1</v>
      </c>
      <c r="K99" s="21">
        <v>0</v>
      </c>
      <c r="L99" s="21">
        <v>0</v>
      </c>
      <c r="M99" s="21">
        <v>0</v>
      </c>
      <c r="N99" s="21">
        <v>0</v>
      </c>
      <c r="O99" s="21">
        <v>0</v>
      </c>
      <c r="P99" s="21">
        <v>0</v>
      </c>
      <c r="Q99" s="21">
        <v>0</v>
      </c>
      <c r="R99" s="21">
        <v>0</v>
      </c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35"/>
      <c r="BH99" s="35"/>
      <c r="BI99" s="35"/>
      <c r="BJ99" s="35"/>
      <c r="BK99" s="35"/>
      <c r="BL99" s="35"/>
      <c r="BM99" s="35">
        <v>14</v>
      </c>
      <c r="BN99" s="35"/>
      <c r="BO99" s="35" t="s">
        <v>1817</v>
      </c>
      <c r="BP99" s="35">
        <v>1</v>
      </c>
      <c r="BQ99" s="35">
        <v>300040002</v>
      </c>
      <c r="BR99" s="35"/>
      <c r="BS99" s="35"/>
      <c r="BT99" s="35"/>
      <c r="BU99" s="35"/>
      <c r="BV99" s="21">
        <v>1</v>
      </c>
      <c r="BW99" s="21">
        <v>1</v>
      </c>
      <c r="BX99" s="21">
        <v>1</v>
      </c>
      <c r="BY99" s="21">
        <v>1</v>
      </c>
      <c r="BZ99" s="14">
        <v>3</v>
      </c>
      <c r="CA99" s="14">
        <f t="shared" si="10"/>
        <v>94</v>
      </c>
      <c r="CB99" s="14">
        <v>100</v>
      </c>
      <c r="CC99" s="35"/>
      <c r="CD99" s="21">
        <v>1</v>
      </c>
      <c r="CE99" s="14">
        <v>4</v>
      </c>
      <c r="CF99" s="14">
        <f t="shared" si="11"/>
        <v>94</v>
      </c>
      <c r="CG99" s="14">
        <v>100</v>
      </c>
      <c r="CH99" s="35"/>
      <c r="CI99" s="35"/>
      <c r="CJ99" s="35"/>
      <c r="CK99" s="35"/>
      <c r="CL99" s="36"/>
    </row>
    <row r="100" spans="2:90" ht="18.75" customHeight="1">
      <c r="B100" s="44">
        <v>300040004</v>
      </c>
      <c r="C100" s="35">
        <v>30004</v>
      </c>
      <c r="D100" s="35" t="s">
        <v>1890</v>
      </c>
      <c r="E100" s="14">
        <v>4.9000000000000004</v>
      </c>
      <c r="F100" s="14">
        <v>4.9000000000000004</v>
      </c>
      <c r="G100" s="14">
        <v>25</v>
      </c>
      <c r="H100" s="35">
        <v>99</v>
      </c>
      <c r="I100" s="21">
        <v>1</v>
      </c>
      <c r="J100" s="21">
        <v>1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35"/>
      <c r="BH100" s="35"/>
      <c r="BI100" s="35"/>
      <c r="BJ100" s="35"/>
      <c r="BK100" s="35"/>
      <c r="BL100" s="35"/>
      <c r="BM100" s="35">
        <v>14</v>
      </c>
      <c r="BN100" s="35"/>
      <c r="BO100" s="35" t="s">
        <v>1817</v>
      </c>
      <c r="BP100" s="35">
        <v>1</v>
      </c>
      <c r="BQ100" s="35">
        <v>300040003</v>
      </c>
      <c r="BR100" s="35"/>
      <c r="BS100" s="35"/>
      <c r="BT100" s="35"/>
      <c r="BU100" s="35"/>
      <c r="BV100" s="21">
        <v>1</v>
      </c>
      <c r="BW100" s="21">
        <v>1</v>
      </c>
      <c r="BX100" s="21">
        <v>1</v>
      </c>
      <c r="BY100" s="21">
        <v>1</v>
      </c>
      <c r="BZ100" s="14">
        <v>3</v>
      </c>
      <c r="CA100" s="14">
        <f t="shared" si="10"/>
        <v>123</v>
      </c>
      <c r="CB100" s="14">
        <v>100</v>
      </c>
      <c r="CC100" s="35"/>
      <c r="CD100" s="21">
        <v>1</v>
      </c>
      <c r="CE100" s="14">
        <v>4</v>
      </c>
      <c r="CF100" s="14">
        <f t="shared" si="11"/>
        <v>123</v>
      </c>
      <c r="CG100" s="14">
        <v>100</v>
      </c>
      <c r="CH100" s="35"/>
      <c r="CI100" s="35"/>
      <c r="CJ100" s="35"/>
      <c r="CK100" s="35"/>
      <c r="CL100" s="36"/>
    </row>
    <row r="101" spans="2:90" ht="18.75" customHeight="1">
      <c r="B101" s="44">
        <v>300040005</v>
      </c>
      <c r="C101" s="35">
        <v>30004</v>
      </c>
      <c r="D101" s="35" t="s">
        <v>1891</v>
      </c>
      <c r="E101" s="14">
        <v>5.0999999999999996</v>
      </c>
      <c r="F101" s="14">
        <v>5.0999999999999996</v>
      </c>
      <c r="G101" s="14">
        <v>30</v>
      </c>
      <c r="H101" s="35">
        <v>99</v>
      </c>
      <c r="I101" s="21">
        <v>1</v>
      </c>
      <c r="J101" s="21">
        <v>1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>
        <v>0</v>
      </c>
      <c r="R101" s="21">
        <v>0</v>
      </c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35"/>
      <c r="BH101" s="35"/>
      <c r="BI101" s="35"/>
      <c r="BJ101" s="35"/>
      <c r="BK101" s="35"/>
      <c r="BL101" s="35"/>
      <c r="BM101" s="35">
        <v>14</v>
      </c>
      <c r="BN101" s="35"/>
      <c r="BO101" s="35" t="s">
        <v>1817</v>
      </c>
      <c r="BP101" s="35">
        <v>1</v>
      </c>
      <c r="BQ101" s="35">
        <v>300040004</v>
      </c>
      <c r="BR101" s="35"/>
      <c r="BS101" s="35"/>
      <c r="BT101" s="35"/>
      <c r="BU101" s="35"/>
      <c r="BV101" s="21">
        <v>1</v>
      </c>
      <c r="BW101" s="21">
        <v>1</v>
      </c>
      <c r="BX101" s="21">
        <v>1</v>
      </c>
      <c r="BY101" s="21">
        <v>1</v>
      </c>
      <c r="BZ101" s="14">
        <v>3</v>
      </c>
      <c r="CA101" s="14">
        <f t="shared" si="10"/>
        <v>153</v>
      </c>
      <c r="CB101" s="14">
        <v>100</v>
      </c>
      <c r="CC101" s="35"/>
      <c r="CD101" s="21">
        <v>1</v>
      </c>
      <c r="CE101" s="14">
        <v>4</v>
      </c>
      <c r="CF101" s="14">
        <f t="shared" si="11"/>
        <v>153</v>
      </c>
      <c r="CG101" s="14">
        <v>100</v>
      </c>
      <c r="CH101" s="35"/>
      <c r="CI101" s="35"/>
      <c r="CJ101" s="35"/>
      <c r="CK101" s="35"/>
      <c r="CL101" s="36"/>
    </row>
    <row r="102" spans="2:90" ht="18.75" customHeight="1">
      <c r="B102" s="44">
        <v>300050001</v>
      </c>
      <c r="C102" s="35">
        <v>30005</v>
      </c>
      <c r="D102" s="35" t="s">
        <v>1893</v>
      </c>
      <c r="E102" s="14">
        <v>4.3</v>
      </c>
      <c r="F102" s="14">
        <v>4.3</v>
      </c>
      <c r="G102" s="14">
        <v>10</v>
      </c>
      <c r="H102" s="35">
        <v>99</v>
      </c>
      <c r="I102" s="21">
        <v>1</v>
      </c>
      <c r="J102" s="21">
        <v>1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>
        <v>0</v>
      </c>
      <c r="R102" s="21">
        <v>0</v>
      </c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35"/>
      <c r="BH102" s="35"/>
      <c r="BI102" s="35"/>
      <c r="BJ102" s="35"/>
      <c r="BK102" s="35"/>
      <c r="BL102" s="35"/>
      <c r="BM102" s="35">
        <v>14</v>
      </c>
      <c r="BN102" s="35"/>
      <c r="BO102" s="35" t="s">
        <v>1818</v>
      </c>
      <c r="BP102" s="35"/>
      <c r="BQ102" s="35"/>
      <c r="BR102" s="35"/>
      <c r="BS102" s="35"/>
      <c r="BT102" s="35"/>
      <c r="BU102" s="35"/>
      <c r="BV102" s="21">
        <v>1</v>
      </c>
      <c r="BW102" s="21">
        <v>1</v>
      </c>
      <c r="BX102" s="21">
        <v>1</v>
      </c>
      <c r="BY102" s="21">
        <v>1</v>
      </c>
      <c r="BZ102" s="14">
        <v>3</v>
      </c>
      <c r="CA102" s="14">
        <f t="shared" si="10"/>
        <v>43</v>
      </c>
      <c r="CB102" s="14">
        <v>100</v>
      </c>
      <c r="CC102" s="35"/>
      <c r="CD102" s="21">
        <v>1</v>
      </c>
      <c r="CE102" s="14">
        <v>4</v>
      </c>
      <c r="CF102" s="14">
        <f t="shared" si="11"/>
        <v>43</v>
      </c>
      <c r="CG102" s="14">
        <v>100</v>
      </c>
      <c r="CH102" s="35"/>
      <c r="CI102" s="35"/>
      <c r="CJ102" s="35"/>
      <c r="CK102" s="35"/>
      <c r="CL102" s="36"/>
    </row>
    <row r="103" spans="2:90" ht="18.75" customHeight="1">
      <c r="B103" s="44">
        <v>300050002</v>
      </c>
      <c r="C103" s="35">
        <v>30005</v>
      </c>
      <c r="D103" s="35" t="s">
        <v>1894</v>
      </c>
      <c r="E103" s="14">
        <v>4.5</v>
      </c>
      <c r="F103" s="14">
        <v>4.5</v>
      </c>
      <c r="G103" s="14">
        <v>15</v>
      </c>
      <c r="H103" s="35">
        <v>99</v>
      </c>
      <c r="I103" s="21">
        <v>1</v>
      </c>
      <c r="J103" s="21">
        <v>1</v>
      </c>
      <c r="K103" s="21">
        <v>0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>
        <v>0</v>
      </c>
      <c r="R103" s="21">
        <v>0</v>
      </c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35"/>
      <c r="BH103" s="35"/>
      <c r="BI103" s="35"/>
      <c r="BJ103" s="35"/>
      <c r="BK103" s="35"/>
      <c r="BL103" s="35"/>
      <c r="BM103" s="35">
        <v>14</v>
      </c>
      <c r="BN103" s="35"/>
      <c r="BO103" s="35" t="s">
        <v>1818</v>
      </c>
      <c r="BP103" s="35">
        <v>1</v>
      </c>
      <c r="BQ103" s="35">
        <v>300050001</v>
      </c>
      <c r="BR103" s="35"/>
      <c r="BS103" s="35"/>
      <c r="BT103" s="35"/>
      <c r="BU103" s="35"/>
      <c r="BV103" s="21">
        <v>1</v>
      </c>
      <c r="BW103" s="21">
        <v>1</v>
      </c>
      <c r="BX103" s="21">
        <v>1</v>
      </c>
      <c r="BY103" s="21">
        <v>1</v>
      </c>
      <c r="BZ103" s="14">
        <v>3</v>
      </c>
      <c r="CA103" s="14">
        <f t="shared" si="10"/>
        <v>68</v>
      </c>
      <c r="CB103" s="14">
        <v>100</v>
      </c>
      <c r="CC103" s="35"/>
      <c r="CD103" s="21">
        <v>1</v>
      </c>
      <c r="CE103" s="14">
        <v>4</v>
      </c>
      <c r="CF103" s="14">
        <f t="shared" si="11"/>
        <v>68</v>
      </c>
      <c r="CG103" s="14">
        <v>100</v>
      </c>
      <c r="CH103" s="35"/>
      <c r="CI103" s="35"/>
      <c r="CJ103" s="35"/>
      <c r="CK103" s="35"/>
      <c r="CL103" s="36"/>
    </row>
    <row r="104" spans="2:90" ht="18.75" customHeight="1">
      <c r="B104" s="44">
        <v>300050003</v>
      </c>
      <c r="C104" s="35">
        <v>30005</v>
      </c>
      <c r="D104" s="35" t="s">
        <v>1895</v>
      </c>
      <c r="E104" s="14">
        <v>4.7</v>
      </c>
      <c r="F104" s="14">
        <v>4.7</v>
      </c>
      <c r="G104" s="14">
        <v>20</v>
      </c>
      <c r="H104" s="35">
        <v>99</v>
      </c>
      <c r="I104" s="21">
        <v>1</v>
      </c>
      <c r="J104" s="21">
        <v>1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>
        <v>0</v>
      </c>
      <c r="R104" s="21">
        <v>0</v>
      </c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35"/>
      <c r="BH104" s="35"/>
      <c r="BI104" s="35"/>
      <c r="BJ104" s="35"/>
      <c r="BK104" s="35"/>
      <c r="BL104" s="35"/>
      <c r="BM104" s="35">
        <v>14</v>
      </c>
      <c r="BN104" s="35"/>
      <c r="BO104" s="35" t="s">
        <v>1818</v>
      </c>
      <c r="BP104" s="35">
        <v>1</v>
      </c>
      <c r="BQ104" s="35">
        <v>300050002</v>
      </c>
      <c r="BR104" s="35"/>
      <c r="BS104" s="35"/>
      <c r="BT104" s="35"/>
      <c r="BU104" s="35"/>
      <c r="BV104" s="21">
        <v>1</v>
      </c>
      <c r="BW104" s="21">
        <v>1</v>
      </c>
      <c r="BX104" s="21">
        <v>1</v>
      </c>
      <c r="BY104" s="21">
        <v>1</v>
      </c>
      <c r="BZ104" s="14">
        <v>3</v>
      </c>
      <c r="CA104" s="14">
        <f t="shared" si="10"/>
        <v>94</v>
      </c>
      <c r="CB104" s="14">
        <v>100</v>
      </c>
      <c r="CC104" s="35"/>
      <c r="CD104" s="21">
        <v>1</v>
      </c>
      <c r="CE104" s="14">
        <v>4</v>
      </c>
      <c r="CF104" s="14">
        <f t="shared" si="11"/>
        <v>94</v>
      </c>
      <c r="CG104" s="14">
        <v>100</v>
      </c>
      <c r="CH104" s="35"/>
      <c r="CI104" s="35"/>
      <c r="CJ104" s="35"/>
      <c r="CK104" s="35"/>
      <c r="CL104" s="36"/>
    </row>
    <row r="105" spans="2:90" ht="18.75" customHeight="1">
      <c r="B105" s="44">
        <v>300050004</v>
      </c>
      <c r="C105" s="35">
        <v>30005</v>
      </c>
      <c r="D105" s="35" t="s">
        <v>1896</v>
      </c>
      <c r="E105" s="14">
        <v>4.9000000000000004</v>
      </c>
      <c r="F105" s="14">
        <v>4.9000000000000004</v>
      </c>
      <c r="G105" s="14">
        <v>25</v>
      </c>
      <c r="H105" s="35">
        <v>99</v>
      </c>
      <c r="I105" s="21">
        <v>1</v>
      </c>
      <c r="J105" s="21">
        <v>1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>
        <v>0</v>
      </c>
      <c r="R105" s="21">
        <v>0</v>
      </c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35"/>
      <c r="BH105" s="35"/>
      <c r="BI105" s="35"/>
      <c r="BJ105" s="35"/>
      <c r="BK105" s="35"/>
      <c r="BL105" s="35"/>
      <c r="BM105" s="35">
        <v>14</v>
      </c>
      <c r="BN105" s="35"/>
      <c r="BO105" s="35" t="s">
        <v>1818</v>
      </c>
      <c r="BP105" s="35">
        <v>1</v>
      </c>
      <c r="BQ105" s="35">
        <v>300050003</v>
      </c>
      <c r="BR105" s="35"/>
      <c r="BS105" s="35"/>
      <c r="BT105" s="35"/>
      <c r="BU105" s="35"/>
      <c r="BV105" s="21">
        <v>1</v>
      </c>
      <c r="BW105" s="21">
        <v>1</v>
      </c>
      <c r="BX105" s="21">
        <v>1</v>
      </c>
      <c r="BY105" s="21">
        <v>1</v>
      </c>
      <c r="BZ105" s="14">
        <v>3</v>
      </c>
      <c r="CA105" s="14">
        <f t="shared" si="10"/>
        <v>123</v>
      </c>
      <c r="CB105" s="14">
        <v>100</v>
      </c>
      <c r="CC105" s="35"/>
      <c r="CD105" s="21">
        <v>1</v>
      </c>
      <c r="CE105" s="14">
        <v>4</v>
      </c>
      <c r="CF105" s="14">
        <f t="shared" si="11"/>
        <v>123</v>
      </c>
      <c r="CG105" s="14">
        <v>100</v>
      </c>
      <c r="CH105" s="35"/>
      <c r="CI105" s="35"/>
      <c r="CJ105" s="35"/>
      <c r="CK105" s="35"/>
      <c r="CL105" s="36"/>
    </row>
    <row r="106" spans="2:90" ht="18.75" customHeight="1">
      <c r="B106" s="44">
        <v>300050005</v>
      </c>
      <c r="C106" s="35">
        <v>30005</v>
      </c>
      <c r="D106" s="35" t="s">
        <v>1897</v>
      </c>
      <c r="E106" s="14">
        <v>5.0999999999999996</v>
      </c>
      <c r="F106" s="14">
        <v>5.0999999999999996</v>
      </c>
      <c r="G106" s="14">
        <v>30</v>
      </c>
      <c r="H106" s="35">
        <v>99</v>
      </c>
      <c r="I106" s="21">
        <v>1</v>
      </c>
      <c r="J106" s="21">
        <v>1</v>
      </c>
      <c r="K106" s="21">
        <v>0</v>
      </c>
      <c r="L106" s="21">
        <v>0</v>
      </c>
      <c r="M106" s="21">
        <v>0</v>
      </c>
      <c r="N106" s="21">
        <v>0</v>
      </c>
      <c r="O106" s="21">
        <v>0</v>
      </c>
      <c r="P106" s="21">
        <v>0</v>
      </c>
      <c r="Q106" s="21">
        <v>0</v>
      </c>
      <c r="R106" s="21">
        <v>0</v>
      </c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35"/>
      <c r="BH106" s="35"/>
      <c r="BI106" s="35"/>
      <c r="BJ106" s="35"/>
      <c r="BK106" s="35"/>
      <c r="BL106" s="35"/>
      <c r="BM106" s="35">
        <v>14</v>
      </c>
      <c r="BN106" s="35"/>
      <c r="BO106" s="35" t="s">
        <v>1818</v>
      </c>
      <c r="BP106" s="35">
        <v>1</v>
      </c>
      <c r="BQ106" s="35">
        <v>300050004</v>
      </c>
      <c r="BR106" s="35"/>
      <c r="BS106" s="35"/>
      <c r="BT106" s="35"/>
      <c r="BU106" s="35"/>
      <c r="BV106" s="21">
        <v>1</v>
      </c>
      <c r="BW106" s="21">
        <v>1</v>
      </c>
      <c r="BX106" s="21">
        <v>1</v>
      </c>
      <c r="BY106" s="21">
        <v>1</v>
      </c>
      <c r="BZ106" s="14">
        <v>3</v>
      </c>
      <c r="CA106" s="14">
        <f t="shared" si="10"/>
        <v>153</v>
      </c>
      <c r="CB106" s="14">
        <v>100</v>
      </c>
      <c r="CC106" s="35"/>
      <c r="CD106" s="21">
        <v>1</v>
      </c>
      <c r="CE106" s="14">
        <v>4</v>
      </c>
      <c r="CF106" s="14">
        <f t="shared" si="11"/>
        <v>153</v>
      </c>
      <c r="CG106" s="14">
        <v>100</v>
      </c>
      <c r="CH106" s="35"/>
      <c r="CI106" s="35"/>
      <c r="CJ106" s="35"/>
      <c r="CK106" s="35"/>
      <c r="CL106" s="36"/>
    </row>
    <row r="107" spans="2:90" ht="18.75" customHeight="1">
      <c r="B107" s="44">
        <v>300060001</v>
      </c>
      <c r="C107" s="35">
        <v>30006</v>
      </c>
      <c r="D107" s="35" t="s">
        <v>1899</v>
      </c>
      <c r="E107" s="14">
        <v>4.3</v>
      </c>
      <c r="F107" s="14">
        <v>4.3</v>
      </c>
      <c r="G107" s="14">
        <v>10</v>
      </c>
      <c r="H107" s="35">
        <v>99</v>
      </c>
      <c r="I107" s="21">
        <v>1</v>
      </c>
      <c r="J107" s="21">
        <v>1</v>
      </c>
      <c r="K107" s="21">
        <v>0</v>
      </c>
      <c r="L107" s="21">
        <v>0</v>
      </c>
      <c r="M107" s="21">
        <v>0</v>
      </c>
      <c r="N107" s="21">
        <v>0</v>
      </c>
      <c r="O107" s="21">
        <v>0</v>
      </c>
      <c r="P107" s="21">
        <v>0</v>
      </c>
      <c r="Q107" s="21">
        <v>0</v>
      </c>
      <c r="R107" s="21">
        <v>0</v>
      </c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35"/>
      <c r="BH107" s="35"/>
      <c r="BI107" s="35"/>
      <c r="BJ107" s="35"/>
      <c r="BK107" s="35"/>
      <c r="BL107" s="35"/>
      <c r="BM107" s="35">
        <v>14</v>
      </c>
      <c r="BN107" s="35"/>
      <c r="BO107" s="35" t="s">
        <v>1819</v>
      </c>
      <c r="BP107" s="35"/>
      <c r="BQ107" s="35"/>
      <c r="BR107" s="35"/>
      <c r="BS107" s="35"/>
      <c r="BT107" s="35"/>
      <c r="BU107" s="35"/>
      <c r="BV107" s="21">
        <v>1</v>
      </c>
      <c r="BW107" s="21">
        <v>1</v>
      </c>
      <c r="BX107" s="21">
        <v>1</v>
      </c>
      <c r="BY107" s="21">
        <v>1</v>
      </c>
      <c r="BZ107" s="14">
        <v>3</v>
      </c>
      <c r="CA107" s="14">
        <f t="shared" si="10"/>
        <v>43</v>
      </c>
      <c r="CB107" s="14">
        <v>100</v>
      </c>
      <c r="CC107" s="35"/>
      <c r="CD107" s="21">
        <v>1</v>
      </c>
      <c r="CE107" s="14">
        <v>4</v>
      </c>
      <c r="CF107" s="14">
        <f t="shared" si="11"/>
        <v>43</v>
      </c>
      <c r="CG107" s="14">
        <v>100</v>
      </c>
      <c r="CH107" s="35"/>
      <c r="CI107" s="35"/>
      <c r="CJ107" s="35"/>
      <c r="CK107" s="35"/>
      <c r="CL107" s="36"/>
    </row>
    <row r="108" spans="2:90" ht="18.75" customHeight="1">
      <c r="B108" s="44">
        <v>300060002</v>
      </c>
      <c r="C108" s="35">
        <v>30006</v>
      </c>
      <c r="D108" s="35" t="s">
        <v>1900</v>
      </c>
      <c r="E108" s="14">
        <v>4.5</v>
      </c>
      <c r="F108" s="14">
        <v>4.5</v>
      </c>
      <c r="G108" s="14">
        <v>15</v>
      </c>
      <c r="H108" s="35">
        <v>99</v>
      </c>
      <c r="I108" s="21">
        <v>1</v>
      </c>
      <c r="J108" s="21">
        <v>1</v>
      </c>
      <c r="K108" s="21">
        <v>0</v>
      </c>
      <c r="L108" s="21">
        <v>0</v>
      </c>
      <c r="M108" s="21">
        <v>0</v>
      </c>
      <c r="N108" s="21">
        <v>0</v>
      </c>
      <c r="O108" s="21">
        <v>0</v>
      </c>
      <c r="P108" s="21">
        <v>0</v>
      </c>
      <c r="Q108" s="21">
        <v>0</v>
      </c>
      <c r="R108" s="21">
        <v>0</v>
      </c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35"/>
      <c r="BH108" s="35"/>
      <c r="BI108" s="35"/>
      <c r="BJ108" s="35"/>
      <c r="BK108" s="35"/>
      <c r="BL108" s="35"/>
      <c r="BM108" s="35">
        <v>14</v>
      </c>
      <c r="BN108" s="35"/>
      <c r="BO108" s="35" t="s">
        <v>1819</v>
      </c>
      <c r="BP108" s="35">
        <v>1</v>
      </c>
      <c r="BQ108" s="35">
        <v>300060001</v>
      </c>
      <c r="BR108" s="35"/>
      <c r="BS108" s="35"/>
      <c r="BT108" s="35"/>
      <c r="BU108" s="35"/>
      <c r="BV108" s="21">
        <v>1</v>
      </c>
      <c r="BW108" s="21">
        <v>1</v>
      </c>
      <c r="BX108" s="21">
        <v>1</v>
      </c>
      <c r="BY108" s="21">
        <v>1</v>
      </c>
      <c r="BZ108" s="14">
        <v>3</v>
      </c>
      <c r="CA108" s="14">
        <f t="shared" si="10"/>
        <v>68</v>
      </c>
      <c r="CB108" s="14">
        <v>100</v>
      </c>
      <c r="CC108" s="35"/>
      <c r="CD108" s="21">
        <v>1</v>
      </c>
      <c r="CE108" s="14">
        <v>4</v>
      </c>
      <c r="CF108" s="14">
        <f t="shared" si="11"/>
        <v>68</v>
      </c>
      <c r="CG108" s="14">
        <v>100</v>
      </c>
      <c r="CH108" s="35"/>
      <c r="CI108" s="35"/>
      <c r="CJ108" s="35"/>
      <c r="CK108" s="35"/>
      <c r="CL108" s="36"/>
    </row>
    <row r="109" spans="2:90" ht="18.75" customHeight="1">
      <c r="B109" s="44">
        <v>300060003</v>
      </c>
      <c r="C109" s="35">
        <v>30006</v>
      </c>
      <c r="D109" s="35" t="s">
        <v>1901</v>
      </c>
      <c r="E109" s="14">
        <v>4.7</v>
      </c>
      <c r="F109" s="14">
        <v>4.7</v>
      </c>
      <c r="G109" s="14">
        <v>20</v>
      </c>
      <c r="H109" s="35">
        <v>99</v>
      </c>
      <c r="I109" s="21">
        <v>1</v>
      </c>
      <c r="J109" s="21">
        <v>1</v>
      </c>
      <c r="K109" s="21">
        <v>0</v>
      </c>
      <c r="L109" s="21">
        <v>0</v>
      </c>
      <c r="M109" s="21">
        <v>0</v>
      </c>
      <c r="N109" s="21">
        <v>0</v>
      </c>
      <c r="O109" s="21">
        <v>0</v>
      </c>
      <c r="P109" s="21">
        <v>0</v>
      </c>
      <c r="Q109" s="21">
        <v>0</v>
      </c>
      <c r="R109" s="21">
        <v>0</v>
      </c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35"/>
      <c r="BH109" s="35"/>
      <c r="BI109" s="35"/>
      <c r="BJ109" s="35"/>
      <c r="BK109" s="35"/>
      <c r="BL109" s="35"/>
      <c r="BM109" s="35">
        <v>14</v>
      </c>
      <c r="BN109" s="35"/>
      <c r="BO109" s="35" t="s">
        <v>1819</v>
      </c>
      <c r="BP109" s="35">
        <v>1</v>
      </c>
      <c r="BQ109" s="35">
        <v>300060002</v>
      </c>
      <c r="BR109" s="35"/>
      <c r="BS109" s="35"/>
      <c r="BT109" s="35"/>
      <c r="BU109" s="35"/>
      <c r="BV109" s="21">
        <v>1</v>
      </c>
      <c r="BW109" s="21">
        <v>1</v>
      </c>
      <c r="BX109" s="21">
        <v>1</v>
      </c>
      <c r="BY109" s="21">
        <v>1</v>
      </c>
      <c r="BZ109" s="14">
        <v>3</v>
      </c>
      <c r="CA109" s="14">
        <f t="shared" si="10"/>
        <v>94</v>
      </c>
      <c r="CB109" s="14">
        <v>100</v>
      </c>
      <c r="CC109" s="35"/>
      <c r="CD109" s="21">
        <v>1</v>
      </c>
      <c r="CE109" s="14">
        <v>4</v>
      </c>
      <c r="CF109" s="14">
        <f t="shared" si="11"/>
        <v>94</v>
      </c>
      <c r="CG109" s="14">
        <v>100</v>
      </c>
      <c r="CH109" s="35"/>
      <c r="CI109" s="35"/>
      <c r="CJ109" s="35"/>
      <c r="CK109" s="35"/>
      <c r="CL109" s="36"/>
    </row>
    <row r="110" spans="2:90" ht="18.75" customHeight="1">
      <c r="B110" s="44">
        <v>300060004</v>
      </c>
      <c r="C110" s="35">
        <v>30006</v>
      </c>
      <c r="D110" s="35" t="s">
        <v>1902</v>
      </c>
      <c r="E110" s="14">
        <v>4.9000000000000004</v>
      </c>
      <c r="F110" s="14">
        <v>4.9000000000000004</v>
      </c>
      <c r="G110" s="14">
        <v>25</v>
      </c>
      <c r="H110" s="35">
        <v>99</v>
      </c>
      <c r="I110" s="21">
        <v>1</v>
      </c>
      <c r="J110" s="21">
        <v>1</v>
      </c>
      <c r="K110" s="21">
        <v>0</v>
      </c>
      <c r="L110" s="21">
        <v>0</v>
      </c>
      <c r="M110" s="21">
        <v>0</v>
      </c>
      <c r="N110" s="21">
        <v>0</v>
      </c>
      <c r="O110" s="21">
        <v>0</v>
      </c>
      <c r="P110" s="21">
        <v>0</v>
      </c>
      <c r="Q110" s="21">
        <v>0</v>
      </c>
      <c r="R110" s="21">
        <v>0</v>
      </c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35"/>
      <c r="BH110" s="35"/>
      <c r="BI110" s="35"/>
      <c r="BJ110" s="35"/>
      <c r="BK110" s="35"/>
      <c r="BL110" s="35"/>
      <c r="BM110" s="35">
        <v>14</v>
      </c>
      <c r="BN110" s="35"/>
      <c r="BO110" s="35" t="s">
        <v>1819</v>
      </c>
      <c r="BP110" s="35">
        <v>1</v>
      </c>
      <c r="BQ110" s="35">
        <v>300060003</v>
      </c>
      <c r="BR110" s="35"/>
      <c r="BS110" s="35"/>
      <c r="BT110" s="35"/>
      <c r="BU110" s="35"/>
      <c r="BV110" s="21">
        <v>1</v>
      </c>
      <c r="BW110" s="21">
        <v>1</v>
      </c>
      <c r="BX110" s="21">
        <v>1</v>
      </c>
      <c r="BY110" s="21">
        <v>1</v>
      </c>
      <c r="BZ110" s="14">
        <v>3</v>
      </c>
      <c r="CA110" s="14">
        <f t="shared" si="10"/>
        <v>123</v>
      </c>
      <c r="CB110" s="14">
        <v>100</v>
      </c>
      <c r="CC110" s="35"/>
      <c r="CD110" s="21">
        <v>1</v>
      </c>
      <c r="CE110" s="14">
        <v>4</v>
      </c>
      <c r="CF110" s="14">
        <f t="shared" si="11"/>
        <v>123</v>
      </c>
      <c r="CG110" s="14">
        <v>100</v>
      </c>
      <c r="CH110" s="35"/>
      <c r="CI110" s="35"/>
      <c r="CJ110" s="35"/>
      <c r="CK110" s="35"/>
      <c r="CL110" s="36"/>
    </row>
    <row r="111" spans="2:90" ht="18.75" customHeight="1">
      <c r="B111" s="44">
        <v>300060005</v>
      </c>
      <c r="C111" s="35">
        <v>30006</v>
      </c>
      <c r="D111" s="35" t="s">
        <v>1903</v>
      </c>
      <c r="E111" s="14">
        <v>5.0999999999999996</v>
      </c>
      <c r="F111" s="14">
        <v>5.0999999999999996</v>
      </c>
      <c r="G111" s="14">
        <v>30</v>
      </c>
      <c r="H111" s="35">
        <v>99</v>
      </c>
      <c r="I111" s="21">
        <v>1</v>
      </c>
      <c r="J111" s="21">
        <v>1</v>
      </c>
      <c r="K111" s="21">
        <v>0</v>
      </c>
      <c r="L111" s="21">
        <v>0</v>
      </c>
      <c r="M111" s="21">
        <v>0</v>
      </c>
      <c r="N111" s="21">
        <v>0</v>
      </c>
      <c r="O111" s="21">
        <v>0</v>
      </c>
      <c r="P111" s="21">
        <v>0</v>
      </c>
      <c r="Q111" s="21">
        <v>0</v>
      </c>
      <c r="R111" s="21">
        <v>0</v>
      </c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35"/>
      <c r="BH111" s="35"/>
      <c r="BI111" s="35"/>
      <c r="BJ111" s="35"/>
      <c r="BK111" s="35"/>
      <c r="BL111" s="35"/>
      <c r="BM111" s="35">
        <v>14</v>
      </c>
      <c r="BN111" s="35"/>
      <c r="BO111" s="35" t="s">
        <v>1819</v>
      </c>
      <c r="BP111" s="35">
        <v>1</v>
      </c>
      <c r="BQ111" s="35">
        <v>300060004</v>
      </c>
      <c r="BR111" s="35"/>
      <c r="BS111" s="35"/>
      <c r="BT111" s="35"/>
      <c r="BU111" s="35"/>
      <c r="BV111" s="21">
        <v>1</v>
      </c>
      <c r="BW111" s="21">
        <v>1</v>
      </c>
      <c r="BX111" s="21">
        <v>1</v>
      </c>
      <c r="BY111" s="21">
        <v>1</v>
      </c>
      <c r="BZ111" s="14">
        <v>3</v>
      </c>
      <c r="CA111" s="14">
        <f t="shared" si="10"/>
        <v>153</v>
      </c>
      <c r="CB111" s="14">
        <v>100</v>
      </c>
      <c r="CC111" s="35"/>
      <c r="CD111" s="21">
        <v>1</v>
      </c>
      <c r="CE111" s="14">
        <v>4</v>
      </c>
      <c r="CF111" s="14">
        <f t="shared" si="11"/>
        <v>153</v>
      </c>
      <c r="CG111" s="14">
        <v>100</v>
      </c>
      <c r="CH111" s="35"/>
      <c r="CI111" s="35"/>
      <c r="CJ111" s="35"/>
      <c r="CK111" s="35"/>
      <c r="CL111" s="36"/>
    </row>
    <row r="112" spans="2:90" ht="18.75" customHeight="1">
      <c r="B112" s="44">
        <v>300070001</v>
      </c>
      <c r="C112" s="35">
        <v>30007</v>
      </c>
      <c r="D112" s="35" t="s">
        <v>1905</v>
      </c>
      <c r="E112" s="14">
        <v>4.3</v>
      </c>
      <c r="F112" s="14">
        <v>4.3</v>
      </c>
      <c r="G112" s="14">
        <v>10</v>
      </c>
      <c r="H112" s="35">
        <v>99</v>
      </c>
      <c r="I112" s="21">
        <v>1</v>
      </c>
      <c r="J112" s="21">
        <v>1</v>
      </c>
      <c r="K112" s="21">
        <v>0</v>
      </c>
      <c r="L112" s="21">
        <v>0</v>
      </c>
      <c r="M112" s="21">
        <v>0</v>
      </c>
      <c r="N112" s="21">
        <v>0</v>
      </c>
      <c r="O112" s="21">
        <v>0</v>
      </c>
      <c r="P112" s="21">
        <v>0</v>
      </c>
      <c r="Q112" s="21">
        <v>0</v>
      </c>
      <c r="R112" s="21">
        <v>0</v>
      </c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35"/>
      <c r="BH112" s="35"/>
      <c r="BI112" s="35"/>
      <c r="BJ112" s="35"/>
      <c r="BK112" s="35"/>
      <c r="BL112" s="35"/>
      <c r="BM112" s="35">
        <v>14</v>
      </c>
      <c r="BN112" s="35"/>
      <c r="BO112" s="35" t="s">
        <v>1820</v>
      </c>
      <c r="BP112" s="35"/>
      <c r="BQ112" s="35"/>
      <c r="BR112" s="35"/>
      <c r="BS112" s="35"/>
      <c r="BT112" s="35"/>
      <c r="BU112" s="35"/>
      <c r="BV112" s="21">
        <v>1</v>
      </c>
      <c r="BW112" s="21">
        <v>1</v>
      </c>
      <c r="BX112" s="21">
        <v>1</v>
      </c>
      <c r="BY112" s="21">
        <v>1</v>
      </c>
      <c r="BZ112" s="14">
        <v>3</v>
      </c>
      <c r="CA112" s="14">
        <f t="shared" si="10"/>
        <v>43</v>
      </c>
      <c r="CB112" s="14">
        <v>100</v>
      </c>
      <c r="CC112" s="35"/>
      <c r="CD112" s="21">
        <v>1</v>
      </c>
      <c r="CE112" s="14">
        <v>4</v>
      </c>
      <c r="CF112" s="14">
        <f t="shared" si="11"/>
        <v>43</v>
      </c>
      <c r="CG112" s="14">
        <v>100</v>
      </c>
      <c r="CH112" s="35"/>
      <c r="CI112" s="35"/>
      <c r="CJ112" s="35"/>
      <c r="CK112" s="35"/>
      <c r="CL112" s="36"/>
    </row>
    <row r="113" spans="2:90" ht="18.75" customHeight="1">
      <c r="B113" s="44">
        <v>300070002</v>
      </c>
      <c r="C113" s="35">
        <v>30007</v>
      </c>
      <c r="D113" s="35" t="s">
        <v>1906</v>
      </c>
      <c r="E113" s="14">
        <v>4.5</v>
      </c>
      <c r="F113" s="14">
        <v>4.5</v>
      </c>
      <c r="G113" s="14">
        <v>15</v>
      </c>
      <c r="H113" s="35">
        <v>99</v>
      </c>
      <c r="I113" s="21">
        <v>1</v>
      </c>
      <c r="J113" s="21">
        <v>1</v>
      </c>
      <c r="K113" s="21">
        <v>0</v>
      </c>
      <c r="L113" s="21">
        <v>0</v>
      </c>
      <c r="M113" s="21">
        <v>0</v>
      </c>
      <c r="N113" s="21">
        <v>0</v>
      </c>
      <c r="O113" s="21">
        <v>0</v>
      </c>
      <c r="P113" s="21">
        <v>0</v>
      </c>
      <c r="Q113" s="21">
        <v>0</v>
      </c>
      <c r="R113" s="21">
        <v>0</v>
      </c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35"/>
      <c r="BH113" s="35"/>
      <c r="BI113" s="35"/>
      <c r="BJ113" s="35"/>
      <c r="BK113" s="35"/>
      <c r="BL113" s="35"/>
      <c r="BM113" s="35">
        <v>14</v>
      </c>
      <c r="BN113" s="35"/>
      <c r="BO113" s="35" t="s">
        <v>1820</v>
      </c>
      <c r="BP113" s="35">
        <v>1</v>
      </c>
      <c r="BQ113" s="35">
        <v>300070001</v>
      </c>
      <c r="BR113" s="35"/>
      <c r="BS113" s="35"/>
      <c r="BT113" s="35"/>
      <c r="BU113" s="35"/>
      <c r="BV113" s="21">
        <v>1</v>
      </c>
      <c r="BW113" s="21">
        <v>1</v>
      </c>
      <c r="BX113" s="21">
        <v>1</v>
      </c>
      <c r="BY113" s="21">
        <v>1</v>
      </c>
      <c r="BZ113" s="14">
        <v>3</v>
      </c>
      <c r="CA113" s="14">
        <f t="shared" si="10"/>
        <v>68</v>
      </c>
      <c r="CB113" s="14">
        <v>100</v>
      </c>
      <c r="CC113" s="35"/>
      <c r="CD113" s="21">
        <v>1</v>
      </c>
      <c r="CE113" s="14">
        <v>4</v>
      </c>
      <c r="CF113" s="14">
        <f t="shared" si="11"/>
        <v>68</v>
      </c>
      <c r="CG113" s="14">
        <v>100</v>
      </c>
      <c r="CH113" s="35"/>
      <c r="CI113" s="35"/>
      <c r="CJ113" s="35"/>
      <c r="CK113" s="35"/>
      <c r="CL113" s="36"/>
    </row>
    <row r="114" spans="2:90" ht="18.75" customHeight="1">
      <c r="B114" s="44">
        <v>300070003</v>
      </c>
      <c r="C114" s="35">
        <v>30007</v>
      </c>
      <c r="D114" s="35" t="s">
        <v>1907</v>
      </c>
      <c r="E114" s="14">
        <v>4.7</v>
      </c>
      <c r="F114" s="14">
        <v>4.7</v>
      </c>
      <c r="G114" s="14">
        <v>20</v>
      </c>
      <c r="H114" s="35">
        <v>99</v>
      </c>
      <c r="I114" s="21">
        <v>1</v>
      </c>
      <c r="J114" s="21">
        <v>1</v>
      </c>
      <c r="K114" s="21">
        <v>0</v>
      </c>
      <c r="L114" s="21">
        <v>0</v>
      </c>
      <c r="M114" s="21">
        <v>0</v>
      </c>
      <c r="N114" s="21">
        <v>0</v>
      </c>
      <c r="O114" s="21">
        <v>0</v>
      </c>
      <c r="P114" s="21">
        <v>0</v>
      </c>
      <c r="Q114" s="21">
        <v>0</v>
      </c>
      <c r="R114" s="21">
        <v>0</v>
      </c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35"/>
      <c r="BH114" s="35"/>
      <c r="BI114" s="35"/>
      <c r="BJ114" s="35"/>
      <c r="BK114" s="35"/>
      <c r="BL114" s="35"/>
      <c r="BM114" s="35">
        <v>14</v>
      </c>
      <c r="BN114" s="35"/>
      <c r="BO114" s="35" t="s">
        <v>1820</v>
      </c>
      <c r="BP114" s="35">
        <v>1</v>
      </c>
      <c r="BQ114" s="35">
        <v>300070002</v>
      </c>
      <c r="BR114" s="35"/>
      <c r="BS114" s="35"/>
      <c r="BT114" s="35"/>
      <c r="BU114" s="35"/>
      <c r="BV114" s="21">
        <v>1</v>
      </c>
      <c r="BW114" s="21">
        <v>1</v>
      </c>
      <c r="BX114" s="21">
        <v>1</v>
      </c>
      <c r="BY114" s="21">
        <v>1</v>
      </c>
      <c r="BZ114" s="14">
        <v>3</v>
      </c>
      <c r="CA114" s="14">
        <f t="shared" si="10"/>
        <v>94</v>
      </c>
      <c r="CB114" s="14">
        <v>100</v>
      </c>
      <c r="CC114" s="35"/>
      <c r="CD114" s="21">
        <v>1</v>
      </c>
      <c r="CE114" s="14">
        <v>4</v>
      </c>
      <c r="CF114" s="14">
        <f t="shared" si="11"/>
        <v>94</v>
      </c>
      <c r="CG114" s="14">
        <v>100</v>
      </c>
      <c r="CH114" s="35"/>
      <c r="CI114" s="35"/>
      <c r="CJ114" s="35"/>
      <c r="CK114" s="35"/>
      <c r="CL114" s="36"/>
    </row>
    <row r="115" spans="2:90" ht="18.75" customHeight="1">
      <c r="B115" s="44">
        <v>300070004</v>
      </c>
      <c r="C115" s="35">
        <v>30007</v>
      </c>
      <c r="D115" s="35" t="s">
        <v>1908</v>
      </c>
      <c r="E115" s="14">
        <v>4.9000000000000004</v>
      </c>
      <c r="F115" s="14">
        <v>4.9000000000000004</v>
      </c>
      <c r="G115" s="14">
        <v>25</v>
      </c>
      <c r="H115" s="35">
        <v>99</v>
      </c>
      <c r="I115" s="21">
        <v>1</v>
      </c>
      <c r="J115" s="21">
        <v>1</v>
      </c>
      <c r="K115" s="21">
        <v>0</v>
      </c>
      <c r="L115" s="21">
        <v>0</v>
      </c>
      <c r="M115" s="21">
        <v>0</v>
      </c>
      <c r="N115" s="21">
        <v>0</v>
      </c>
      <c r="O115" s="21">
        <v>0</v>
      </c>
      <c r="P115" s="21">
        <v>0</v>
      </c>
      <c r="Q115" s="21">
        <v>0</v>
      </c>
      <c r="R115" s="21">
        <v>0</v>
      </c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35"/>
      <c r="BH115" s="35"/>
      <c r="BI115" s="35"/>
      <c r="BJ115" s="35"/>
      <c r="BK115" s="35"/>
      <c r="BL115" s="35"/>
      <c r="BM115" s="35">
        <v>14</v>
      </c>
      <c r="BN115" s="35"/>
      <c r="BO115" s="35" t="s">
        <v>1820</v>
      </c>
      <c r="BP115" s="35">
        <v>1</v>
      </c>
      <c r="BQ115" s="35">
        <v>300070003</v>
      </c>
      <c r="BR115" s="35"/>
      <c r="BS115" s="35"/>
      <c r="BT115" s="35"/>
      <c r="BU115" s="35"/>
      <c r="BV115" s="21">
        <v>1</v>
      </c>
      <c r="BW115" s="21">
        <v>1</v>
      </c>
      <c r="BX115" s="21">
        <v>1</v>
      </c>
      <c r="BY115" s="21">
        <v>1</v>
      </c>
      <c r="BZ115" s="14">
        <v>3</v>
      </c>
      <c r="CA115" s="14">
        <f t="shared" si="10"/>
        <v>123</v>
      </c>
      <c r="CB115" s="14">
        <v>100</v>
      </c>
      <c r="CC115" s="35"/>
      <c r="CD115" s="21">
        <v>1</v>
      </c>
      <c r="CE115" s="14">
        <v>4</v>
      </c>
      <c r="CF115" s="14">
        <f t="shared" si="11"/>
        <v>123</v>
      </c>
      <c r="CG115" s="14">
        <v>100</v>
      </c>
      <c r="CH115" s="35"/>
      <c r="CI115" s="35"/>
      <c r="CJ115" s="35"/>
      <c r="CK115" s="35"/>
      <c r="CL115" s="36"/>
    </row>
    <row r="116" spans="2:90" ht="18.75" customHeight="1">
      <c r="B116" s="44">
        <v>300070005</v>
      </c>
      <c r="C116" s="35">
        <v>30007</v>
      </c>
      <c r="D116" s="35" t="s">
        <v>1909</v>
      </c>
      <c r="E116" s="14">
        <v>5.0999999999999996</v>
      </c>
      <c r="F116" s="14">
        <v>5.0999999999999996</v>
      </c>
      <c r="G116" s="14">
        <v>30</v>
      </c>
      <c r="H116" s="35">
        <v>99</v>
      </c>
      <c r="I116" s="21">
        <v>1</v>
      </c>
      <c r="J116" s="21">
        <v>1</v>
      </c>
      <c r="K116" s="21">
        <v>0</v>
      </c>
      <c r="L116" s="21">
        <v>0</v>
      </c>
      <c r="M116" s="21">
        <v>0</v>
      </c>
      <c r="N116" s="21">
        <v>0</v>
      </c>
      <c r="O116" s="21">
        <v>0</v>
      </c>
      <c r="P116" s="21">
        <v>0</v>
      </c>
      <c r="Q116" s="21">
        <v>0</v>
      </c>
      <c r="R116" s="21">
        <v>0</v>
      </c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35"/>
      <c r="BH116" s="35"/>
      <c r="BI116" s="35"/>
      <c r="BJ116" s="35"/>
      <c r="BK116" s="35"/>
      <c r="BL116" s="35"/>
      <c r="BM116" s="35">
        <v>14</v>
      </c>
      <c r="BN116" s="35"/>
      <c r="BO116" s="35" t="s">
        <v>1820</v>
      </c>
      <c r="BP116" s="35">
        <v>1</v>
      </c>
      <c r="BQ116" s="35">
        <v>300070004</v>
      </c>
      <c r="BR116" s="35"/>
      <c r="BS116" s="35"/>
      <c r="BT116" s="35"/>
      <c r="BU116" s="35"/>
      <c r="BV116" s="21">
        <v>1</v>
      </c>
      <c r="BW116" s="21">
        <v>1</v>
      </c>
      <c r="BX116" s="21">
        <v>1</v>
      </c>
      <c r="BY116" s="21">
        <v>1</v>
      </c>
      <c r="BZ116" s="14">
        <v>3</v>
      </c>
      <c r="CA116" s="14">
        <f t="shared" si="10"/>
        <v>153</v>
      </c>
      <c r="CB116" s="14">
        <v>100</v>
      </c>
      <c r="CC116" s="35"/>
      <c r="CD116" s="21">
        <v>1</v>
      </c>
      <c r="CE116" s="14">
        <v>4</v>
      </c>
      <c r="CF116" s="14">
        <f t="shared" si="11"/>
        <v>153</v>
      </c>
      <c r="CG116" s="14">
        <v>100</v>
      </c>
      <c r="CH116" s="35"/>
      <c r="CI116" s="35"/>
      <c r="CJ116" s="35"/>
      <c r="CK116" s="35"/>
      <c r="CL116" s="36"/>
    </row>
    <row r="117" spans="2:90" ht="18.75" customHeight="1">
      <c r="B117" s="44"/>
      <c r="C117" s="35"/>
      <c r="D117" s="35"/>
      <c r="E117" s="35"/>
      <c r="F117" s="35"/>
      <c r="G117" s="35"/>
      <c r="H117" s="35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44"/>
      <c r="BW117" s="44"/>
      <c r="BX117" s="44"/>
      <c r="BY117" s="44"/>
      <c r="BZ117" s="35"/>
      <c r="CA117" s="35"/>
      <c r="CB117" s="35"/>
      <c r="CC117" s="35"/>
      <c r="CD117" s="44"/>
      <c r="CE117" s="35"/>
      <c r="CF117" s="35"/>
      <c r="CG117" s="35"/>
      <c r="CH117" s="35"/>
      <c r="CI117" s="35"/>
      <c r="CJ117" s="35"/>
      <c r="CK117" s="35"/>
      <c r="CL117" s="36"/>
    </row>
    <row r="118" spans="2:90" ht="18.75" customHeight="1">
      <c r="B118" s="44"/>
      <c r="C118" s="35"/>
      <c r="D118" s="35"/>
      <c r="E118" s="35"/>
      <c r="F118" s="35"/>
      <c r="G118" s="35"/>
      <c r="H118" s="35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44"/>
      <c r="BW118" s="44"/>
      <c r="BX118" s="44"/>
      <c r="BY118" s="44"/>
      <c r="BZ118" s="35"/>
      <c r="CA118" s="35"/>
      <c r="CB118" s="35"/>
      <c r="CC118" s="35"/>
      <c r="CD118" s="44"/>
      <c r="CE118" s="35"/>
      <c r="CF118" s="35"/>
      <c r="CG118" s="35"/>
      <c r="CH118" s="35"/>
      <c r="CI118" s="35"/>
      <c r="CJ118" s="35"/>
      <c r="CK118" s="35"/>
      <c r="CL118" s="36"/>
    </row>
    <row r="119" spans="2:90" ht="18.75" customHeight="1">
      <c r="B119" s="44"/>
      <c r="C119" s="35"/>
      <c r="D119" s="35"/>
      <c r="E119" s="35"/>
      <c r="F119" s="35"/>
      <c r="G119" s="35"/>
      <c r="H119" s="35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44"/>
      <c r="BW119" s="44"/>
      <c r="BX119" s="44"/>
      <c r="BY119" s="44"/>
      <c r="BZ119" s="35"/>
      <c r="CA119" s="35"/>
      <c r="CB119" s="35"/>
      <c r="CC119" s="35"/>
      <c r="CD119" s="44"/>
      <c r="CE119" s="35"/>
      <c r="CF119" s="35"/>
      <c r="CG119" s="35"/>
      <c r="CH119" s="35"/>
      <c r="CI119" s="35"/>
      <c r="CJ119" s="35"/>
      <c r="CK119" s="35"/>
      <c r="CL119" s="36"/>
    </row>
    <row r="120" spans="2:90" ht="18.75" customHeight="1">
      <c r="B120" s="44"/>
      <c r="C120" s="35"/>
      <c r="D120" s="35"/>
      <c r="E120" s="35"/>
      <c r="F120" s="35"/>
      <c r="G120" s="35"/>
      <c r="H120" s="35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44"/>
      <c r="BW120" s="44"/>
      <c r="BX120" s="44"/>
      <c r="BY120" s="44"/>
      <c r="BZ120" s="35"/>
      <c r="CA120" s="35"/>
      <c r="CB120" s="35"/>
      <c r="CC120" s="35"/>
      <c r="CD120" s="44"/>
      <c r="CE120" s="35"/>
      <c r="CF120" s="35"/>
      <c r="CG120" s="35"/>
      <c r="CH120" s="35"/>
      <c r="CI120" s="35"/>
      <c r="CJ120" s="35"/>
      <c r="CK120" s="35"/>
      <c r="CL120" s="36"/>
    </row>
    <row r="121" spans="2:90" ht="18.75" customHeight="1">
      <c r="B121" s="44"/>
      <c r="C121" s="35"/>
      <c r="D121" s="35"/>
      <c r="E121" s="35"/>
      <c r="F121" s="35"/>
      <c r="G121" s="35"/>
      <c r="H121" s="35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44"/>
      <c r="BW121" s="44"/>
      <c r="BX121" s="44"/>
      <c r="BY121" s="44"/>
      <c r="BZ121" s="35"/>
      <c r="CA121" s="35"/>
      <c r="CB121" s="35"/>
      <c r="CC121" s="35"/>
      <c r="CD121" s="44"/>
      <c r="CE121" s="35"/>
      <c r="CF121" s="35"/>
      <c r="CG121" s="35"/>
      <c r="CH121" s="35"/>
      <c r="CI121" s="35"/>
      <c r="CJ121" s="35"/>
      <c r="CK121" s="35"/>
      <c r="CL121" s="36"/>
    </row>
    <row r="122" spans="2:90" ht="18.75" customHeight="1">
      <c r="B122" s="44"/>
      <c r="C122" s="35"/>
      <c r="D122" s="35"/>
      <c r="E122" s="35"/>
      <c r="F122" s="35"/>
      <c r="G122" s="35"/>
      <c r="H122" s="35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44"/>
      <c r="BW122" s="44"/>
      <c r="BX122" s="44"/>
      <c r="BY122" s="44"/>
      <c r="BZ122" s="35"/>
      <c r="CA122" s="35"/>
      <c r="CB122" s="35"/>
      <c r="CC122" s="35"/>
      <c r="CD122" s="44"/>
      <c r="CE122" s="35"/>
      <c r="CF122" s="35"/>
      <c r="CG122" s="35"/>
      <c r="CH122" s="35"/>
      <c r="CI122" s="35"/>
      <c r="CJ122" s="35"/>
      <c r="CK122" s="35"/>
      <c r="CL122" s="36"/>
    </row>
    <row r="123" spans="2:90" ht="18.75" customHeight="1">
      <c r="B123" s="44"/>
      <c r="C123" s="35"/>
      <c r="D123" s="35"/>
      <c r="E123" s="35"/>
      <c r="F123" s="35"/>
      <c r="G123" s="35"/>
      <c r="H123" s="35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44"/>
      <c r="BW123" s="44"/>
      <c r="BX123" s="44"/>
      <c r="BY123" s="44"/>
      <c r="BZ123" s="35"/>
      <c r="CA123" s="35"/>
      <c r="CB123" s="35"/>
      <c r="CC123" s="35"/>
      <c r="CD123" s="44"/>
      <c r="CE123" s="35"/>
      <c r="CF123" s="35"/>
      <c r="CG123" s="35"/>
      <c r="CH123" s="35"/>
      <c r="CI123" s="35"/>
      <c r="CJ123" s="35"/>
      <c r="CK123" s="35"/>
      <c r="CL123" s="36"/>
    </row>
    <row r="124" spans="2:90" ht="18.75" customHeight="1">
      <c r="B124" s="44"/>
      <c r="C124" s="35"/>
      <c r="D124" s="35"/>
      <c r="E124" s="35"/>
      <c r="F124" s="35"/>
      <c r="G124" s="35"/>
      <c r="H124" s="35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44"/>
      <c r="BW124" s="44"/>
      <c r="BX124" s="44"/>
      <c r="BY124" s="44"/>
      <c r="BZ124" s="35"/>
      <c r="CA124" s="35"/>
      <c r="CB124" s="35"/>
      <c r="CC124" s="35"/>
      <c r="CD124" s="44"/>
      <c r="CE124" s="35"/>
      <c r="CF124" s="35"/>
      <c r="CG124" s="35"/>
      <c r="CH124" s="35"/>
      <c r="CI124" s="35"/>
      <c r="CJ124" s="35"/>
      <c r="CK124" s="35"/>
      <c r="CL124" s="36"/>
    </row>
    <row r="125" spans="2:90" ht="18.75" customHeight="1">
      <c r="B125" s="44"/>
      <c r="C125" s="35"/>
      <c r="D125" s="35"/>
      <c r="E125" s="35"/>
      <c r="F125" s="35"/>
      <c r="G125" s="35"/>
      <c r="H125" s="35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44"/>
      <c r="BW125" s="44"/>
      <c r="BX125" s="44"/>
      <c r="BY125" s="44"/>
      <c r="BZ125" s="35"/>
      <c r="CA125" s="35"/>
      <c r="CB125" s="35"/>
      <c r="CC125" s="35"/>
      <c r="CD125" s="44"/>
      <c r="CE125" s="35"/>
      <c r="CF125" s="35"/>
      <c r="CG125" s="35"/>
      <c r="CH125" s="35"/>
      <c r="CI125" s="35"/>
      <c r="CJ125" s="35"/>
      <c r="CK125" s="35"/>
      <c r="CL125" s="36"/>
    </row>
    <row r="126" spans="2:90" ht="18.75" customHeight="1">
      <c r="B126" s="44"/>
      <c r="C126" s="35"/>
      <c r="D126" s="35"/>
      <c r="E126" s="35"/>
      <c r="F126" s="35"/>
      <c r="G126" s="35"/>
      <c r="H126" s="35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44"/>
      <c r="BW126" s="44"/>
      <c r="BX126" s="44"/>
      <c r="BY126" s="44"/>
      <c r="BZ126" s="35"/>
      <c r="CA126" s="35"/>
      <c r="CB126" s="35"/>
      <c r="CC126" s="35"/>
      <c r="CD126" s="44"/>
      <c r="CE126" s="35"/>
      <c r="CF126" s="35"/>
      <c r="CG126" s="35"/>
      <c r="CH126" s="35"/>
      <c r="CI126" s="35"/>
      <c r="CJ126" s="35"/>
      <c r="CK126" s="35"/>
      <c r="CL126" s="36"/>
    </row>
    <row r="127" spans="2:90" ht="18.75" customHeight="1">
      <c r="B127" s="44"/>
      <c r="C127" s="35"/>
      <c r="D127" s="35"/>
      <c r="E127" s="35"/>
      <c r="F127" s="35"/>
      <c r="G127" s="35"/>
      <c r="H127" s="35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44"/>
      <c r="BW127" s="44"/>
      <c r="BX127" s="44"/>
      <c r="BY127" s="44"/>
      <c r="BZ127" s="35"/>
      <c r="CA127" s="35"/>
      <c r="CB127" s="35"/>
      <c r="CC127" s="35"/>
      <c r="CD127" s="44"/>
      <c r="CE127" s="35"/>
      <c r="CF127" s="35"/>
      <c r="CG127" s="35"/>
      <c r="CH127" s="35"/>
      <c r="CI127" s="35"/>
      <c r="CJ127" s="35"/>
      <c r="CK127" s="35"/>
      <c r="CL127" s="36"/>
    </row>
    <row r="128" spans="2:90" ht="18.75" customHeight="1">
      <c r="B128" s="44"/>
      <c r="C128" s="35"/>
      <c r="D128" s="35"/>
      <c r="E128" s="35"/>
      <c r="F128" s="35"/>
      <c r="G128" s="35"/>
      <c r="H128" s="35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44"/>
      <c r="BW128" s="44"/>
      <c r="BX128" s="44"/>
      <c r="BY128" s="44"/>
      <c r="BZ128" s="35"/>
      <c r="CA128" s="35"/>
      <c r="CB128" s="35"/>
      <c r="CC128" s="35"/>
      <c r="CD128" s="44"/>
      <c r="CE128" s="35"/>
      <c r="CF128" s="35"/>
      <c r="CG128" s="35"/>
      <c r="CH128" s="35"/>
      <c r="CI128" s="35"/>
      <c r="CJ128" s="35"/>
      <c r="CK128" s="35"/>
      <c r="CL128" s="36"/>
    </row>
    <row r="129" spans="2:90" ht="18.75" customHeight="1">
      <c r="B129" s="44"/>
      <c r="C129" s="35"/>
      <c r="D129" s="35"/>
      <c r="E129" s="35"/>
      <c r="F129" s="35"/>
      <c r="G129" s="35"/>
      <c r="H129" s="35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44"/>
      <c r="BW129" s="44"/>
      <c r="BX129" s="44"/>
      <c r="BY129" s="44"/>
      <c r="BZ129" s="35"/>
      <c r="CA129" s="35"/>
      <c r="CB129" s="35"/>
      <c r="CC129" s="35"/>
      <c r="CD129" s="44"/>
      <c r="CE129" s="35"/>
      <c r="CF129" s="35"/>
      <c r="CG129" s="35"/>
      <c r="CH129" s="35"/>
      <c r="CI129" s="35"/>
      <c r="CJ129" s="35"/>
      <c r="CK129" s="35"/>
      <c r="CL129" s="36"/>
    </row>
    <row r="130" spans="2:90" ht="18.75" customHeight="1">
      <c r="B130" s="44"/>
      <c r="C130" s="35"/>
      <c r="D130" s="35"/>
      <c r="E130" s="35"/>
      <c r="F130" s="35"/>
      <c r="G130" s="35"/>
      <c r="H130" s="35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44"/>
      <c r="BW130" s="44"/>
      <c r="BX130" s="44"/>
      <c r="BY130" s="44"/>
      <c r="BZ130" s="35"/>
      <c r="CA130" s="35"/>
      <c r="CB130" s="35"/>
      <c r="CC130" s="35"/>
      <c r="CD130" s="44"/>
      <c r="CE130" s="35"/>
      <c r="CF130" s="35"/>
      <c r="CG130" s="35"/>
      <c r="CH130" s="35"/>
      <c r="CI130" s="35"/>
      <c r="CJ130" s="35"/>
      <c r="CK130" s="35"/>
      <c r="CL130" s="36"/>
    </row>
    <row r="131" spans="2:90" ht="18.75" customHeight="1">
      <c r="B131" s="44"/>
      <c r="C131" s="35"/>
      <c r="D131" s="35"/>
      <c r="E131" s="35"/>
      <c r="F131" s="35"/>
      <c r="G131" s="35"/>
      <c r="H131" s="35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44"/>
      <c r="BW131" s="44"/>
      <c r="BX131" s="44"/>
      <c r="BY131" s="44"/>
      <c r="BZ131" s="35"/>
      <c r="CA131" s="35"/>
      <c r="CB131" s="35"/>
      <c r="CC131" s="35"/>
      <c r="CD131" s="44"/>
      <c r="CE131" s="35"/>
      <c r="CF131" s="35"/>
      <c r="CG131" s="35"/>
      <c r="CH131" s="35"/>
      <c r="CI131" s="35"/>
      <c r="CJ131" s="35"/>
      <c r="CK131" s="35"/>
      <c r="CL131" s="36"/>
    </row>
    <row r="132" spans="2:90" ht="18.75" customHeight="1">
      <c r="B132" s="44"/>
      <c r="C132" s="35"/>
      <c r="D132" s="35"/>
      <c r="E132" s="35"/>
      <c r="F132" s="35"/>
      <c r="G132" s="35"/>
      <c r="H132" s="35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44"/>
      <c r="BW132" s="44"/>
      <c r="BX132" s="44"/>
      <c r="BY132" s="44"/>
      <c r="BZ132" s="35"/>
      <c r="CA132" s="35"/>
      <c r="CB132" s="35"/>
      <c r="CC132" s="35"/>
      <c r="CD132" s="44"/>
      <c r="CE132" s="35"/>
      <c r="CF132" s="35"/>
      <c r="CG132" s="35"/>
      <c r="CH132" s="35"/>
      <c r="CI132" s="35"/>
      <c r="CJ132" s="35"/>
      <c r="CK132" s="35"/>
      <c r="CL132" s="36"/>
    </row>
    <row r="133" spans="2:90" ht="18.75" customHeight="1">
      <c r="B133" s="44"/>
      <c r="C133" s="35"/>
      <c r="D133" s="35"/>
      <c r="E133" s="35"/>
      <c r="F133" s="35"/>
      <c r="G133" s="35"/>
      <c r="H133" s="35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44"/>
      <c r="BW133" s="44"/>
      <c r="BX133" s="44"/>
      <c r="BY133" s="44"/>
      <c r="BZ133" s="35"/>
      <c r="CA133" s="35"/>
      <c r="CB133" s="35"/>
      <c r="CC133" s="35"/>
      <c r="CD133" s="44"/>
      <c r="CE133" s="35"/>
      <c r="CF133" s="35"/>
      <c r="CG133" s="35"/>
      <c r="CH133" s="35"/>
      <c r="CI133" s="35"/>
      <c r="CJ133" s="35"/>
      <c r="CK133" s="35"/>
      <c r="CL133" s="36"/>
    </row>
    <row r="134" spans="2:90" ht="18.75" customHeight="1">
      <c r="B134" s="44"/>
      <c r="C134" s="35"/>
      <c r="D134" s="35"/>
      <c r="E134" s="35"/>
      <c r="F134" s="35"/>
      <c r="G134" s="35"/>
      <c r="H134" s="35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44"/>
      <c r="BW134" s="44"/>
      <c r="BX134" s="44"/>
      <c r="BY134" s="44"/>
      <c r="BZ134" s="35"/>
      <c r="CA134" s="35"/>
      <c r="CB134" s="35"/>
      <c r="CC134" s="35"/>
      <c r="CD134" s="44"/>
      <c r="CE134" s="35"/>
      <c r="CF134" s="35"/>
      <c r="CG134" s="35"/>
      <c r="CH134" s="35"/>
      <c r="CI134" s="35"/>
      <c r="CJ134" s="35"/>
      <c r="CK134" s="35"/>
      <c r="CL134" s="36"/>
    </row>
    <row r="135" spans="2:90" ht="18.75" customHeight="1">
      <c r="B135" s="44"/>
      <c r="C135" s="35"/>
      <c r="D135" s="35"/>
      <c r="E135" s="35"/>
      <c r="F135" s="35"/>
      <c r="G135" s="35"/>
      <c r="H135" s="35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44"/>
      <c r="BW135" s="44"/>
      <c r="BX135" s="44"/>
      <c r="BY135" s="44"/>
      <c r="BZ135" s="35"/>
      <c r="CA135" s="35"/>
      <c r="CB135" s="35"/>
      <c r="CC135" s="35"/>
      <c r="CD135" s="44"/>
      <c r="CE135" s="35"/>
      <c r="CF135" s="35"/>
      <c r="CG135" s="35"/>
      <c r="CH135" s="35"/>
      <c r="CI135" s="35"/>
      <c r="CJ135" s="35"/>
      <c r="CK135" s="35"/>
      <c r="CL135" s="36"/>
    </row>
    <row r="136" spans="2:90" ht="18.75" customHeight="1">
      <c r="B136" s="44"/>
      <c r="C136" s="35"/>
      <c r="D136" s="35"/>
      <c r="E136" s="35"/>
      <c r="F136" s="35"/>
      <c r="G136" s="35"/>
      <c r="H136" s="35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44"/>
      <c r="BW136" s="44"/>
      <c r="BX136" s="44"/>
      <c r="BY136" s="44"/>
      <c r="BZ136" s="35"/>
      <c r="CA136" s="35"/>
      <c r="CB136" s="35"/>
      <c r="CC136" s="35"/>
      <c r="CD136" s="44"/>
      <c r="CE136" s="35"/>
      <c r="CF136" s="35"/>
      <c r="CG136" s="35"/>
      <c r="CH136" s="35"/>
      <c r="CI136" s="35"/>
      <c r="CJ136" s="35"/>
      <c r="CK136" s="35"/>
      <c r="CL136" s="36"/>
    </row>
    <row r="137" spans="2:90" ht="18.75" customHeight="1">
      <c r="B137" s="44"/>
      <c r="C137" s="35"/>
      <c r="D137" s="35"/>
      <c r="E137" s="35"/>
      <c r="F137" s="35"/>
      <c r="G137" s="35"/>
      <c r="H137" s="35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44"/>
      <c r="BW137" s="44"/>
      <c r="BX137" s="44"/>
      <c r="BY137" s="44"/>
      <c r="BZ137" s="35"/>
      <c r="CA137" s="35"/>
      <c r="CB137" s="35"/>
      <c r="CC137" s="35"/>
      <c r="CD137" s="44"/>
      <c r="CE137" s="35"/>
      <c r="CF137" s="35"/>
      <c r="CG137" s="35"/>
      <c r="CH137" s="35"/>
      <c r="CI137" s="35"/>
      <c r="CJ137" s="35"/>
      <c r="CK137" s="35"/>
      <c r="CL137" s="36"/>
    </row>
    <row r="138" spans="2:90" ht="18.75" customHeight="1">
      <c r="B138" s="44"/>
      <c r="C138" s="35"/>
      <c r="D138" s="35"/>
      <c r="E138" s="35"/>
      <c r="F138" s="35"/>
      <c r="G138" s="35"/>
      <c r="H138" s="35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44"/>
      <c r="BW138" s="44"/>
      <c r="BX138" s="44"/>
      <c r="BY138" s="44"/>
      <c r="BZ138" s="35"/>
      <c r="CA138" s="35"/>
      <c r="CB138" s="35"/>
      <c r="CC138" s="35"/>
      <c r="CD138" s="44"/>
      <c r="CE138" s="35"/>
      <c r="CF138" s="35"/>
      <c r="CG138" s="35"/>
      <c r="CH138" s="35"/>
      <c r="CI138" s="35"/>
      <c r="CJ138" s="35"/>
      <c r="CK138" s="35"/>
      <c r="CL138" s="36"/>
    </row>
    <row r="139" spans="2:90" ht="18.75" customHeight="1">
      <c r="B139" s="44"/>
      <c r="C139" s="35"/>
      <c r="D139" s="35"/>
      <c r="E139" s="35"/>
      <c r="F139" s="35"/>
      <c r="G139" s="35"/>
      <c r="H139" s="35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44"/>
      <c r="BW139" s="44"/>
      <c r="BX139" s="44"/>
      <c r="BY139" s="44"/>
      <c r="BZ139" s="35"/>
      <c r="CA139" s="35"/>
      <c r="CB139" s="35"/>
      <c r="CC139" s="35"/>
      <c r="CD139" s="44"/>
      <c r="CE139" s="35"/>
      <c r="CF139" s="35"/>
      <c r="CG139" s="35"/>
      <c r="CH139" s="35"/>
      <c r="CI139" s="35"/>
      <c r="CJ139" s="35"/>
      <c r="CK139" s="35"/>
      <c r="CL139" s="36"/>
    </row>
    <row r="140" spans="2:90" ht="18.75" customHeight="1">
      <c r="B140" s="44"/>
      <c r="C140" s="35"/>
      <c r="D140" s="35"/>
      <c r="E140" s="35"/>
      <c r="F140" s="35"/>
      <c r="G140" s="35"/>
      <c r="H140" s="35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44"/>
      <c r="BW140" s="44"/>
      <c r="BX140" s="44"/>
      <c r="BY140" s="44"/>
      <c r="BZ140" s="35"/>
      <c r="CA140" s="35"/>
      <c r="CB140" s="35"/>
      <c r="CC140" s="35"/>
      <c r="CD140" s="44"/>
      <c r="CE140" s="35"/>
      <c r="CF140" s="35"/>
      <c r="CG140" s="35"/>
      <c r="CH140" s="35"/>
      <c r="CI140" s="35"/>
      <c r="CJ140" s="35"/>
      <c r="CK140" s="35"/>
      <c r="CL140" s="36"/>
    </row>
    <row r="141" spans="2:90" ht="18.75" customHeight="1">
      <c r="B141" s="44"/>
      <c r="C141" s="35"/>
      <c r="D141" s="35"/>
      <c r="E141" s="35"/>
      <c r="F141" s="35"/>
      <c r="G141" s="35"/>
      <c r="H141" s="35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44"/>
      <c r="BW141" s="44"/>
      <c r="BX141" s="44"/>
      <c r="BY141" s="44"/>
      <c r="BZ141" s="35"/>
      <c r="CA141" s="35"/>
      <c r="CB141" s="35"/>
      <c r="CC141" s="35"/>
      <c r="CD141" s="44"/>
      <c r="CE141" s="35"/>
      <c r="CF141" s="35"/>
      <c r="CG141" s="35"/>
      <c r="CH141" s="35"/>
      <c r="CI141" s="35"/>
      <c r="CJ141" s="35"/>
      <c r="CK141" s="35"/>
      <c r="CL141" s="36"/>
    </row>
    <row r="142" spans="2:90" ht="18.75" customHeight="1">
      <c r="B142" s="44"/>
      <c r="C142" s="35"/>
      <c r="D142" s="35"/>
      <c r="E142" s="35"/>
      <c r="F142" s="35"/>
      <c r="G142" s="35"/>
      <c r="H142" s="35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44"/>
      <c r="BW142" s="44"/>
      <c r="BX142" s="44"/>
      <c r="BY142" s="44"/>
      <c r="BZ142" s="35"/>
      <c r="CA142" s="35"/>
      <c r="CB142" s="35"/>
      <c r="CC142" s="35"/>
      <c r="CD142" s="44"/>
      <c r="CE142" s="35"/>
      <c r="CF142" s="35"/>
      <c r="CG142" s="35"/>
      <c r="CH142" s="35"/>
      <c r="CI142" s="35"/>
      <c r="CJ142" s="35"/>
      <c r="CK142" s="35"/>
      <c r="CL142" s="36"/>
    </row>
    <row r="143" spans="2:90" ht="18.75" customHeight="1">
      <c r="B143" s="44"/>
      <c r="C143" s="35"/>
      <c r="D143" s="35"/>
      <c r="E143" s="35"/>
      <c r="F143" s="35"/>
      <c r="G143" s="35"/>
      <c r="H143" s="35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44"/>
      <c r="BW143" s="44"/>
      <c r="BX143" s="44"/>
      <c r="BY143" s="44"/>
      <c r="BZ143" s="35"/>
      <c r="CA143" s="35"/>
      <c r="CB143" s="35"/>
      <c r="CC143" s="35"/>
      <c r="CD143" s="44"/>
      <c r="CE143" s="35"/>
      <c r="CF143" s="35"/>
      <c r="CG143" s="35"/>
      <c r="CH143" s="35"/>
      <c r="CI143" s="35"/>
      <c r="CJ143" s="35"/>
      <c r="CK143" s="35"/>
      <c r="CL143" s="36"/>
    </row>
    <row r="144" spans="2:90" ht="18.75" customHeight="1">
      <c r="B144" s="44"/>
      <c r="C144" s="35"/>
      <c r="D144" s="35"/>
      <c r="E144" s="35"/>
      <c r="F144" s="35"/>
      <c r="G144" s="35"/>
      <c r="H144" s="35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44"/>
      <c r="BW144" s="44"/>
      <c r="BX144" s="44"/>
      <c r="BY144" s="44"/>
      <c r="BZ144" s="35"/>
      <c r="CA144" s="35"/>
      <c r="CB144" s="35"/>
      <c r="CC144" s="35"/>
      <c r="CD144" s="44"/>
      <c r="CE144" s="35"/>
      <c r="CF144" s="35"/>
      <c r="CG144" s="35"/>
      <c r="CH144" s="35"/>
      <c r="CI144" s="35"/>
      <c r="CJ144" s="35"/>
      <c r="CK144" s="35"/>
      <c r="CL144" s="36"/>
    </row>
    <row r="145" spans="2:90" ht="18.75" customHeight="1">
      <c r="B145" s="44"/>
      <c r="C145" s="35"/>
      <c r="D145" s="35"/>
      <c r="E145" s="35"/>
      <c r="F145" s="35"/>
      <c r="G145" s="35"/>
      <c r="H145" s="35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44"/>
      <c r="BW145" s="44"/>
      <c r="BX145" s="44"/>
      <c r="BY145" s="44"/>
      <c r="BZ145" s="35"/>
      <c r="CA145" s="35"/>
      <c r="CB145" s="35"/>
      <c r="CC145" s="35"/>
      <c r="CD145" s="44"/>
      <c r="CE145" s="35"/>
      <c r="CF145" s="35"/>
      <c r="CG145" s="35"/>
      <c r="CH145" s="35"/>
      <c r="CI145" s="35"/>
      <c r="CJ145" s="35"/>
      <c r="CK145" s="35"/>
      <c r="CL145" s="36"/>
    </row>
    <row r="146" spans="2:90" ht="18.75" customHeight="1">
      <c r="B146" s="44"/>
      <c r="C146" s="35"/>
      <c r="D146" s="35"/>
      <c r="E146" s="35"/>
      <c r="F146" s="35"/>
      <c r="G146" s="35"/>
      <c r="H146" s="35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44"/>
      <c r="BW146" s="44"/>
      <c r="BX146" s="44"/>
      <c r="BY146" s="44"/>
      <c r="BZ146" s="35"/>
      <c r="CA146" s="35"/>
      <c r="CB146" s="35"/>
      <c r="CC146" s="35"/>
      <c r="CD146" s="44"/>
      <c r="CE146" s="35"/>
      <c r="CF146" s="35"/>
      <c r="CG146" s="35"/>
      <c r="CH146" s="35"/>
      <c r="CI146" s="35"/>
      <c r="CJ146" s="35"/>
      <c r="CK146" s="35"/>
      <c r="CL146" s="36"/>
    </row>
    <row r="147" spans="2:90" ht="18.75" customHeight="1">
      <c r="B147" s="44"/>
      <c r="C147" s="35"/>
      <c r="D147" s="35"/>
      <c r="E147" s="35"/>
      <c r="F147" s="35"/>
      <c r="G147" s="35"/>
      <c r="H147" s="35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44"/>
      <c r="BW147" s="44"/>
      <c r="BX147" s="44"/>
      <c r="BY147" s="44"/>
      <c r="BZ147" s="35"/>
      <c r="CA147" s="35"/>
      <c r="CB147" s="35"/>
      <c r="CC147" s="35"/>
      <c r="CD147" s="44"/>
      <c r="CE147" s="35"/>
      <c r="CF147" s="35"/>
      <c r="CG147" s="35"/>
      <c r="CH147" s="35"/>
      <c r="CI147" s="35"/>
      <c r="CJ147" s="35"/>
      <c r="CK147" s="35"/>
      <c r="CL147" s="36"/>
    </row>
    <row r="148" spans="2:90" ht="18.75" customHeight="1">
      <c r="B148" s="44"/>
      <c r="C148" s="35"/>
      <c r="D148" s="35"/>
      <c r="E148" s="35"/>
      <c r="F148" s="35"/>
      <c r="G148" s="35"/>
      <c r="H148" s="35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44"/>
      <c r="BW148" s="44"/>
      <c r="BX148" s="44"/>
      <c r="BY148" s="44"/>
      <c r="BZ148" s="35"/>
      <c r="CA148" s="35"/>
      <c r="CB148" s="35"/>
      <c r="CC148" s="35"/>
      <c r="CD148" s="44"/>
      <c r="CE148" s="35"/>
      <c r="CF148" s="35"/>
      <c r="CG148" s="35"/>
      <c r="CH148" s="35"/>
      <c r="CI148" s="35"/>
      <c r="CJ148" s="35"/>
      <c r="CK148" s="35"/>
      <c r="CL148" s="36"/>
    </row>
    <row r="149" spans="2:90" ht="18.75" customHeight="1">
      <c r="B149" s="44"/>
      <c r="C149" s="35"/>
      <c r="D149" s="35"/>
      <c r="E149" s="35"/>
      <c r="F149" s="35"/>
      <c r="G149" s="35"/>
      <c r="H149" s="35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44"/>
      <c r="BW149" s="44"/>
      <c r="BX149" s="44"/>
      <c r="BY149" s="44"/>
      <c r="BZ149" s="35"/>
      <c r="CA149" s="35"/>
      <c r="CB149" s="35"/>
      <c r="CC149" s="35"/>
      <c r="CD149" s="44"/>
      <c r="CE149" s="35"/>
      <c r="CF149" s="35"/>
      <c r="CG149" s="35"/>
      <c r="CH149" s="35"/>
      <c r="CI149" s="35"/>
      <c r="CJ149" s="35"/>
      <c r="CK149" s="35"/>
      <c r="CL149" s="36"/>
    </row>
    <row r="150" spans="2:90" ht="18.75" customHeight="1">
      <c r="B150" s="44"/>
      <c r="C150" s="35"/>
      <c r="D150" s="35"/>
      <c r="E150" s="35"/>
      <c r="F150" s="35"/>
      <c r="G150" s="35"/>
      <c r="H150" s="35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44"/>
      <c r="BW150" s="44"/>
      <c r="BX150" s="44"/>
      <c r="BY150" s="44"/>
      <c r="BZ150" s="35"/>
      <c r="CA150" s="35"/>
      <c r="CB150" s="35"/>
      <c r="CC150" s="35"/>
      <c r="CD150" s="44"/>
      <c r="CE150" s="35"/>
      <c r="CF150" s="35"/>
      <c r="CG150" s="35"/>
      <c r="CH150" s="35"/>
      <c r="CI150" s="35"/>
      <c r="CJ150" s="35"/>
      <c r="CK150" s="35"/>
      <c r="CL150" s="36"/>
    </row>
    <row r="151" spans="2:90" ht="18.75" customHeight="1">
      <c r="B151" s="44"/>
      <c r="C151" s="35"/>
      <c r="D151" s="35"/>
      <c r="E151" s="35"/>
      <c r="F151" s="35"/>
      <c r="G151" s="35"/>
      <c r="H151" s="35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44"/>
      <c r="BW151" s="44"/>
      <c r="BX151" s="44"/>
      <c r="BY151" s="44"/>
      <c r="BZ151" s="35"/>
      <c r="CA151" s="35"/>
      <c r="CB151" s="35"/>
      <c r="CC151" s="35"/>
      <c r="CD151" s="44"/>
      <c r="CE151" s="35"/>
      <c r="CF151" s="35"/>
      <c r="CG151" s="35"/>
      <c r="CH151" s="35"/>
      <c r="CI151" s="35"/>
      <c r="CJ151" s="35"/>
      <c r="CK151" s="35"/>
      <c r="CL151" s="36"/>
    </row>
    <row r="152" spans="2:90" ht="18.75" customHeight="1">
      <c r="B152" s="44"/>
      <c r="C152" s="35"/>
      <c r="D152" s="35"/>
      <c r="E152" s="35"/>
      <c r="F152" s="35"/>
      <c r="G152" s="35"/>
      <c r="H152" s="35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44"/>
      <c r="BW152" s="44"/>
      <c r="BX152" s="44"/>
      <c r="BY152" s="44"/>
      <c r="BZ152" s="35"/>
      <c r="CA152" s="35"/>
      <c r="CB152" s="35"/>
      <c r="CC152" s="35"/>
      <c r="CD152" s="44"/>
      <c r="CE152" s="35"/>
      <c r="CF152" s="35"/>
      <c r="CG152" s="35"/>
      <c r="CH152" s="35"/>
      <c r="CI152" s="35"/>
      <c r="CJ152" s="35"/>
      <c r="CK152" s="35"/>
      <c r="CL152" s="36"/>
    </row>
    <row r="153" spans="2:90" ht="18.75" customHeight="1">
      <c r="B153" s="44"/>
      <c r="C153" s="35"/>
      <c r="D153" s="35"/>
      <c r="E153" s="35"/>
      <c r="F153" s="35"/>
      <c r="G153" s="35"/>
      <c r="H153" s="35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44"/>
      <c r="BW153" s="44"/>
      <c r="BX153" s="44"/>
      <c r="BY153" s="44"/>
      <c r="BZ153" s="35"/>
      <c r="CA153" s="35"/>
      <c r="CB153" s="35"/>
      <c r="CC153" s="35"/>
      <c r="CD153" s="44"/>
      <c r="CE153" s="35"/>
      <c r="CF153" s="35"/>
      <c r="CG153" s="35"/>
      <c r="CH153" s="35"/>
      <c r="CI153" s="35"/>
      <c r="CJ153" s="35"/>
      <c r="CK153" s="35"/>
      <c r="CL153" s="36"/>
    </row>
    <row r="154" spans="2:90" ht="18.75" customHeight="1">
      <c r="B154" s="44"/>
      <c r="C154" s="35"/>
      <c r="D154" s="35"/>
      <c r="E154" s="35"/>
      <c r="F154" s="35"/>
      <c r="G154" s="35"/>
      <c r="H154" s="35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44"/>
      <c r="BW154" s="44"/>
      <c r="BX154" s="44"/>
      <c r="BY154" s="44"/>
      <c r="BZ154" s="35"/>
      <c r="CA154" s="35"/>
      <c r="CB154" s="35"/>
      <c r="CC154" s="35"/>
      <c r="CD154" s="44"/>
      <c r="CE154" s="35"/>
      <c r="CF154" s="35"/>
      <c r="CG154" s="35"/>
      <c r="CH154" s="35"/>
      <c r="CI154" s="35"/>
      <c r="CJ154" s="35"/>
      <c r="CK154" s="35"/>
      <c r="CL154" s="36"/>
    </row>
    <row r="155" spans="2:90" ht="18.75" customHeight="1">
      <c r="B155" s="44"/>
      <c r="C155" s="35"/>
      <c r="D155" s="35"/>
      <c r="E155" s="35"/>
      <c r="F155" s="35"/>
      <c r="G155" s="35"/>
      <c r="H155" s="35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44"/>
      <c r="BW155" s="44"/>
      <c r="BX155" s="44"/>
      <c r="BY155" s="44"/>
      <c r="BZ155" s="35"/>
      <c r="CA155" s="35"/>
      <c r="CB155" s="35"/>
      <c r="CC155" s="35"/>
      <c r="CD155" s="44"/>
      <c r="CE155" s="35"/>
      <c r="CF155" s="35"/>
      <c r="CG155" s="35"/>
      <c r="CH155" s="35"/>
      <c r="CI155" s="35"/>
      <c r="CJ155" s="35"/>
      <c r="CK155" s="35"/>
      <c r="CL155" s="36"/>
    </row>
    <row r="156" spans="2:90" ht="18.75" customHeight="1">
      <c r="B156" s="44"/>
      <c r="C156" s="35"/>
      <c r="D156" s="35"/>
      <c r="E156" s="35"/>
      <c r="F156" s="35"/>
      <c r="G156" s="35"/>
      <c r="H156" s="35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44"/>
      <c r="BW156" s="44"/>
      <c r="BX156" s="44"/>
      <c r="BY156" s="44"/>
      <c r="BZ156" s="35"/>
      <c r="CA156" s="35"/>
      <c r="CB156" s="35"/>
      <c r="CC156" s="35"/>
      <c r="CD156" s="44"/>
      <c r="CE156" s="35"/>
      <c r="CF156" s="35"/>
      <c r="CG156" s="35"/>
      <c r="CH156" s="35"/>
      <c r="CI156" s="35"/>
      <c r="CJ156" s="35"/>
      <c r="CK156" s="35"/>
      <c r="CL156" s="36"/>
    </row>
    <row r="157" spans="2:90" ht="18.75" customHeight="1">
      <c r="B157" s="44"/>
      <c r="C157" s="35"/>
      <c r="D157" s="35"/>
      <c r="E157" s="35"/>
      <c r="F157" s="35"/>
      <c r="G157" s="35"/>
      <c r="H157" s="35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44"/>
      <c r="BW157" s="44"/>
      <c r="BX157" s="44"/>
      <c r="BY157" s="44"/>
      <c r="BZ157" s="35"/>
      <c r="CA157" s="35"/>
      <c r="CB157" s="35"/>
      <c r="CC157" s="35"/>
      <c r="CD157" s="44"/>
      <c r="CE157" s="35"/>
      <c r="CF157" s="35"/>
      <c r="CG157" s="35"/>
      <c r="CH157" s="35"/>
      <c r="CI157" s="35"/>
      <c r="CJ157" s="35"/>
      <c r="CK157" s="35"/>
      <c r="CL157" s="36"/>
    </row>
    <row r="158" spans="2:90" ht="18.75" customHeight="1">
      <c r="B158" s="44"/>
      <c r="C158" s="35"/>
      <c r="D158" s="35"/>
      <c r="E158" s="35"/>
      <c r="F158" s="35"/>
      <c r="G158" s="35"/>
      <c r="H158" s="35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44"/>
      <c r="BW158" s="44"/>
      <c r="BX158" s="44"/>
      <c r="BY158" s="44"/>
      <c r="BZ158" s="35"/>
      <c r="CA158" s="35"/>
      <c r="CB158" s="35"/>
      <c r="CC158" s="35"/>
      <c r="CD158" s="44"/>
      <c r="CE158" s="35"/>
      <c r="CF158" s="35"/>
      <c r="CG158" s="35"/>
      <c r="CH158" s="35"/>
      <c r="CI158" s="35"/>
      <c r="CJ158" s="35"/>
      <c r="CK158" s="35"/>
      <c r="CL158" s="36"/>
    </row>
    <row r="159" spans="2:90" ht="18.75" customHeight="1">
      <c r="B159" s="44"/>
      <c r="C159" s="35"/>
      <c r="D159" s="35"/>
      <c r="E159" s="35"/>
      <c r="F159" s="35"/>
      <c r="G159" s="35"/>
      <c r="H159" s="35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44"/>
      <c r="BW159" s="44"/>
      <c r="BX159" s="44"/>
      <c r="BY159" s="44"/>
      <c r="BZ159" s="35"/>
      <c r="CA159" s="35"/>
      <c r="CB159" s="35"/>
      <c r="CC159" s="35"/>
      <c r="CD159" s="44"/>
      <c r="CE159" s="35"/>
      <c r="CF159" s="35"/>
      <c r="CG159" s="35"/>
      <c r="CH159" s="35"/>
      <c r="CI159" s="35"/>
      <c r="CJ159" s="35"/>
      <c r="CK159" s="35"/>
      <c r="CL159" s="36"/>
    </row>
    <row r="160" spans="2:90" ht="18.75" customHeight="1">
      <c r="B160" s="44"/>
      <c r="C160" s="35"/>
      <c r="D160" s="35"/>
      <c r="E160" s="35"/>
      <c r="F160" s="35"/>
      <c r="G160" s="35"/>
      <c r="H160" s="35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44"/>
      <c r="BW160" s="44"/>
      <c r="BX160" s="44"/>
      <c r="BY160" s="44"/>
      <c r="BZ160" s="35"/>
      <c r="CA160" s="35"/>
      <c r="CB160" s="35"/>
      <c r="CC160" s="35"/>
      <c r="CD160" s="44"/>
      <c r="CE160" s="35"/>
      <c r="CF160" s="35"/>
      <c r="CG160" s="35"/>
      <c r="CH160" s="35"/>
      <c r="CI160" s="35"/>
      <c r="CJ160" s="35"/>
      <c r="CK160" s="35"/>
      <c r="CL160" s="36"/>
    </row>
    <row r="161" spans="2:90" ht="18.75" customHeight="1">
      <c r="B161" s="44"/>
      <c r="C161" s="35"/>
      <c r="D161" s="35"/>
      <c r="E161" s="35"/>
      <c r="F161" s="35"/>
      <c r="G161" s="35"/>
      <c r="H161" s="35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44"/>
      <c r="BW161" s="44"/>
      <c r="BX161" s="44"/>
      <c r="BY161" s="44"/>
      <c r="BZ161" s="35"/>
      <c r="CA161" s="35"/>
      <c r="CB161" s="35"/>
      <c r="CC161" s="35"/>
      <c r="CD161" s="44"/>
      <c r="CE161" s="35"/>
      <c r="CF161" s="35"/>
      <c r="CG161" s="35"/>
      <c r="CH161" s="35"/>
      <c r="CI161" s="35"/>
      <c r="CJ161" s="35"/>
      <c r="CK161" s="35"/>
      <c r="CL161" s="36"/>
    </row>
    <row r="162" spans="2:90" ht="18.75" customHeight="1">
      <c r="B162" s="44"/>
      <c r="C162" s="35"/>
      <c r="D162" s="35"/>
      <c r="E162" s="35"/>
      <c r="F162" s="35"/>
      <c r="G162" s="35"/>
      <c r="H162" s="35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44"/>
      <c r="BW162" s="44"/>
      <c r="BX162" s="44"/>
      <c r="BY162" s="44"/>
      <c r="BZ162" s="35"/>
      <c r="CA162" s="35"/>
      <c r="CB162" s="35"/>
      <c r="CC162" s="35"/>
      <c r="CD162" s="44"/>
      <c r="CE162" s="35"/>
      <c r="CF162" s="35"/>
      <c r="CG162" s="35"/>
      <c r="CH162" s="35"/>
      <c r="CI162" s="35"/>
      <c r="CJ162" s="35"/>
      <c r="CK162" s="35"/>
      <c r="CL162" s="36"/>
    </row>
    <row r="163" spans="2:90" ht="18.75" customHeight="1">
      <c r="B163" s="44"/>
      <c r="C163" s="35"/>
      <c r="D163" s="35"/>
      <c r="E163" s="35"/>
      <c r="F163" s="35"/>
      <c r="G163" s="35"/>
      <c r="H163" s="35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44"/>
      <c r="BW163" s="44"/>
      <c r="BX163" s="44"/>
      <c r="BY163" s="44"/>
      <c r="BZ163" s="35"/>
      <c r="CA163" s="35"/>
      <c r="CB163" s="35"/>
      <c r="CC163" s="35"/>
      <c r="CD163" s="44"/>
      <c r="CE163" s="35"/>
      <c r="CF163" s="35"/>
      <c r="CG163" s="35"/>
      <c r="CH163" s="35"/>
      <c r="CI163" s="35"/>
      <c r="CJ163" s="35"/>
      <c r="CK163" s="35"/>
      <c r="CL163" s="36"/>
    </row>
    <row r="164" spans="2:90" ht="18.75" customHeight="1">
      <c r="B164" s="44"/>
      <c r="C164" s="35"/>
      <c r="D164" s="35"/>
      <c r="E164" s="35"/>
      <c r="F164" s="35"/>
      <c r="G164" s="35"/>
      <c r="H164" s="35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44"/>
      <c r="BW164" s="44"/>
      <c r="BX164" s="44"/>
      <c r="BY164" s="44"/>
      <c r="BZ164" s="35"/>
      <c r="CA164" s="35"/>
      <c r="CB164" s="35"/>
      <c r="CC164" s="35"/>
      <c r="CD164" s="44"/>
      <c r="CE164" s="35"/>
      <c r="CF164" s="35"/>
      <c r="CG164" s="35"/>
      <c r="CH164" s="35"/>
      <c r="CI164" s="35"/>
      <c r="CJ164" s="35"/>
      <c r="CK164" s="35"/>
      <c r="CL164" s="36"/>
    </row>
    <row r="165" spans="2:90" ht="18.75" customHeight="1">
      <c r="B165" s="44"/>
      <c r="C165" s="35"/>
      <c r="D165" s="35"/>
      <c r="E165" s="35"/>
      <c r="F165" s="35"/>
      <c r="G165" s="35"/>
      <c r="H165" s="35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44"/>
      <c r="BW165" s="44"/>
      <c r="BX165" s="44"/>
      <c r="BY165" s="44"/>
      <c r="BZ165" s="35"/>
      <c r="CA165" s="35"/>
      <c r="CB165" s="35"/>
      <c r="CC165" s="35"/>
      <c r="CD165" s="44"/>
      <c r="CE165" s="35"/>
      <c r="CF165" s="35"/>
      <c r="CG165" s="35"/>
      <c r="CH165" s="35"/>
      <c r="CI165" s="35"/>
      <c r="CJ165" s="35"/>
      <c r="CK165" s="35"/>
      <c r="CL165" s="36"/>
    </row>
    <row r="166" spans="2:90" ht="18.75" customHeight="1">
      <c r="B166" s="44"/>
      <c r="C166" s="35"/>
      <c r="D166" s="35"/>
      <c r="E166" s="35"/>
      <c r="F166" s="35"/>
      <c r="G166" s="35"/>
      <c r="H166" s="35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44"/>
      <c r="BW166" s="44"/>
      <c r="BX166" s="44"/>
      <c r="BY166" s="44"/>
      <c r="BZ166" s="35"/>
      <c r="CA166" s="35"/>
      <c r="CB166" s="35"/>
      <c r="CC166" s="35"/>
      <c r="CD166" s="44"/>
      <c r="CE166" s="35"/>
      <c r="CF166" s="35"/>
      <c r="CG166" s="35"/>
      <c r="CH166" s="35"/>
      <c r="CI166" s="35"/>
      <c r="CJ166" s="35"/>
      <c r="CK166" s="35"/>
      <c r="CL166" s="36"/>
    </row>
    <row r="167" spans="2:90" ht="18.75" customHeight="1">
      <c r="B167" s="44"/>
      <c r="C167" s="35"/>
      <c r="D167" s="35"/>
      <c r="E167" s="35"/>
      <c r="F167" s="35"/>
      <c r="G167" s="35"/>
      <c r="H167" s="35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44"/>
      <c r="BW167" s="44"/>
      <c r="BX167" s="44"/>
      <c r="BY167" s="44"/>
      <c r="BZ167" s="35"/>
      <c r="CA167" s="35"/>
      <c r="CB167" s="35"/>
      <c r="CC167" s="35"/>
      <c r="CD167" s="44"/>
      <c r="CE167" s="35"/>
      <c r="CF167" s="35"/>
      <c r="CG167" s="35"/>
      <c r="CH167" s="35"/>
      <c r="CI167" s="35"/>
      <c r="CJ167" s="35"/>
      <c r="CK167" s="35"/>
      <c r="CL167" s="36"/>
    </row>
    <row r="168" spans="2:90" ht="18.75" customHeight="1">
      <c r="B168" s="44"/>
      <c r="C168" s="35"/>
      <c r="D168" s="35"/>
      <c r="E168" s="35"/>
      <c r="F168" s="35"/>
      <c r="G168" s="35"/>
      <c r="H168" s="35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44"/>
      <c r="BW168" s="44"/>
      <c r="BX168" s="44"/>
      <c r="BY168" s="44"/>
      <c r="BZ168" s="35"/>
      <c r="CA168" s="35"/>
      <c r="CB168" s="35"/>
      <c r="CC168" s="35"/>
      <c r="CD168" s="44"/>
      <c r="CE168" s="35"/>
      <c r="CF168" s="35"/>
      <c r="CG168" s="35"/>
      <c r="CH168" s="35"/>
      <c r="CI168" s="35"/>
      <c r="CJ168" s="35"/>
      <c r="CK168" s="35"/>
      <c r="CL168" s="36"/>
    </row>
    <row r="169" spans="2:90" ht="18.75" customHeight="1">
      <c r="B169" s="44"/>
      <c r="C169" s="35"/>
      <c r="D169" s="35"/>
      <c r="E169" s="35"/>
      <c r="F169" s="35"/>
      <c r="G169" s="35"/>
      <c r="H169" s="35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44"/>
      <c r="BW169" s="44"/>
      <c r="BX169" s="44"/>
      <c r="BY169" s="44"/>
      <c r="BZ169" s="35"/>
      <c r="CA169" s="35"/>
      <c r="CB169" s="35"/>
      <c r="CC169" s="35"/>
      <c r="CD169" s="44"/>
      <c r="CE169" s="35"/>
      <c r="CF169" s="35"/>
      <c r="CG169" s="35"/>
      <c r="CH169" s="35"/>
      <c r="CI169" s="35"/>
      <c r="CJ169" s="35"/>
      <c r="CK169" s="35"/>
      <c r="CL169" s="36"/>
    </row>
    <row r="170" spans="2:90" ht="18.75" customHeight="1">
      <c r="B170" s="44"/>
      <c r="C170" s="35"/>
      <c r="D170" s="35"/>
      <c r="E170" s="35"/>
      <c r="F170" s="35"/>
      <c r="G170" s="35"/>
      <c r="H170" s="35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44"/>
      <c r="BW170" s="44"/>
      <c r="BX170" s="44"/>
      <c r="BY170" s="44"/>
      <c r="BZ170" s="35"/>
      <c r="CA170" s="35"/>
      <c r="CB170" s="35"/>
      <c r="CC170" s="35"/>
      <c r="CD170" s="44"/>
      <c r="CE170" s="35"/>
      <c r="CF170" s="35"/>
      <c r="CG170" s="35"/>
      <c r="CH170" s="35"/>
      <c r="CI170" s="35"/>
      <c r="CJ170" s="35"/>
      <c r="CK170" s="35"/>
      <c r="CL170" s="36"/>
    </row>
    <row r="171" spans="2:90" ht="18.75" customHeight="1">
      <c r="B171" s="44"/>
      <c r="C171" s="35"/>
      <c r="D171" s="35"/>
      <c r="E171" s="35"/>
      <c r="F171" s="35"/>
      <c r="G171" s="35"/>
      <c r="H171" s="35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44"/>
      <c r="BW171" s="44"/>
      <c r="BX171" s="44"/>
      <c r="BY171" s="44"/>
      <c r="BZ171" s="35"/>
      <c r="CA171" s="35"/>
      <c r="CB171" s="35"/>
      <c r="CC171" s="35"/>
      <c r="CD171" s="44"/>
      <c r="CE171" s="35"/>
      <c r="CF171" s="35"/>
      <c r="CG171" s="35"/>
      <c r="CH171" s="35"/>
      <c r="CI171" s="35"/>
      <c r="CJ171" s="35"/>
      <c r="CK171" s="35"/>
      <c r="CL171" s="36"/>
    </row>
    <row r="172" spans="2:90" ht="18.75" customHeight="1">
      <c r="B172" s="44"/>
      <c r="C172" s="35"/>
      <c r="D172" s="35"/>
      <c r="E172" s="35"/>
      <c r="F172" s="35"/>
      <c r="G172" s="35"/>
      <c r="H172" s="35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44"/>
      <c r="BW172" s="44"/>
      <c r="BX172" s="44"/>
      <c r="BY172" s="44"/>
      <c r="BZ172" s="35"/>
      <c r="CA172" s="35"/>
      <c r="CB172" s="35"/>
      <c r="CC172" s="35"/>
      <c r="CD172" s="44"/>
      <c r="CE172" s="35"/>
      <c r="CF172" s="35"/>
      <c r="CG172" s="35"/>
      <c r="CH172" s="35"/>
      <c r="CI172" s="35"/>
      <c r="CJ172" s="35"/>
      <c r="CK172" s="35"/>
      <c r="CL172" s="36"/>
    </row>
    <row r="173" spans="2:90" ht="18.75" customHeight="1">
      <c r="B173" s="44"/>
      <c r="C173" s="35"/>
      <c r="D173" s="35"/>
      <c r="E173" s="35"/>
      <c r="F173" s="35"/>
      <c r="G173" s="35"/>
      <c r="H173" s="35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44"/>
      <c r="BW173" s="44"/>
      <c r="BX173" s="44"/>
      <c r="BY173" s="44"/>
      <c r="BZ173" s="35"/>
      <c r="CA173" s="35"/>
      <c r="CB173" s="35"/>
      <c r="CC173" s="35"/>
      <c r="CD173" s="44"/>
      <c r="CE173" s="35"/>
      <c r="CF173" s="35"/>
      <c r="CG173" s="35"/>
      <c r="CH173" s="35"/>
      <c r="CI173" s="35"/>
      <c r="CJ173" s="35"/>
      <c r="CK173" s="35"/>
      <c r="CL173" s="36"/>
    </row>
    <row r="174" spans="2:90" ht="18.75" customHeight="1">
      <c r="B174" s="44"/>
      <c r="C174" s="35"/>
      <c r="D174" s="35"/>
      <c r="E174" s="35"/>
      <c r="F174" s="35"/>
      <c r="G174" s="35"/>
      <c r="H174" s="35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44"/>
      <c r="BW174" s="44"/>
      <c r="BX174" s="44"/>
      <c r="BY174" s="44"/>
      <c r="BZ174" s="35"/>
      <c r="CA174" s="35"/>
      <c r="CB174" s="35"/>
      <c r="CC174" s="35"/>
      <c r="CD174" s="44"/>
      <c r="CE174" s="35"/>
      <c r="CF174" s="35"/>
      <c r="CG174" s="35"/>
      <c r="CH174" s="35"/>
      <c r="CI174" s="35"/>
      <c r="CJ174" s="35"/>
      <c r="CK174" s="35"/>
      <c r="CL174" s="36"/>
    </row>
    <row r="175" spans="2:90" ht="18.75" customHeight="1">
      <c r="B175" s="44"/>
      <c r="C175" s="35"/>
      <c r="D175" s="35"/>
      <c r="E175" s="35"/>
      <c r="F175" s="35"/>
      <c r="G175" s="35"/>
      <c r="H175" s="35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44"/>
      <c r="BW175" s="44"/>
      <c r="BX175" s="44"/>
      <c r="BY175" s="44"/>
      <c r="BZ175" s="35"/>
      <c r="CA175" s="35"/>
      <c r="CB175" s="35"/>
      <c r="CC175" s="35"/>
      <c r="CD175" s="44"/>
      <c r="CE175" s="35"/>
      <c r="CF175" s="35"/>
      <c r="CG175" s="35"/>
      <c r="CH175" s="35"/>
      <c r="CI175" s="35"/>
      <c r="CJ175" s="35"/>
      <c r="CK175" s="35"/>
      <c r="CL175" s="36"/>
    </row>
    <row r="176" spans="2:90" ht="18.75" customHeight="1">
      <c r="B176" s="44"/>
      <c r="C176" s="35"/>
      <c r="D176" s="35"/>
      <c r="E176" s="35"/>
      <c r="F176" s="35"/>
      <c r="G176" s="35"/>
      <c r="H176" s="35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44"/>
      <c r="BW176" s="44"/>
      <c r="BX176" s="44"/>
      <c r="BY176" s="44"/>
      <c r="BZ176" s="35"/>
      <c r="CA176" s="35"/>
      <c r="CB176" s="35"/>
      <c r="CC176" s="35"/>
      <c r="CD176" s="44"/>
      <c r="CE176" s="35"/>
      <c r="CF176" s="35"/>
      <c r="CG176" s="35"/>
      <c r="CH176" s="35"/>
      <c r="CI176" s="35"/>
      <c r="CJ176" s="35"/>
      <c r="CK176" s="35"/>
      <c r="CL176" s="36"/>
    </row>
    <row r="177" spans="2:90" ht="18.75" customHeight="1">
      <c r="B177" s="44"/>
      <c r="C177" s="35"/>
      <c r="D177" s="35"/>
      <c r="E177" s="35"/>
      <c r="F177" s="35"/>
      <c r="G177" s="35"/>
      <c r="H177" s="35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44"/>
      <c r="BW177" s="44"/>
      <c r="BX177" s="44"/>
      <c r="BY177" s="44"/>
      <c r="BZ177" s="35"/>
      <c r="CA177" s="35"/>
      <c r="CB177" s="35"/>
      <c r="CC177" s="35"/>
      <c r="CD177" s="44"/>
      <c r="CE177" s="35"/>
      <c r="CF177" s="35"/>
      <c r="CG177" s="35"/>
      <c r="CH177" s="35"/>
      <c r="CI177" s="35"/>
      <c r="CJ177" s="35"/>
      <c r="CK177" s="35"/>
      <c r="CL177" s="36"/>
    </row>
    <row r="178" spans="2:90" ht="18.75" customHeight="1">
      <c r="B178" s="44"/>
      <c r="C178" s="35"/>
      <c r="D178" s="35"/>
      <c r="E178" s="35"/>
      <c r="F178" s="35"/>
      <c r="G178" s="35"/>
      <c r="H178" s="35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44"/>
      <c r="BW178" s="44"/>
      <c r="BX178" s="44"/>
      <c r="BY178" s="44"/>
      <c r="BZ178" s="35"/>
      <c r="CA178" s="35"/>
      <c r="CB178" s="35"/>
      <c r="CC178" s="35"/>
      <c r="CD178" s="44"/>
      <c r="CE178" s="35"/>
      <c r="CF178" s="35"/>
      <c r="CG178" s="35"/>
      <c r="CH178" s="35"/>
      <c r="CI178" s="35"/>
      <c r="CJ178" s="35"/>
      <c r="CK178" s="35"/>
      <c r="CL178" s="36"/>
    </row>
    <row r="179" spans="2:90" ht="18.75" customHeight="1">
      <c r="B179" s="44"/>
      <c r="C179" s="35"/>
      <c r="D179" s="35"/>
      <c r="E179" s="35"/>
      <c r="F179" s="35"/>
      <c r="G179" s="35"/>
      <c r="H179" s="35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44"/>
      <c r="BW179" s="44"/>
      <c r="BX179" s="44"/>
      <c r="BY179" s="44"/>
      <c r="BZ179" s="35"/>
      <c r="CA179" s="35"/>
      <c r="CB179" s="35"/>
      <c r="CC179" s="35"/>
      <c r="CD179" s="44"/>
      <c r="CE179" s="35"/>
      <c r="CF179" s="35"/>
      <c r="CG179" s="35"/>
      <c r="CH179" s="35"/>
      <c r="CI179" s="35"/>
      <c r="CJ179" s="35"/>
      <c r="CK179" s="35"/>
      <c r="CL179" s="36"/>
    </row>
    <row r="180" spans="2:90" ht="18.75" customHeight="1">
      <c r="B180" s="44"/>
      <c r="C180" s="35"/>
      <c r="D180" s="35"/>
      <c r="E180" s="35"/>
      <c r="F180" s="35"/>
      <c r="G180" s="35"/>
      <c r="H180" s="35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44"/>
      <c r="BW180" s="44"/>
      <c r="BX180" s="44"/>
      <c r="BY180" s="44"/>
      <c r="BZ180" s="35"/>
      <c r="CA180" s="35"/>
      <c r="CB180" s="35"/>
      <c r="CC180" s="35"/>
      <c r="CD180" s="44"/>
      <c r="CE180" s="35"/>
      <c r="CF180" s="35"/>
      <c r="CG180" s="35"/>
      <c r="CH180" s="35"/>
      <c r="CI180" s="35"/>
      <c r="CJ180" s="35"/>
      <c r="CK180" s="35"/>
      <c r="CL180" s="36"/>
    </row>
    <row r="181" spans="2:90" ht="18.75" customHeight="1">
      <c r="B181" s="44"/>
      <c r="C181" s="35"/>
      <c r="D181" s="35"/>
      <c r="E181" s="35"/>
      <c r="F181" s="35"/>
      <c r="G181" s="35"/>
      <c r="H181" s="35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44"/>
      <c r="BW181" s="44"/>
      <c r="BX181" s="44"/>
      <c r="BY181" s="44"/>
      <c r="BZ181" s="35"/>
      <c r="CA181" s="35"/>
      <c r="CB181" s="35"/>
      <c r="CC181" s="35"/>
      <c r="CD181" s="44"/>
      <c r="CE181" s="35"/>
      <c r="CF181" s="35"/>
      <c r="CG181" s="35"/>
      <c r="CH181" s="35"/>
      <c r="CI181" s="35"/>
      <c r="CJ181" s="35"/>
      <c r="CK181" s="35"/>
      <c r="CL181" s="36"/>
    </row>
    <row r="182" spans="2:90" ht="18.75" customHeight="1">
      <c r="B182" s="44"/>
      <c r="C182" s="35"/>
      <c r="D182" s="35"/>
      <c r="E182" s="35"/>
      <c r="F182" s="35"/>
      <c r="G182" s="35"/>
      <c r="H182" s="35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44"/>
      <c r="BW182" s="44"/>
      <c r="BX182" s="44"/>
      <c r="BY182" s="44"/>
      <c r="BZ182" s="35"/>
      <c r="CA182" s="35"/>
      <c r="CB182" s="35"/>
      <c r="CC182" s="35"/>
      <c r="CD182" s="44"/>
      <c r="CE182" s="35"/>
      <c r="CF182" s="35"/>
      <c r="CG182" s="35"/>
      <c r="CH182" s="35"/>
      <c r="CI182" s="35"/>
      <c r="CJ182" s="35"/>
      <c r="CK182" s="35"/>
      <c r="CL182" s="36"/>
    </row>
    <row r="183" spans="2:90" ht="18.75" customHeight="1">
      <c r="B183" s="44"/>
      <c r="C183" s="35"/>
      <c r="D183" s="35"/>
      <c r="E183" s="35"/>
      <c r="F183" s="35"/>
      <c r="G183" s="35"/>
      <c r="H183" s="35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44"/>
      <c r="BW183" s="44"/>
      <c r="BX183" s="44"/>
      <c r="BY183" s="44"/>
      <c r="BZ183" s="35"/>
      <c r="CA183" s="35"/>
      <c r="CB183" s="35"/>
      <c r="CC183" s="35"/>
      <c r="CD183" s="44"/>
      <c r="CE183" s="35"/>
      <c r="CF183" s="35"/>
      <c r="CG183" s="35"/>
      <c r="CH183" s="35"/>
      <c r="CI183" s="35"/>
      <c r="CJ183" s="35"/>
      <c r="CK183" s="35"/>
      <c r="CL183" s="36"/>
    </row>
    <row r="184" spans="2:90" ht="18.75" customHeight="1">
      <c r="B184" s="44"/>
      <c r="C184" s="35"/>
      <c r="D184" s="35"/>
      <c r="E184" s="35"/>
      <c r="F184" s="35"/>
      <c r="G184" s="35"/>
      <c r="H184" s="35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44"/>
      <c r="BW184" s="44"/>
      <c r="BX184" s="44"/>
      <c r="BY184" s="44"/>
      <c r="BZ184" s="35"/>
      <c r="CA184" s="35"/>
      <c r="CB184" s="35"/>
      <c r="CC184" s="35"/>
      <c r="CD184" s="44"/>
      <c r="CE184" s="35"/>
      <c r="CF184" s="35"/>
      <c r="CG184" s="35"/>
      <c r="CH184" s="35"/>
      <c r="CI184" s="35"/>
      <c r="CJ184" s="35"/>
      <c r="CK184" s="35"/>
      <c r="CL184" s="36"/>
    </row>
    <row r="185" spans="2:90" ht="18.75" customHeight="1">
      <c r="B185" s="44"/>
      <c r="C185" s="35"/>
      <c r="D185" s="35"/>
      <c r="E185" s="35"/>
      <c r="F185" s="35"/>
      <c r="G185" s="35"/>
      <c r="H185" s="35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44"/>
      <c r="BW185" s="44"/>
      <c r="BX185" s="44"/>
      <c r="BY185" s="44"/>
      <c r="BZ185" s="35"/>
      <c r="CA185" s="35"/>
      <c r="CB185" s="35"/>
      <c r="CC185" s="35"/>
      <c r="CD185" s="44"/>
      <c r="CE185" s="35"/>
      <c r="CF185" s="35"/>
      <c r="CG185" s="35"/>
      <c r="CH185" s="35"/>
      <c r="CI185" s="35"/>
      <c r="CJ185" s="35"/>
      <c r="CK185" s="35"/>
      <c r="CL185" s="36"/>
    </row>
    <row r="186" spans="2:90" ht="18.75" customHeight="1">
      <c r="B186" s="44"/>
      <c r="C186" s="35"/>
      <c r="D186" s="35"/>
      <c r="E186" s="35"/>
      <c r="F186" s="35"/>
      <c r="G186" s="35"/>
      <c r="H186" s="35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44"/>
      <c r="BW186" s="44"/>
      <c r="BX186" s="44"/>
      <c r="BY186" s="44"/>
      <c r="BZ186" s="35"/>
      <c r="CA186" s="35"/>
      <c r="CB186" s="35"/>
      <c r="CC186" s="35"/>
      <c r="CD186" s="44"/>
      <c r="CE186" s="35"/>
      <c r="CF186" s="35"/>
      <c r="CG186" s="35"/>
      <c r="CH186" s="35"/>
      <c r="CI186" s="35"/>
      <c r="CJ186" s="35"/>
      <c r="CK186" s="35"/>
      <c r="CL186" s="36"/>
    </row>
    <row r="187" spans="2:90" ht="18.75" customHeight="1">
      <c r="B187" s="44"/>
      <c r="C187" s="35"/>
      <c r="D187" s="35"/>
      <c r="E187" s="35"/>
      <c r="F187" s="35"/>
      <c r="G187" s="35"/>
      <c r="H187" s="35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44"/>
      <c r="BW187" s="44"/>
      <c r="BX187" s="44"/>
      <c r="BY187" s="44"/>
      <c r="BZ187" s="35"/>
      <c r="CA187" s="35"/>
      <c r="CB187" s="35"/>
      <c r="CC187" s="35"/>
      <c r="CD187" s="44"/>
      <c r="CE187" s="35"/>
      <c r="CF187" s="35"/>
      <c r="CG187" s="35"/>
      <c r="CH187" s="35"/>
      <c r="CI187" s="35"/>
      <c r="CJ187" s="35"/>
      <c r="CK187" s="35"/>
      <c r="CL187" s="36"/>
    </row>
    <row r="188" spans="2:90" ht="18.75" customHeight="1">
      <c r="B188" s="44"/>
      <c r="C188" s="35"/>
      <c r="D188" s="35"/>
      <c r="E188" s="35"/>
      <c r="F188" s="35"/>
      <c r="G188" s="35"/>
      <c r="H188" s="35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44"/>
      <c r="BW188" s="44"/>
      <c r="BX188" s="44"/>
      <c r="BY188" s="44"/>
      <c r="BZ188" s="35"/>
      <c r="CA188" s="35"/>
      <c r="CB188" s="35"/>
      <c r="CC188" s="35"/>
      <c r="CD188" s="44"/>
      <c r="CE188" s="35"/>
      <c r="CF188" s="35"/>
      <c r="CG188" s="35"/>
      <c r="CH188" s="35"/>
      <c r="CI188" s="35"/>
      <c r="CJ188" s="35"/>
      <c r="CK188" s="35"/>
      <c r="CL188" s="36"/>
    </row>
    <row r="189" spans="2:90" ht="18.75" customHeight="1">
      <c r="B189" s="44"/>
      <c r="C189" s="35"/>
      <c r="D189" s="35"/>
      <c r="E189" s="35"/>
      <c r="F189" s="35"/>
      <c r="G189" s="35"/>
      <c r="H189" s="35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44"/>
      <c r="BW189" s="44"/>
      <c r="BX189" s="44"/>
      <c r="BY189" s="44"/>
      <c r="BZ189" s="35"/>
      <c r="CA189" s="35"/>
      <c r="CB189" s="35"/>
      <c r="CC189" s="35"/>
      <c r="CD189" s="44"/>
      <c r="CE189" s="35"/>
      <c r="CF189" s="35"/>
      <c r="CG189" s="35"/>
      <c r="CH189" s="35"/>
      <c r="CI189" s="35"/>
      <c r="CJ189" s="35"/>
      <c r="CK189" s="35"/>
      <c r="CL189" s="36"/>
    </row>
    <row r="190" spans="2:90" ht="18.75" customHeight="1">
      <c r="B190" s="44"/>
      <c r="C190" s="35"/>
      <c r="D190" s="35"/>
      <c r="E190" s="35"/>
      <c r="F190" s="35"/>
      <c r="G190" s="35"/>
      <c r="H190" s="35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44"/>
      <c r="BW190" s="44"/>
      <c r="BX190" s="44"/>
      <c r="BY190" s="44"/>
      <c r="BZ190" s="35"/>
      <c r="CA190" s="35"/>
      <c r="CB190" s="35"/>
      <c r="CC190" s="35"/>
      <c r="CD190" s="44"/>
      <c r="CE190" s="35"/>
      <c r="CF190" s="35"/>
      <c r="CG190" s="35"/>
      <c r="CH190" s="35"/>
      <c r="CI190" s="35"/>
      <c r="CJ190" s="35"/>
      <c r="CK190" s="35"/>
      <c r="CL190" s="36"/>
    </row>
    <row r="191" spans="2:90" ht="18.75" customHeight="1">
      <c r="B191" s="44"/>
      <c r="C191" s="35"/>
      <c r="D191" s="35"/>
      <c r="E191" s="35"/>
      <c r="F191" s="35"/>
      <c r="G191" s="35"/>
      <c r="H191" s="35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44"/>
      <c r="BW191" s="44"/>
      <c r="BX191" s="44"/>
      <c r="BY191" s="44"/>
      <c r="BZ191" s="35"/>
      <c r="CA191" s="35"/>
      <c r="CB191" s="35"/>
      <c r="CC191" s="35"/>
      <c r="CD191" s="44"/>
      <c r="CE191" s="35"/>
      <c r="CF191" s="35"/>
      <c r="CG191" s="35"/>
      <c r="CH191" s="35"/>
      <c r="CI191" s="35"/>
      <c r="CJ191" s="35"/>
      <c r="CK191" s="35"/>
      <c r="CL191" s="36"/>
    </row>
    <row r="192" spans="2:90" ht="18.75" customHeight="1">
      <c r="B192" s="44"/>
      <c r="C192" s="35"/>
      <c r="D192" s="35"/>
      <c r="E192" s="35"/>
      <c r="F192" s="35"/>
      <c r="G192" s="35"/>
      <c r="H192" s="35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44"/>
      <c r="BW192" s="44"/>
      <c r="BX192" s="44"/>
      <c r="BY192" s="44"/>
      <c r="BZ192" s="35"/>
      <c r="CA192" s="35"/>
      <c r="CB192" s="35"/>
      <c r="CC192" s="35"/>
      <c r="CD192" s="44"/>
      <c r="CE192" s="35"/>
      <c r="CF192" s="35"/>
      <c r="CG192" s="35"/>
      <c r="CH192" s="35"/>
      <c r="CI192" s="35"/>
      <c r="CJ192" s="35"/>
      <c r="CK192" s="35"/>
      <c r="CL192" s="36"/>
    </row>
    <row r="193" spans="2:90" ht="18.75" customHeight="1">
      <c r="B193" s="44"/>
      <c r="C193" s="35"/>
      <c r="D193" s="35"/>
      <c r="E193" s="35"/>
      <c r="F193" s="35"/>
      <c r="G193" s="35"/>
      <c r="H193" s="35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44"/>
      <c r="BW193" s="44"/>
      <c r="BX193" s="44"/>
      <c r="BY193" s="44"/>
      <c r="BZ193" s="35"/>
      <c r="CA193" s="35"/>
      <c r="CB193" s="35"/>
      <c r="CC193" s="35"/>
      <c r="CD193" s="44"/>
      <c r="CE193" s="35"/>
      <c r="CF193" s="35"/>
      <c r="CG193" s="35"/>
      <c r="CH193" s="35"/>
      <c r="CI193" s="35"/>
      <c r="CJ193" s="35"/>
      <c r="CK193" s="35"/>
      <c r="CL193" s="36"/>
    </row>
    <row r="194" spans="2:90" ht="18.75" customHeight="1"/>
    <row r="195" spans="2:90" ht="18.75" customHeight="1"/>
    <row r="196" spans="2:90" ht="18.75" customHeight="1"/>
    <row r="197" spans="2:90" ht="18.75" customHeight="1"/>
    <row r="198" spans="2:90" ht="18.75" customHeight="1"/>
    <row r="199" spans="2:90" ht="18.75" customHeight="1"/>
    <row r="200" spans="2:90" ht="18.75" customHeight="1"/>
    <row r="201" spans="2:90" ht="18.75" customHeight="1"/>
    <row r="202" spans="2:90" ht="18.75" customHeight="1"/>
    <row r="203" spans="2:90" ht="18.75" customHeight="1"/>
    <row r="204" spans="2:90" ht="18.75" customHeight="1"/>
    <row r="205" spans="2:90" ht="18.75" customHeight="1"/>
    <row r="206" spans="2:90" ht="18.75" customHeight="1"/>
    <row r="207" spans="2:90" ht="18.75" customHeight="1"/>
    <row r="208" spans="2:90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</sheetData>
  <phoneticPr fontId="5"/>
  <dataValidations count="1">
    <dataValidation type="list" allowBlank="1" showErrorMessage="1" sqref="B8:CS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177</v>
      </c>
      <c r="F8" s="4" t="s">
        <v>177</v>
      </c>
      <c r="G8" s="4" t="s">
        <v>177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.625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126</v>
      </c>
      <c r="D4" s="3" t="s">
        <v>98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127</v>
      </c>
      <c r="D9" s="6" t="s">
        <v>99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129</v>
      </c>
      <c r="E4" s="3" t="s">
        <v>130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6" t="s">
        <v>131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 t="s">
        <v>132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 t="s">
        <v>133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134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135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136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137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138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139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140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141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142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143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144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145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146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147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149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652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653</v>
      </c>
      <c r="F4" s="3" t="s">
        <v>655</v>
      </c>
      <c r="G4" s="3" t="s">
        <v>212</v>
      </c>
      <c r="H4" s="3" t="s">
        <v>203</v>
      </c>
      <c r="I4" s="3" t="s">
        <v>658</v>
      </c>
      <c r="J4" s="3" t="s">
        <v>660</v>
      </c>
      <c r="K4" s="3" t="s">
        <v>663</v>
      </c>
      <c r="L4" s="3" t="s">
        <v>665</v>
      </c>
      <c r="M4" s="3" t="s">
        <v>666</v>
      </c>
      <c r="N4" s="3" t="s">
        <v>820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177</v>
      </c>
      <c r="H8" s="4" t="s">
        <v>177</v>
      </c>
      <c r="I8" s="4" t="s">
        <v>648</v>
      </c>
      <c r="J8" s="4" t="s">
        <v>177</v>
      </c>
      <c r="K8" s="4" t="s">
        <v>177</v>
      </c>
      <c r="L8" s="4" t="s">
        <v>177</v>
      </c>
      <c r="M8" s="4" t="s">
        <v>177</v>
      </c>
      <c r="N8" s="4" t="s">
        <v>177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654</v>
      </c>
      <c r="F9" s="9" t="s">
        <v>656</v>
      </c>
      <c r="G9" s="9" t="s">
        <v>853</v>
      </c>
      <c r="H9" s="5" t="s">
        <v>657</v>
      </c>
      <c r="I9" s="6" t="s">
        <v>661</v>
      </c>
      <c r="J9" s="6" t="s">
        <v>662</v>
      </c>
      <c r="K9" s="6" t="s">
        <v>664</v>
      </c>
      <c r="L9" s="6" t="s">
        <v>668</v>
      </c>
      <c r="M9" s="6" t="s">
        <v>667</v>
      </c>
      <c r="N9" s="6" t="s">
        <v>821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6" t="s">
        <v>12</v>
      </c>
      <c r="B10" s="5"/>
      <c r="C10" s="6"/>
      <c r="D10" s="6"/>
      <c r="E10" s="6" t="s">
        <v>786</v>
      </c>
      <c r="F10" s="6" t="s">
        <v>659</v>
      </c>
      <c r="G10" s="6" t="s">
        <v>817</v>
      </c>
      <c r="H10" s="6" t="s">
        <v>854</v>
      </c>
      <c r="I10" s="6"/>
      <c r="J10" s="6" t="s">
        <v>696</v>
      </c>
      <c r="K10" s="6"/>
      <c r="L10" s="6" t="s">
        <v>659</v>
      </c>
      <c r="M10" s="6" t="s">
        <v>669</v>
      </c>
      <c r="N10" s="6" t="s">
        <v>785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7" t="s">
        <v>108</v>
      </c>
      <c r="B11" s="27">
        <v>1</v>
      </c>
      <c r="C11" s="28" t="s">
        <v>670</v>
      </c>
      <c r="D11" s="28" t="s">
        <v>671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2</v>
      </c>
      <c r="K11" s="27">
        <v>0</v>
      </c>
      <c r="L11" s="27">
        <v>0</v>
      </c>
      <c r="M11" s="27">
        <v>0</v>
      </c>
      <c r="N11" s="27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7"/>
      <c r="B12" s="29">
        <v>2</v>
      </c>
      <c r="C12" s="28" t="s">
        <v>672</v>
      </c>
      <c r="D12" s="28" t="s">
        <v>684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3</v>
      </c>
      <c r="K12" s="27">
        <v>0</v>
      </c>
      <c r="L12" s="27">
        <v>0</v>
      </c>
      <c r="M12" s="27">
        <v>0</v>
      </c>
      <c r="N12" s="29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7"/>
      <c r="B13" s="29">
        <v>3</v>
      </c>
      <c r="C13" s="28" t="s">
        <v>697</v>
      </c>
      <c r="D13" s="28" t="s">
        <v>698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4</v>
      </c>
      <c r="K13" s="27">
        <v>0</v>
      </c>
      <c r="L13" s="27">
        <v>0</v>
      </c>
      <c r="M13" s="27">
        <v>0</v>
      </c>
      <c r="N13" s="27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7">
        <v>4</v>
      </c>
      <c r="C14" s="28" t="s">
        <v>673</v>
      </c>
      <c r="D14" s="28" t="s">
        <v>685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5</v>
      </c>
      <c r="K14" s="27">
        <v>0</v>
      </c>
      <c r="L14" s="27">
        <v>0</v>
      </c>
      <c r="M14" s="27">
        <v>0</v>
      </c>
      <c r="N14" s="29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5</v>
      </c>
      <c r="C15" s="28" t="s">
        <v>674</v>
      </c>
      <c r="D15" s="28" t="s">
        <v>686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7</v>
      </c>
      <c r="K15" s="27">
        <v>0</v>
      </c>
      <c r="L15" s="27">
        <v>0</v>
      </c>
      <c r="M15" s="27">
        <v>0</v>
      </c>
      <c r="N15" s="27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9">
        <v>6</v>
      </c>
      <c r="C16" s="28" t="s">
        <v>675</v>
      </c>
      <c r="D16" s="28" t="s">
        <v>687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8</v>
      </c>
      <c r="K16" s="27">
        <v>0</v>
      </c>
      <c r="L16" s="27">
        <v>0</v>
      </c>
      <c r="M16" s="27">
        <v>0</v>
      </c>
      <c r="N16" s="29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7">
        <v>7</v>
      </c>
      <c r="C17" s="28" t="s">
        <v>676</v>
      </c>
      <c r="D17" s="28" t="s">
        <v>688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9</v>
      </c>
      <c r="K17" s="27">
        <v>0</v>
      </c>
      <c r="L17" s="27">
        <v>0</v>
      </c>
      <c r="M17" s="27">
        <v>0</v>
      </c>
      <c r="N17" s="27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8</v>
      </c>
      <c r="C18" s="28" t="s">
        <v>677</v>
      </c>
      <c r="D18" s="28" t="s">
        <v>689</v>
      </c>
      <c r="E18" s="28">
        <v>1</v>
      </c>
      <c r="F18" s="28">
        <v>1</v>
      </c>
      <c r="G18" s="28">
        <v>2</v>
      </c>
      <c r="H18" s="28">
        <v>0</v>
      </c>
      <c r="I18" s="28" t="b">
        <v>0</v>
      </c>
      <c r="J18" s="28">
        <v>10</v>
      </c>
      <c r="K18" s="27">
        <v>0</v>
      </c>
      <c r="L18" s="27">
        <v>0</v>
      </c>
      <c r="M18" s="27">
        <v>0</v>
      </c>
      <c r="N18" s="29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9">
        <v>9</v>
      </c>
      <c r="C19" s="28" t="s">
        <v>678</v>
      </c>
      <c r="D19" s="28" t="s">
        <v>690</v>
      </c>
      <c r="E19" s="28">
        <v>1</v>
      </c>
      <c r="F19" s="28">
        <v>2</v>
      </c>
      <c r="G19" s="28">
        <v>2</v>
      </c>
      <c r="H19" s="28">
        <v>0</v>
      </c>
      <c r="I19" s="28" t="b">
        <v>0</v>
      </c>
      <c r="J19" s="28">
        <v>11</v>
      </c>
      <c r="K19" s="27">
        <v>0</v>
      </c>
      <c r="L19" s="27">
        <v>0</v>
      </c>
      <c r="M19" s="27">
        <v>0</v>
      </c>
      <c r="N19" s="27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7">
        <v>10</v>
      </c>
      <c r="C20" s="28" t="s">
        <v>679</v>
      </c>
      <c r="D20" s="28" t="s">
        <v>691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12</v>
      </c>
      <c r="K20" s="27">
        <v>0</v>
      </c>
      <c r="L20" s="27">
        <v>0</v>
      </c>
      <c r="M20" s="27">
        <v>0</v>
      </c>
      <c r="N20" s="29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11</v>
      </c>
      <c r="C21" s="28" t="s">
        <v>699</v>
      </c>
      <c r="D21" s="28" t="s">
        <v>700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13</v>
      </c>
      <c r="K21" s="27">
        <v>0</v>
      </c>
      <c r="L21" s="27">
        <v>0</v>
      </c>
      <c r="M21" s="27">
        <v>0</v>
      </c>
      <c r="N21" s="27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9">
        <v>12</v>
      </c>
      <c r="C22" s="28" t="s">
        <v>680</v>
      </c>
      <c r="D22" s="28" t="s">
        <v>692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14</v>
      </c>
      <c r="K22" s="27">
        <v>0</v>
      </c>
      <c r="L22" s="27">
        <v>0</v>
      </c>
      <c r="M22" s="27">
        <v>0</v>
      </c>
      <c r="N22" s="29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7">
        <v>13</v>
      </c>
      <c r="C23" s="28" t="s">
        <v>681</v>
      </c>
      <c r="D23" s="28" t="s">
        <v>693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15</v>
      </c>
      <c r="K23" s="27">
        <v>0</v>
      </c>
      <c r="L23" s="27">
        <v>0</v>
      </c>
      <c r="M23" s="27">
        <v>0</v>
      </c>
      <c r="N23" s="27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14</v>
      </c>
      <c r="C24" s="28" t="s">
        <v>682</v>
      </c>
      <c r="D24" s="28" t="s">
        <v>694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16</v>
      </c>
      <c r="K24" s="27">
        <v>0</v>
      </c>
      <c r="L24" s="27">
        <v>0</v>
      </c>
      <c r="M24" s="27">
        <v>0</v>
      </c>
      <c r="N24" s="29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9">
        <v>15</v>
      </c>
      <c r="C25" s="28" t="s">
        <v>683</v>
      </c>
      <c r="D25" s="28" t="s">
        <v>695</v>
      </c>
      <c r="E25" s="28">
        <v>1</v>
      </c>
      <c r="F25" s="28">
        <v>1</v>
      </c>
      <c r="G25" s="28">
        <v>2</v>
      </c>
      <c r="H25" s="28">
        <v>0</v>
      </c>
      <c r="I25" s="28" t="b">
        <v>0</v>
      </c>
      <c r="J25" s="28">
        <v>17</v>
      </c>
      <c r="K25" s="27">
        <v>0</v>
      </c>
      <c r="L25" s="27">
        <v>0</v>
      </c>
      <c r="M25" s="27">
        <v>0</v>
      </c>
      <c r="N25" s="27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7">
        <v>16</v>
      </c>
      <c r="C26" s="28" t="s">
        <v>807</v>
      </c>
      <c r="D26" s="28" t="s">
        <v>715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2</v>
      </c>
      <c r="K26" s="27">
        <v>0</v>
      </c>
      <c r="L26" s="27">
        <v>0</v>
      </c>
      <c r="M26" s="27">
        <v>0</v>
      </c>
      <c r="N26" s="29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17</v>
      </c>
      <c r="C27" s="28" t="s">
        <v>701</v>
      </c>
      <c r="D27" s="28" t="s">
        <v>716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3</v>
      </c>
      <c r="K27" s="27">
        <v>0</v>
      </c>
      <c r="L27" s="27">
        <v>0</v>
      </c>
      <c r="M27" s="27">
        <v>0</v>
      </c>
      <c r="N27" s="27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9">
        <v>18</v>
      </c>
      <c r="C28" s="28" t="s">
        <v>702</v>
      </c>
      <c r="D28" s="28" t="s">
        <v>717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4</v>
      </c>
      <c r="K28" s="27">
        <v>0</v>
      </c>
      <c r="L28" s="27">
        <v>0</v>
      </c>
      <c r="M28" s="27">
        <v>0</v>
      </c>
      <c r="N28" s="29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7">
        <v>19</v>
      </c>
      <c r="C29" s="28" t="s">
        <v>703</v>
      </c>
      <c r="D29" s="28" t="s">
        <v>718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5</v>
      </c>
      <c r="K29" s="27">
        <v>0</v>
      </c>
      <c r="L29" s="27">
        <v>0</v>
      </c>
      <c r="M29" s="27">
        <v>0</v>
      </c>
      <c r="N29" s="27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20</v>
      </c>
      <c r="C30" s="28" t="s">
        <v>704</v>
      </c>
      <c r="D30" s="28" t="s">
        <v>719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7</v>
      </c>
      <c r="K30" s="27">
        <v>0</v>
      </c>
      <c r="L30" s="27">
        <v>0</v>
      </c>
      <c r="M30" s="27">
        <v>0</v>
      </c>
      <c r="N30" s="29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9">
        <v>21</v>
      </c>
      <c r="C31" s="28" t="s">
        <v>705</v>
      </c>
      <c r="D31" s="28" t="s">
        <v>720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8</v>
      </c>
      <c r="K31" s="27">
        <v>0</v>
      </c>
      <c r="L31" s="27">
        <v>0</v>
      </c>
      <c r="M31" s="27">
        <v>0</v>
      </c>
      <c r="N31" s="27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7">
        <v>22</v>
      </c>
      <c r="C32" s="28" t="s">
        <v>706</v>
      </c>
      <c r="D32" s="28" t="s">
        <v>721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9</v>
      </c>
      <c r="K32" s="27">
        <v>0</v>
      </c>
      <c r="L32" s="27">
        <v>0</v>
      </c>
      <c r="M32" s="27">
        <v>0</v>
      </c>
      <c r="N32" s="29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23</v>
      </c>
      <c r="C33" s="28" t="s">
        <v>707</v>
      </c>
      <c r="D33" s="28" t="s">
        <v>722</v>
      </c>
      <c r="E33" s="28">
        <v>2</v>
      </c>
      <c r="F33" s="28">
        <v>2</v>
      </c>
      <c r="G33" s="28">
        <v>2</v>
      </c>
      <c r="H33" s="28">
        <v>0</v>
      </c>
      <c r="I33" s="28" t="b">
        <v>0</v>
      </c>
      <c r="J33" s="28">
        <v>10</v>
      </c>
      <c r="K33" s="27">
        <v>0</v>
      </c>
      <c r="L33" s="27">
        <v>0</v>
      </c>
      <c r="M33" s="27">
        <v>0</v>
      </c>
      <c r="N33" s="27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9">
        <v>24</v>
      </c>
      <c r="C34" s="28" t="s">
        <v>708</v>
      </c>
      <c r="D34" s="28" t="s">
        <v>723</v>
      </c>
      <c r="E34" s="28">
        <v>2</v>
      </c>
      <c r="F34" s="28">
        <v>1</v>
      </c>
      <c r="G34" s="28">
        <v>2</v>
      </c>
      <c r="H34" s="28">
        <v>0</v>
      </c>
      <c r="I34" s="28" t="b">
        <v>0</v>
      </c>
      <c r="J34" s="28">
        <v>11</v>
      </c>
      <c r="K34" s="27">
        <v>0</v>
      </c>
      <c r="L34" s="27">
        <v>0</v>
      </c>
      <c r="M34" s="27">
        <v>0</v>
      </c>
      <c r="N34" s="29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7">
        <v>25</v>
      </c>
      <c r="C35" s="28" t="s">
        <v>709</v>
      </c>
      <c r="D35" s="28" t="s">
        <v>724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12</v>
      </c>
      <c r="K35" s="27">
        <v>0</v>
      </c>
      <c r="L35" s="27">
        <v>0</v>
      </c>
      <c r="M35" s="27">
        <v>0</v>
      </c>
      <c r="N35" s="27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26</v>
      </c>
      <c r="C36" s="28" t="s">
        <v>710</v>
      </c>
      <c r="D36" s="28" t="s">
        <v>725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13</v>
      </c>
      <c r="K36" s="27">
        <v>0</v>
      </c>
      <c r="L36" s="27">
        <v>0</v>
      </c>
      <c r="M36" s="27">
        <v>0</v>
      </c>
      <c r="N36" s="29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9">
        <v>27</v>
      </c>
      <c r="C37" s="28" t="s">
        <v>711</v>
      </c>
      <c r="D37" s="28" t="s">
        <v>726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14</v>
      </c>
      <c r="K37" s="27">
        <v>0</v>
      </c>
      <c r="L37" s="27">
        <v>0</v>
      </c>
      <c r="M37" s="27">
        <v>0</v>
      </c>
      <c r="N37" s="27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7">
        <v>28</v>
      </c>
      <c r="C38" s="28" t="s">
        <v>712</v>
      </c>
      <c r="D38" s="28" t="s">
        <v>727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15</v>
      </c>
      <c r="K38" s="27">
        <v>0</v>
      </c>
      <c r="L38" s="27">
        <v>0</v>
      </c>
      <c r="M38" s="27">
        <v>0</v>
      </c>
      <c r="N38" s="29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29</v>
      </c>
      <c r="C39" s="28" t="s">
        <v>713</v>
      </c>
      <c r="D39" s="28" t="s">
        <v>728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16</v>
      </c>
      <c r="K39" s="27">
        <v>0</v>
      </c>
      <c r="L39" s="27">
        <v>0</v>
      </c>
      <c r="M39" s="27">
        <v>0</v>
      </c>
      <c r="N39" s="27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9">
        <v>30</v>
      </c>
      <c r="C40" s="28" t="s">
        <v>714</v>
      </c>
      <c r="D40" s="28" t="s">
        <v>729</v>
      </c>
      <c r="E40" s="28">
        <v>2</v>
      </c>
      <c r="F40" s="28">
        <v>2</v>
      </c>
      <c r="G40" s="28">
        <v>2</v>
      </c>
      <c r="H40" s="28">
        <v>0</v>
      </c>
      <c r="I40" s="28" t="b">
        <v>0</v>
      </c>
      <c r="J40" s="28">
        <v>17</v>
      </c>
      <c r="K40" s="27">
        <v>0</v>
      </c>
      <c r="L40" s="27">
        <v>0</v>
      </c>
      <c r="M40" s="27">
        <v>0</v>
      </c>
      <c r="N40" s="29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7">
        <v>31</v>
      </c>
      <c r="C41" s="29" t="s">
        <v>731</v>
      </c>
      <c r="D41" s="29" t="s">
        <v>738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7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9">
        <v>32</v>
      </c>
      <c r="C42" s="29" t="s">
        <v>730</v>
      </c>
      <c r="D42" s="29" t="s">
        <v>739</v>
      </c>
      <c r="E42" s="29">
        <v>3</v>
      </c>
      <c r="F42" s="29">
        <v>2</v>
      </c>
      <c r="G42" s="28">
        <v>2</v>
      </c>
      <c r="H42" s="28">
        <v>0</v>
      </c>
      <c r="I42" s="29" t="b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732</v>
      </c>
      <c r="D43" s="7" t="s">
        <v>740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7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733</v>
      </c>
      <c r="D44" s="7" t="s">
        <v>741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9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734</v>
      </c>
      <c r="D45" s="7" t="s">
        <v>742</v>
      </c>
      <c r="E45" s="7">
        <v>3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7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735</v>
      </c>
      <c r="D46" s="7" t="s">
        <v>743</v>
      </c>
      <c r="E46" s="7">
        <v>4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9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736</v>
      </c>
      <c r="D47" s="7" t="s">
        <v>744</v>
      </c>
      <c r="E47" s="7">
        <v>5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7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737</v>
      </c>
      <c r="D48" s="7" t="s">
        <v>745</v>
      </c>
      <c r="E48" s="7">
        <v>6</v>
      </c>
      <c r="F48" s="7">
        <v>2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9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746</v>
      </c>
      <c r="D49" s="7" t="s">
        <v>747</v>
      </c>
      <c r="E49" s="7">
        <v>7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7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749</v>
      </c>
      <c r="D50" s="7" t="s">
        <v>748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9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750</v>
      </c>
      <c r="D51" s="7" t="s">
        <v>787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7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751</v>
      </c>
      <c r="D52" s="7" t="s">
        <v>788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9">
        <v>0</v>
      </c>
      <c r="O52" s="13"/>
    </row>
    <row r="53" spans="1:42" ht="18.75" customHeight="1">
      <c r="B53" s="5">
        <v>43</v>
      </c>
      <c r="C53" s="7" t="s">
        <v>752</v>
      </c>
      <c r="D53" s="7" t="s">
        <v>789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7">
        <v>0</v>
      </c>
      <c r="O53" s="13"/>
    </row>
    <row r="54" spans="1:42" ht="18.75" customHeight="1">
      <c r="B54" s="7">
        <v>44</v>
      </c>
      <c r="C54" s="7" t="s">
        <v>753</v>
      </c>
      <c r="D54" s="7" t="s">
        <v>790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9">
        <v>0</v>
      </c>
      <c r="O54" s="13"/>
    </row>
    <row r="55" spans="1:42" ht="18.75" customHeight="1">
      <c r="B55" s="7">
        <v>45</v>
      </c>
      <c r="C55" s="7" t="s">
        <v>754</v>
      </c>
      <c r="D55" s="7" t="s">
        <v>791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7">
        <v>0</v>
      </c>
      <c r="O55" s="13"/>
    </row>
    <row r="56" spans="1:42" ht="18.75" customHeight="1">
      <c r="B56" s="5">
        <v>46</v>
      </c>
      <c r="C56" s="7" t="s">
        <v>755</v>
      </c>
      <c r="D56" s="7" t="s">
        <v>792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9">
        <v>0</v>
      </c>
      <c r="O56" s="13"/>
    </row>
    <row r="57" spans="1:42" ht="18.75" customHeight="1">
      <c r="B57" s="7">
        <v>47</v>
      </c>
      <c r="C57" s="7" t="s">
        <v>756</v>
      </c>
      <c r="D57" s="7" t="s">
        <v>793</v>
      </c>
      <c r="E57" s="7">
        <v>8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7">
        <v>0</v>
      </c>
      <c r="O57" s="13"/>
    </row>
    <row r="58" spans="1:42" ht="18.75" customHeight="1">
      <c r="B58" s="7">
        <v>48</v>
      </c>
      <c r="C58" s="7" t="s">
        <v>808</v>
      </c>
      <c r="D58" s="7" t="s">
        <v>757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9">
        <v>0</v>
      </c>
      <c r="O58" s="13"/>
    </row>
    <row r="59" spans="1:42" ht="18.75" customHeight="1">
      <c r="B59" s="5">
        <v>49</v>
      </c>
      <c r="C59" s="7" t="s">
        <v>809</v>
      </c>
      <c r="D59" s="7" t="s">
        <v>758</v>
      </c>
      <c r="E59" s="7">
        <v>9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7">
        <v>0</v>
      </c>
      <c r="O59" s="13"/>
    </row>
    <row r="60" spans="1:42" ht="18.75" customHeight="1">
      <c r="B60" s="7">
        <v>50</v>
      </c>
      <c r="C60" s="7" t="s">
        <v>759</v>
      </c>
      <c r="D60" s="7" t="s">
        <v>767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9">
        <v>0</v>
      </c>
      <c r="O60" s="13"/>
    </row>
    <row r="61" spans="1:42" ht="18.75" customHeight="1">
      <c r="B61" s="7">
        <v>51</v>
      </c>
      <c r="C61" s="7" t="s">
        <v>760</v>
      </c>
      <c r="D61" s="7" t="s">
        <v>768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7">
        <v>0</v>
      </c>
      <c r="O61" s="13"/>
    </row>
    <row r="62" spans="1:42" ht="18.75" customHeight="1">
      <c r="B62" s="5">
        <v>52</v>
      </c>
      <c r="C62" s="7" t="s">
        <v>761</v>
      </c>
      <c r="D62" s="7" t="s">
        <v>769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9">
        <v>0</v>
      </c>
      <c r="O62" s="13"/>
    </row>
    <row r="63" spans="1:42" ht="18.75" customHeight="1">
      <c r="B63" s="7">
        <v>53</v>
      </c>
      <c r="C63" s="7" t="s">
        <v>762</v>
      </c>
      <c r="D63" s="7" t="s">
        <v>770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7">
        <v>0</v>
      </c>
      <c r="O63" s="13"/>
    </row>
    <row r="64" spans="1:42" ht="18.75" customHeight="1">
      <c r="B64" s="7">
        <v>54</v>
      </c>
      <c r="C64" s="7" t="s">
        <v>763</v>
      </c>
      <c r="D64" s="7" t="s">
        <v>771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9">
        <v>0</v>
      </c>
      <c r="O64" s="13"/>
    </row>
    <row r="65" spans="2:15" ht="18.75" customHeight="1">
      <c r="B65" s="5">
        <v>55</v>
      </c>
      <c r="C65" s="7" t="s">
        <v>764</v>
      </c>
      <c r="D65" s="7" t="s">
        <v>772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7">
        <v>0</v>
      </c>
      <c r="O65" s="13"/>
    </row>
    <row r="66" spans="2:15" ht="18.75" customHeight="1">
      <c r="B66" s="7">
        <v>56</v>
      </c>
      <c r="C66" s="7" t="s">
        <v>765</v>
      </c>
      <c r="D66" s="7" t="s">
        <v>773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9">
        <v>0</v>
      </c>
      <c r="O66" s="13"/>
    </row>
    <row r="67" spans="2:15" ht="18.75" customHeight="1">
      <c r="B67" s="7">
        <v>57</v>
      </c>
      <c r="C67" s="7" t="s">
        <v>766</v>
      </c>
      <c r="D67" s="7" t="s">
        <v>774</v>
      </c>
      <c r="E67" s="7">
        <v>11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7">
        <v>0</v>
      </c>
      <c r="O67" s="13"/>
    </row>
    <row r="68" spans="2:15" ht="18.75" customHeight="1">
      <c r="B68" s="5">
        <v>58</v>
      </c>
      <c r="C68" s="7" t="s">
        <v>775</v>
      </c>
      <c r="D68" s="7" t="s">
        <v>776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9">
        <v>0</v>
      </c>
      <c r="O68" s="13"/>
    </row>
    <row r="69" spans="2:15" ht="18.75" customHeight="1">
      <c r="B69" s="7">
        <v>59</v>
      </c>
      <c r="C69" s="7" t="s">
        <v>777</v>
      </c>
      <c r="D69" s="7" t="s">
        <v>781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7">
        <v>0</v>
      </c>
      <c r="O69" s="13"/>
    </row>
    <row r="70" spans="2:15" ht="18.75" customHeight="1">
      <c r="B70" s="7">
        <v>60</v>
      </c>
      <c r="C70" s="7" t="s">
        <v>778</v>
      </c>
      <c r="D70" s="7" t="s">
        <v>782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9">
        <v>0</v>
      </c>
      <c r="O70" s="13"/>
    </row>
    <row r="71" spans="2:15" ht="18.75" customHeight="1">
      <c r="B71" s="5">
        <v>61</v>
      </c>
      <c r="C71" s="7" t="s">
        <v>779</v>
      </c>
      <c r="D71" s="7" t="s">
        <v>783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7">
        <v>0</v>
      </c>
      <c r="O71" s="13"/>
    </row>
    <row r="72" spans="2:15" ht="18.75" customHeight="1">
      <c r="B72" s="7">
        <v>62</v>
      </c>
      <c r="C72" s="7" t="s">
        <v>780</v>
      </c>
      <c r="D72" s="7" t="s">
        <v>784</v>
      </c>
      <c r="E72" s="7">
        <v>10</v>
      </c>
      <c r="F72" s="7">
        <v>1</v>
      </c>
      <c r="G72" s="28">
        <v>2</v>
      </c>
      <c r="H72" s="28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9">
        <v>0</v>
      </c>
      <c r="O72" s="13"/>
    </row>
    <row r="73" spans="2:15" ht="18.75" customHeight="1">
      <c r="B73" s="7">
        <v>63</v>
      </c>
      <c r="C73" s="7" t="s">
        <v>810</v>
      </c>
      <c r="D73" s="7" t="s">
        <v>814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7">
        <v>1</v>
      </c>
      <c r="O73" s="13"/>
    </row>
    <row r="74" spans="2:15" ht="18.75" customHeight="1">
      <c r="B74" s="5">
        <v>64</v>
      </c>
      <c r="C74" s="7" t="s">
        <v>811</v>
      </c>
      <c r="D74" s="7" t="s">
        <v>814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9">
        <v>1</v>
      </c>
      <c r="O74" s="13"/>
    </row>
    <row r="75" spans="2:15" ht="18.75" customHeight="1">
      <c r="B75" s="7">
        <v>65</v>
      </c>
      <c r="C75" s="7" t="s">
        <v>812</v>
      </c>
      <c r="D75" s="7" t="s">
        <v>814</v>
      </c>
      <c r="E75" s="7">
        <v>14</v>
      </c>
      <c r="F75" s="7">
        <v>2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7">
        <v>1</v>
      </c>
      <c r="O75" s="13"/>
    </row>
    <row r="76" spans="2:15" ht="18.75" customHeight="1">
      <c r="B76" s="7">
        <v>66</v>
      </c>
      <c r="C76" s="7" t="s">
        <v>813</v>
      </c>
      <c r="D76" s="7" t="s">
        <v>815</v>
      </c>
      <c r="E76" s="7">
        <v>14</v>
      </c>
      <c r="F76" s="7">
        <v>1</v>
      </c>
      <c r="G76" s="28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9">
        <v>2</v>
      </c>
      <c r="O76" s="13"/>
    </row>
    <row r="77" spans="2:15" ht="18.75" customHeight="1">
      <c r="B77" s="5">
        <v>67</v>
      </c>
      <c r="C77" s="7" t="s">
        <v>885</v>
      </c>
      <c r="D77" s="7" t="s">
        <v>884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68</v>
      </c>
      <c r="C78" s="7" t="s">
        <v>886</v>
      </c>
      <c r="D78" s="7" t="s">
        <v>889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7">
        <v>69</v>
      </c>
      <c r="C79" s="7" t="s">
        <v>887</v>
      </c>
      <c r="D79" s="7" t="s">
        <v>890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5">
        <v>70</v>
      </c>
      <c r="C80" s="7" t="s">
        <v>888</v>
      </c>
      <c r="D80" s="7" t="s">
        <v>891</v>
      </c>
      <c r="E80" s="7">
        <v>8</v>
      </c>
      <c r="F80" s="7">
        <v>1</v>
      </c>
      <c r="G80" s="28">
        <v>2</v>
      </c>
      <c r="H80" s="28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9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6" t="s">
        <v>0</v>
      </c>
      <c r="B2" s="7" t="s">
        <v>196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902</v>
      </c>
      <c r="G4" s="3" t="s">
        <v>217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6" t="s">
        <v>5</v>
      </c>
      <c r="B6" s="3"/>
      <c r="C6" s="3"/>
      <c r="D6" s="3"/>
      <c r="E6" s="3"/>
      <c r="F6" s="3"/>
      <c r="G6" s="3" t="s">
        <v>200</v>
      </c>
      <c r="H6" s="3" t="s">
        <v>203</v>
      </c>
      <c r="I6" s="3" t="s">
        <v>878</v>
      </c>
      <c r="J6" s="3" t="s">
        <v>212</v>
      </c>
      <c r="K6" s="3" t="s">
        <v>639</v>
      </c>
      <c r="L6" s="3" t="s">
        <v>198</v>
      </c>
      <c r="M6" s="3" t="s">
        <v>199</v>
      </c>
      <c r="N6" s="3" t="s">
        <v>201</v>
      </c>
      <c r="O6" s="3" t="s">
        <v>641</v>
      </c>
      <c r="P6" s="3" t="s">
        <v>643</v>
      </c>
      <c r="Q6" s="3" t="s">
        <v>645</v>
      </c>
      <c r="R6" s="3" t="s">
        <v>221</v>
      </c>
      <c r="S6" s="3" t="s">
        <v>650</v>
      </c>
      <c r="T6" s="3" t="s">
        <v>202</v>
      </c>
      <c r="U6" s="3" t="s">
        <v>647</v>
      </c>
      <c r="V6" s="3" t="s">
        <v>200</v>
      </c>
      <c r="W6" s="3" t="s">
        <v>203</v>
      </c>
      <c r="X6" s="3" t="s">
        <v>212</v>
      </c>
      <c r="Y6" s="3" t="s">
        <v>639</v>
      </c>
      <c r="Z6" s="3" t="s">
        <v>198</v>
      </c>
      <c r="AA6" s="3" t="s">
        <v>199</v>
      </c>
      <c r="AB6" s="3" t="s">
        <v>201</v>
      </c>
      <c r="AC6" s="3" t="s">
        <v>641</v>
      </c>
      <c r="AD6" s="3" t="s">
        <v>643</v>
      </c>
      <c r="AE6" s="3" t="s">
        <v>645</v>
      </c>
      <c r="AF6" s="3" t="s">
        <v>221</v>
      </c>
      <c r="AG6" s="3" t="s">
        <v>650</v>
      </c>
      <c r="AH6" s="3" t="s">
        <v>202</v>
      </c>
      <c r="AI6" s="3" t="s">
        <v>647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7</v>
      </c>
      <c r="H8" s="4" t="s">
        <v>20</v>
      </c>
      <c r="I8" s="4" t="s">
        <v>879</v>
      </c>
      <c r="J8" s="4" t="s">
        <v>177</v>
      </c>
      <c r="K8" s="4" t="s">
        <v>177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177</v>
      </c>
      <c r="Q8" s="4" t="s">
        <v>177</v>
      </c>
      <c r="R8" s="4" t="s">
        <v>177</v>
      </c>
      <c r="S8" s="4" t="s">
        <v>177</v>
      </c>
      <c r="T8" s="4" t="s">
        <v>7</v>
      </c>
      <c r="U8" s="4" t="s">
        <v>648</v>
      </c>
      <c r="V8" s="4" t="s">
        <v>7</v>
      </c>
      <c r="W8" s="4" t="s">
        <v>20</v>
      </c>
      <c r="X8" s="4" t="s">
        <v>177</v>
      </c>
      <c r="Y8" s="4" t="s">
        <v>177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177</v>
      </c>
      <c r="AE8" s="4" t="s">
        <v>177</v>
      </c>
      <c r="AF8" s="4" t="s">
        <v>177</v>
      </c>
      <c r="AG8" s="4" t="s">
        <v>177</v>
      </c>
      <c r="AH8" s="4" t="s">
        <v>7</v>
      </c>
      <c r="AI8" s="4" t="s">
        <v>648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6" t="s">
        <v>10</v>
      </c>
      <c r="B9" s="5" t="s">
        <v>1448</v>
      </c>
      <c r="C9" s="5" t="s">
        <v>204</v>
      </c>
      <c r="D9" s="6" t="s">
        <v>205</v>
      </c>
      <c r="E9" s="6" t="s">
        <v>213</v>
      </c>
      <c r="F9" s="6" t="s">
        <v>903</v>
      </c>
      <c r="G9" s="5" t="s">
        <v>209</v>
      </c>
      <c r="H9" s="6" t="s">
        <v>206</v>
      </c>
      <c r="I9" s="6" t="s">
        <v>880</v>
      </c>
      <c r="J9" s="6" t="s">
        <v>213</v>
      </c>
      <c r="K9" s="6" t="s">
        <v>640</v>
      </c>
      <c r="L9" s="6" t="s">
        <v>207</v>
      </c>
      <c r="M9" s="5" t="s">
        <v>208</v>
      </c>
      <c r="N9" s="6" t="s">
        <v>210</v>
      </c>
      <c r="O9" s="6" t="s">
        <v>642</v>
      </c>
      <c r="P9" s="6" t="s">
        <v>644</v>
      </c>
      <c r="Q9" s="6" t="s">
        <v>646</v>
      </c>
      <c r="R9" s="6" t="s">
        <v>222</v>
      </c>
      <c r="S9" s="6" t="s">
        <v>651</v>
      </c>
      <c r="T9" s="6" t="s">
        <v>211</v>
      </c>
      <c r="U9" s="6" t="s">
        <v>649</v>
      </c>
      <c r="V9" s="5" t="s">
        <v>209</v>
      </c>
      <c r="W9" s="6" t="s">
        <v>206</v>
      </c>
      <c r="X9" s="6" t="s">
        <v>213</v>
      </c>
      <c r="Y9" s="6" t="s">
        <v>640</v>
      </c>
      <c r="Z9" s="6" t="s">
        <v>207</v>
      </c>
      <c r="AA9" s="5" t="s">
        <v>208</v>
      </c>
      <c r="AB9" s="6" t="s">
        <v>210</v>
      </c>
      <c r="AC9" s="6" t="s">
        <v>642</v>
      </c>
      <c r="AD9" s="6" t="s">
        <v>644</v>
      </c>
      <c r="AE9" s="6" t="s">
        <v>646</v>
      </c>
      <c r="AF9" s="6" t="s">
        <v>222</v>
      </c>
      <c r="AG9" s="6" t="s">
        <v>651</v>
      </c>
      <c r="AH9" s="6" t="s">
        <v>211</v>
      </c>
      <c r="AI9" s="6" t="s">
        <v>649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6" t="s">
        <v>12</v>
      </c>
      <c r="B10" s="6" t="s">
        <v>1307</v>
      </c>
      <c r="C10" s="6"/>
      <c r="D10" s="6"/>
      <c r="E10" s="6" t="s">
        <v>817</v>
      </c>
      <c r="F10" s="6" t="s">
        <v>904</v>
      </c>
      <c r="G10" s="6" t="s">
        <v>785</v>
      </c>
      <c r="H10" s="6" t="s">
        <v>860</v>
      </c>
      <c r="I10" s="6"/>
      <c r="J10" s="6" t="s">
        <v>1297</v>
      </c>
      <c r="K10" s="6"/>
      <c r="L10" s="6" t="s">
        <v>905</v>
      </c>
      <c r="M10" s="6" t="s">
        <v>901</v>
      </c>
      <c r="N10" s="6"/>
      <c r="O10" s="6"/>
      <c r="P10" s="6" t="s">
        <v>901</v>
      </c>
      <c r="Q10" s="6"/>
      <c r="R10" s="5"/>
      <c r="S10" s="5"/>
      <c r="T10" s="6" t="s">
        <v>215</v>
      </c>
      <c r="U10" s="5"/>
      <c r="V10" s="6" t="s">
        <v>785</v>
      </c>
      <c r="W10" s="6" t="s">
        <v>860</v>
      </c>
      <c r="X10" s="6" t="s">
        <v>1297</v>
      </c>
      <c r="Y10" s="6"/>
      <c r="Z10" s="6" t="s">
        <v>816</v>
      </c>
      <c r="AA10" s="6" t="s">
        <v>901</v>
      </c>
      <c r="AB10" s="6"/>
      <c r="AC10" s="6"/>
      <c r="AD10" s="6" t="s">
        <v>901</v>
      </c>
      <c r="AE10" s="6"/>
      <c r="AF10" s="5"/>
      <c r="AG10" s="5"/>
      <c r="AH10" s="6" t="s">
        <v>215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7" t="s">
        <v>108</v>
      </c>
      <c r="B11" s="5">
        <v>100010001</v>
      </c>
      <c r="C11" s="6" t="s">
        <v>368</v>
      </c>
      <c r="D11" s="6" t="s">
        <v>437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7"/>
      <c r="B12" s="5">
        <v>100010002</v>
      </c>
      <c r="C12" s="6" t="s">
        <v>1308</v>
      </c>
      <c r="D12" s="6" t="s">
        <v>437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7"/>
      <c r="B13" s="5">
        <v>100010003</v>
      </c>
      <c r="C13" s="6" t="s">
        <v>1309</v>
      </c>
      <c r="D13" s="6" t="s">
        <v>437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7"/>
      <c r="B14" s="7">
        <v>200010001</v>
      </c>
      <c r="C14" s="6" t="s">
        <v>369</v>
      </c>
      <c r="D14" s="10" t="s">
        <v>818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7"/>
      <c r="B15" s="7">
        <v>200010002</v>
      </c>
      <c r="C15" s="6" t="s">
        <v>1310</v>
      </c>
      <c r="D15" s="10" t="s">
        <v>818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7"/>
      <c r="B16" s="7">
        <v>200010003</v>
      </c>
      <c r="C16" s="6" t="s">
        <v>1311</v>
      </c>
      <c r="D16" s="10" t="s">
        <v>818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370</v>
      </c>
      <c r="D17" s="10" t="s">
        <v>438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1312</v>
      </c>
      <c r="D18" s="10" t="s">
        <v>438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1380</v>
      </c>
      <c r="D19" s="10" t="s">
        <v>438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371</v>
      </c>
      <c r="D20" s="10" t="s">
        <v>439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1313</v>
      </c>
      <c r="D21" s="10" t="s">
        <v>439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1381</v>
      </c>
      <c r="D22" s="10" t="s">
        <v>439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372</v>
      </c>
      <c r="D23" s="10" t="s">
        <v>819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1314</v>
      </c>
      <c r="D24" s="10" t="s">
        <v>819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1382</v>
      </c>
      <c r="D25" s="10" t="s">
        <v>819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373</v>
      </c>
      <c r="D26" s="10" t="s">
        <v>824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1315</v>
      </c>
      <c r="D27" s="10" t="s">
        <v>824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1383</v>
      </c>
      <c r="D28" s="10" t="s">
        <v>824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374</v>
      </c>
      <c r="D29" s="10" t="s">
        <v>825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1316</v>
      </c>
      <c r="D30" s="10" t="s">
        <v>825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1384</v>
      </c>
      <c r="D31" s="10" t="s">
        <v>825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375</v>
      </c>
      <c r="D32" s="6" t="s">
        <v>437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1317</v>
      </c>
      <c r="D33" s="6" t="s">
        <v>437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1385</v>
      </c>
      <c r="D34" s="6" t="s">
        <v>437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376</v>
      </c>
      <c r="D35" s="10" t="s">
        <v>845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1318</v>
      </c>
      <c r="D36" s="10" t="s">
        <v>845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1386</v>
      </c>
      <c r="D37" s="10" t="s">
        <v>845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377</v>
      </c>
      <c r="D38" s="10" t="s">
        <v>438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1319</v>
      </c>
      <c r="D39" s="10" t="s">
        <v>438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1387</v>
      </c>
      <c r="D40" s="10" t="s">
        <v>438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378</v>
      </c>
      <c r="D41" s="10" t="s">
        <v>439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1320</v>
      </c>
      <c r="D42" s="10" t="s">
        <v>439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1388</v>
      </c>
      <c r="D43" s="10" t="s">
        <v>439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379</v>
      </c>
      <c r="D44" s="10" t="s">
        <v>441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1321</v>
      </c>
      <c r="D45" s="10" t="s">
        <v>441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1389</v>
      </c>
      <c r="D46" s="10" t="s">
        <v>441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380</v>
      </c>
      <c r="D47" s="10" t="s">
        <v>440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1322</v>
      </c>
      <c r="D48" s="10" t="s">
        <v>440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1390</v>
      </c>
      <c r="D49" s="10" t="s">
        <v>440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381</v>
      </c>
      <c r="D50" s="10" t="s">
        <v>826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1323</v>
      </c>
      <c r="D51" s="10" t="s">
        <v>826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1391</v>
      </c>
      <c r="D52" s="10" t="s">
        <v>826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382</v>
      </c>
      <c r="D53" s="10" t="s">
        <v>442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1324</v>
      </c>
      <c r="D54" s="10" t="s">
        <v>442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1392</v>
      </c>
      <c r="D55" s="10" t="s">
        <v>442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1600010001</v>
      </c>
      <c r="C56" s="7" t="s">
        <v>383</v>
      </c>
      <c r="D56" s="10" t="s">
        <v>827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1600010002</v>
      </c>
      <c r="C57" s="7" t="s">
        <v>1325</v>
      </c>
      <c r="D57" s="10" t="s">
        <v>827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5">
        <v>1600010003</v>
      </c>
      <c r="C58" s="7" t="s">
        <v>1393</v>
      </c>
      <c r="D58" s="10" t="s">
        <v>827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7">
        <v>1700010001</v>
      </c>
      <c r="C59" s="7" t="s">
        <v>384</v>
      </c>
      <c r="D59" s="10" t="s">
        <v>443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1700010002</v>
      </c>
      <c r="C60" s="7" t="s">
        <v>1326</v>
      </c>
      <c r="D60" s="10" t="s">
        <v>443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1700010003</v>
      </c>
      <c r="C61" s="7" t="s">
        <v>1394</v>
      </c>
      <c r="D61" s="10" t="s">
        <v>443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1800010001</v>
      </c>
      <c r="C62" s="7" t="s">
        <v>385</v>
      </c>
      <c r="D62" s="10" t="s">
        <v>444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1800010002</v>
      </c>
      <c r="C63" s="7" t="s">
        <v>1327</v>
      </c>
      <c r="D63" s="10" t="s">
        <v>444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B64" s="5">
        <v>1800010003</v>
      </c>
      <c r="C64" s="7" t="s">
        <v>1395</v>
      </c>
      <c r="D64" s="10" t="s">
        <v>444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1:35" ht="18.75" customHeight="1">
      <c r="A65" s="55"/>
      <c r="B65" s="5">
        <v>1900010001</v>
      </c>
      <c r="C65" s="7" t="s">
        <v>857</v>
      </c>
      <c r="D65" s="10" t="s">
        <v>855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1:35" ht="18.75" customHeight="1">
      <c r="B66" s="5">
        <v>1900010002</v>
      </c>
      <c r="C66" s="7" t="s">
        <v>1328</v>
      </c>
      <c r="D66" s="10" t="s">
        <v>855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1:35" ht="18.75" customHeight="1">
      <c r="B67" s="5">
        <v>1900010003</v>
      </c>
      <c r="C67" s="7" t="s">
        <v>1396</v>
      </c>
      <c r="D67" s="10" t="s">
        <v>855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1:35" ht="18.75" customHeight="1">
      <c r="B68" s="7">
        <v>2000010001</v>
      </c>
      <c r="C68" s="7" t="s">
        <v>386</v>
      </c>
      <c r="D68" s="10" t="s">
        <v>856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1:35" ht="18.75" customHeight="1">
      <c r="B69" s="5">
        <v>2000010002</v>
      </c>
      <c r="C69" s="7" t="s">
        <v>1329</v>
      </c>
      <c r="D69" s="10" t="s">
        <v>856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1:35" ht="18.75" customHeight="1">
      <c r="B70" s="5">
        <v>2000010003</v>
      </c>
      <c r="C70" s="7" t="s">
        <v>1397</v>
      </c>
      <c r="D70" s="10" t="s">
        <v>856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1:35" ht="18.75" customHeight="1">
      <c r="B71" s="5">
        <v>2100010001</v>
      </c>
      <c r="C71" s="7" t="s">
        <v>387</v>
      </c>
      <c r="D71" s="10" t="s">
        <v>858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1:35" ht="18.75" customHeight="1">
      <c r="B72" s="5">
        <v>2100010002</v>
      </c>
      <c r="C72" s="7" t="s">
        <v>1330</v>
      </c>
      <c r="D72" s="10" t="s">
        <v>858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1:35" ht="18.75" customHeight="1">
      <c r="B73" s="5">
        <v>2100010003</v>
      </c>
      <c r="C73" s="7" t="s">
        <v>1398</v>
      </c>
      <c r="D73" s="10" t="s">
        <v>858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35" ht="18.75" customHeight="1">
      <c r="B74" s="5">
        <v>2200010001</v>
      </c>
      <c r="C74" s="7" t="s">
        <v>388</v>
      </c>
      <c r="D74" s="10" t="s">
        <v>859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1:35" ht="18.75" customHeight="1">
      <c r="B75" s="5">
        <v>2200010002</v>
      </c>
      <c r="C75" s="7" t="s">
        <v>1331</v>
      </c>
      <c r="D75" s="10" t="s">
        <v>859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1:35" ht="18.75" customHeight="1">
      <c r="B76" s="5">
        <v>2200010003</v>
      </c>
      <c r="C76" s="7" t="s">
        <v>1399</v>
      </c>
      <c r="D76" s="10" t="s">
        <v>859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1:35" ht="18.75" customHeight="1">
      <c r="B77" s="7">
        <v>2300010001</v>
      </c>
      <c r="C77" s="7" t="s">
        <v>389</v>
      </c>
      <c r="D77" s="10" t="s">
        <v>438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1:35" ht="18.75" customHeight="1">
      <c r="B78" s="5">
        <v>2300010002</v>
      </c>
      <c r="C78" s="7" t="s">
        <v>1332</v>
      </c>
      <c r="D78" s="10" t="s">
        <v>438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1:35" ht="18.75" customHeight="1">
      <c r="B79" s="5">
        <v>2300010003</v>
      </c>
      <c r="C79" s="7" t="s">
        <v>1400</v>
      </c>
      <c r="D79" s="10" t="s">
        <v>438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1:35" ht="18.75" customHeight="1">
      <c r="B80" s="5">
        <v>2400010001</v>
      </c>
      <c r="C80" s="7" t="s">
        <v>390</v>
      </c>
      <c r="D80" s="10" t="s">
        <v>445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2400010002</v>
      </c>
      <c r="C81" s="7" t="s">
        <v>1333</v>
      </c>
      <c r="D81" s="10" t="s">
        <v>445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2400010003</v>
      </c>
      <c r="C82" s="7" t="s">
        <v>1401</v>
      </c>
      <c r="D82" s="10" t="s">
        <v>445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2500010001</v>
      </c>
      <c r="C83" s="7" t="s">
        <v>391</v>
      </c>
      <c r="D83" s="10" t="s">
        <v>446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B84" s="5">
        <v>2500010002</v>
      </c>
      <c r="C84" s="7" t="s">
        <v>1334</v>
      </c>
      <c r="D84" s="10" t="s">
        <v>446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</row>
    <row r="85" spans="1:46" ht="18.75" customHeight="1">
      <c r="A85" s="8"/>
      <c r="B85" s="5">
        <v>2500010003</v>
      </c>
      <c r="C85" s="7" t="s">
        <v>1402</v>
      </c>
      <c r="D85" s="10" t="s">
        <v>446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392</v>
      </c>
      <c r="D86" s="10" t="s">
        <v>447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1335</v>
      </c>
      <c r="D87" s="10" t="s">
        <v>447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1403</v>
      </c>
      <c r="D88" s="10" t="s">
        <v>447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393</v>
      </c>
      <c r="D89" s="10" t="s">
        <v>828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1336</v>
      </c>
      <c r="D90" s="10" t="s">
        <v>828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1404</v>
      </c>
      <c r="D91" s="10" t="s">
        <v>828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394</v>
      </c>
      <c r="D92" s="10" t="s">
        <v>829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1337</v>
      </c>
      <c r="D93" s="10" t="s">
        <v>829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1405</v>
      </c>
      <c r="D94" s="10" t="s">
        <v>829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395</v>
      </c>
      <c r="D95" s="10" t="s">
        <v>448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1338</v>
      </c>
      <c r="D96" s="10" t="s">
        <v>448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1406</v>
      </c>
      <c r="D97" s="10" t="s">
        <v>448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396</v>
      </c>
      <c r="D98" s="10" t="s">
        <v>830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1339</v>
      </c>
      <c r="D99" s="10" t="s">
        <v>830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1407</v>
      </c>
      <c r="D100" s="10" t="s">
        <v>830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397</v>
      </c>
      <c r="D101" s="10" t="s">
        <v>831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1340</v>
      </c>
      <c r="D102" s="10" t="s">
        <v>831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1408</v>
      </c>
      <c r="D103" s="10" t="s">
        <v>831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398</v>
      </c>
      <c r="D104" s="10" t="s">
        <v>881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1341</v>
      </c>
      <c r="D105" s="10" t="s">
        <v>881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1409</v>
      </c>
      <c r="D106" s="10" t="s">
        <v>881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399</v>
      </c>
      <c r="D107" s="10" t="s">
        <v>882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1342</v>
      </c>
      <c r="D108" s="10" t="s">
        <v>882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1410</v>
      </c>
      <c r="D109" s="10" t="s">
        <v>882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400</v>
      </c>
      <c r="D110" s="10" t="s">
        <v>892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1343</v>
      </c>
      <c r="D111" s="10" t="s">
        <v>892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1411</v>
      </c>
      <c r="D112" s="10" t="s">
        <v>892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401</v>
      </c>
      <c r="D113" s="10" t="s">
        <v>832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1344</v>
      </c>
      <c r="D114" s="10" t="s">
        <v>832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1412</v>
      </c>
      <c r="D115" s="10" t="s">
        <v>832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402</v>
      </c>
      <c r="D116" s="10" t="s">
        <v>883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1345</v>
      </c>
      <c r="D117" s="10" t="s">
        <v>883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1413</v>
      </c>
      <c r="D118" s="10" t="s">
        <v>883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403</v>
      </c>
      <c r="D119" s="10" t="s">
        <v>539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1346</v>
      </c>
      <c r="D120" s="10" t="s">
        <v>539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1414</v>
      </c>
      <c r="D121" s="10" t="s">
        <v>539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404</v>
      </c>
      <c r="D122" s="10" t="s">
        <v>833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1347</v>
      </c>
      <c r="D123" s="10" t="s">
        <v>833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3800010003</v>
      </c>
      <c r="C124" s="7" t="s">
        <v>1415</v>
      </c>
      <c r="D124" s="10" t="s">
        <v>833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</row>
    <row r="125" spans="1:46" ht="18.75" customHeight="1">
      <c r="B125" s="5">
        <v>3900010001</v>
      </c>
      <c r="C125" s="7" t="s">
        <v>405</v>
      </c>
      <c r="D125" s="10" t="s">
        <v>606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3900010002</v>
      </c>
      <c r="C126" s="7" t="s">
        <v>1348</v>
      </c>
      <c r="D126" s="10" t="s">
        <v>606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3900010003</v>
      </c>
      <c r="C127" s="7" t="s">
        <v>1416</v>
      </c>
      <c r="D127" s="10" t="s">
        <v>606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30">
        <v>3</v>
      </c>
      <c r="W127" s="30">
        <v>6</v>
      </c>
      <c r="X127" s="30">
        <v>2</v>
      </c>
      <c r="Y127" s="30">
        <v>100</v>
      </c>
      <c r="Z127" s="30">
        <v>3</v>
      </c>
      <c r="AA127" s="30">
        <v>0</v>
      </c>
      <c r="AB127" s="30">
        <v>15</v>
      </c>
      <c r="AC127" s="30" t="b">
        <v>0</v>
      </c>
      <c r="AD127" s="30">
        <v>0</v>
      </c>
      <c r="AE127" s="30">
        <v>0</v>
      </c>
      <c r="AF127" s="30">
        <v>3</v>
      </c>
      <c r="AG127" s="30">
        <v>17</v>
      </c>
      <c r="AH127" s="30">
        <v>3</v>
      </c>
      <c r="AI127" s="30" t="b">
        <v>1</v>
      </c>
    </row>
    <row r="128" spans="1:46" ht="18.75" customHeight="1">
      <c r="B128" s="5">
        <v>4000010001</v>
      </c>
      <c r="C128" s="7" t="s">
        <v>406</v>
      </c>
      <c r="D128" s="10" t="s">
        <v>834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4000010002</v>
      </c>
      <c r="C129" s="7" t="s">
        <v>1349</v>
      </c>
      <c r="D129" s="10" t="s">
        <v>834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5">
        <v>4000010003</v>
      </c>
      <c r="C130" s="7" t="s">
        <v>1417</v>
      </c>
      <c r="D130" s="10" t="s">
        <v>834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30">
        <v>2</v>
      </c>
      <c r="W130" s="30">
        <v>6</v>
      </c>
      <c r="X130" s="30">
        <v>5</v>
      </c>
      <c r="Y130" s="30">
        <v>100</v>
      </c>
      <c r="Z130" s="30">
        <v>1</v>
      </c>
      <c r="AA130" s="30">
        <v>4</v>
      </c>
      <c r="AB130" s="30">
        <v>100</v>
      </c>
      <c r="AC130" s="30" t="b">
        <v>0</v>
      </c>
      <c r="AD130" s="30">
        <v>0</v>
      </c>
      <c r="AE130" s="30">
        <v>0</v>
      </c>
      <c r="AF130" s="30">
        <v>2</v>
      </c>
      <c r="AG130" s="30">
        <v>0</v>
      </c>
      <c r="AH130" s="30">
        <v>0</v>
      </c>
      <c r="AI130" s="30" t="b">
        <v>1</v>
      </c>
    </row>
    <row r="131" spans="1:35" ht="18.75" customHeight="1">
      <c r="B131" s="7">
        <v>4100010001</v>
      </c>
      <c r="C131" s="7" t="s">
        <v>407</v>
      </c>
      <c r="D131" s="10" t="s">
        <v>609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1350</v>
      </c>
      <c r="D132" s="10" t="s">
        <v>609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5"/>
      <c r="B133" s="5">
        <v>4100010003</v>
      </c>
      <c r="C133" s="7" t="s">
        <v>1418</v>
      </c>
      <c r="D133" s="10" t="s">
        <v>609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5"/>
      <c r="B134" s="5">
        <v>4200010001</v>
      </c>
      <c r="C134" s="7" t="s">
        <v>408</v>
      </c>
      <c r="D134" s="10" t="s">
        <v>610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5"/>
      <c r="B135" s="5">
        <v>4200010002</v>
      </c>
      <c r="C135" s="7" t="s">
        <v>1351</v>
      </c>
      <c r="D135" s="10" t="s">
        <v>610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5"/>
      <c r="B136" s="5">
        <v>4200010003</v>
      </c>
      <c r="C136" s="7" t="s">
        <v>1419</v>
      </c>
      <c r="D136" s="10" t="s">
        <v>610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5"/>
      <c r="B137" s="5">
        <v>4300010001</v>
      </c>
      <c r="C137" s="7" t="s">
        <v>409</v>
      </c>
      <c r="D137" s="10" t="s">
        <v>611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5"/>
      <c r="B138" s="5">
        <v>4300010002</v>
      </c>
      <c r="C138" s="7" t="s">
        <v>1352</v>
      </c>
      <c r="D138" s="10" t="s">
        <v>611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5"/>
      <c r="B139" s="5">
        <v>4300010003</v>
      </c>
      <c r="C139" s="7" t="s">
        <v>1420</v>
      </c>
      <c r="D139" s="10" t="s">
        <v>611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5"/>
      <c r="B140" s="7">
        <v>4400010001</v>
      </c>
      <c r="C140" s="7" t="s">
        <v>410</v>
      </c>
      <c r="D140" s="10" t="s">
        <v>612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5"/>
      <c r="B141" s="5">
        <v>4400010002</v>
      </c>
      <c r="C141" s="7" t="s">
        <v>1353</v>
      </c>
      <c r="D141" s="10" t="s">
        <v>612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5"/>
      <c r="B142" s="5">
        <v>4400010003</v>
      </c>
      <c r="C142" s="7" t="s">
        <v>1421</v>
      </c>
      <c r="D142" s="10" t="s">
        <v>612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5"/>
      <c r="B143" s="5">
        <v>4500010001</v>
      </c>
      <c r="C143" s="7" t="s">
        <v>411</v>
      </c>
      <c r="D143" s="10" t="s">
        <v>613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5"/>
      <c r="B144" s="5">
        <v>4500010002</v>
      </c>
      <c r="C144" s="7" t="s">
        <v>1354</v>
      </c>
      <c r="D144" s="10" t="s">
        <v>613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5"/>
      <c r="B145" s="5">
        <v>4500010003</v>
      </c>
      <c r="C145" s="7" t="s">
        <v>1422</v>
      </c>
      <c r="D145" s="10" t="s">
        <v>613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412</v>
      </c>
      <c r="D146" s="10" t="s">
        <v>614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1355</v>
      </c>
      <c r="D147" s="10" t="s">
        <v>614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1423</v>
      </c>
      <c r="D148" s="10" t="s">
        <v>614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413</v>
      </c>
      <c r="D149" s="10" t="s">
        <v>615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1356</v>
      </c>
      <c r="D150" s="10" t="s">
        <v>615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1424</v>
      </c>
      <c r="D151" s="10" t="s">
        <v>615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414</v>
      </c>
      <c r="D152" s="10" t="s">
        <v>616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1357</v>
      </c>
      <c r="D153" s="10" t="s">
        <v>616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1425</v>
      </c>
      <c r="D154" s="10" t="s">
        <v>616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415</v>
      </c>
      <c r="D155" s="10" t="s">
        <v>617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1358</v>
      </c>
      <c r="D156" s="10" t="s">
        <v>617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1426</v>
      </c>
      <c r="D157" s="10" t="s">
        <v>617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416</v>
      </c>
      <c r="D158" s="10" t="s">
        <v>618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1359</v>
      </c>
      <c r="D159" s="10" t="s">
        <v>618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1427</v>
      </c>
      <c r="D160" s="10" t="s">
        <v>618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417</v>
      </c>
      <c r="D161" s="10" t="s">
        <v>619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1360</v>
      </c>
      <c r="D162" s="10" t="s">
        <v>619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1428</v>
      </c>
      <c r="D163" s="10" t="s">
        <v>619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418</v>
      </c>
      <c r="D164" s="10" t="s">
        <v>620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1361</v>
      </c>
      <c r="D165" s="10" t="s">
        <v>620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1429</v>
      </c>
      <c r="D166" s="10" t="s">
        <v>620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419</v>
      </c>
      <c r="D167" s="10" t="s">
        <v>621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1362</v>
      </c>
      <c r="D168" s="10" t="s">
        <v>621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1430</v>
      </c>
      <c r="D169" s="10" t="s">
        <v>621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420</v>
      </c>
      <c r="D170" s="10" t="s">
        <v>622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1363</v>
      </c>
      <c r="D171" s="10" t="s">
        <v>622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1431</v>
      </c>
      <c r="D172" s="10" t="s">
        <v>622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421</v>
      </c>
      <c r="D173" s="10" t="s">
        <v>623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1364</v>
      </c>
      <c r="D174" s="10" t="s">
        <v>623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1432</v>
      </c>
      <c r="D175" s="10" t="s">
        <v>623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422</v>
      </c>
      <c r="D176" s="10" t="s">
        <v>624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1365</v>
      </c>
      <c r="D177" s="10" t="s">
        <v>624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1433</v>
      </c>
      <c r="D178" s="10" t="s">
        <v>624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423</v>
      </c>
      <c r="D179" s="10" t="s">
        <v>625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1366</v>
      </c>
      <c r="D180" s="10" t="s">
        <v>625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1434</v>
      </c>
      <c r="D181" s="10" t="s">
        <v>625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424</v>
      </c>
      <c r="D182" s="10" t="s">
        <v>626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1367</v>
      </c>
      <c r="D183" s="10" t="s">
        <v>626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1435</v>
      </c>
      <c r="D184" s="10" t="s">
        <v>626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425</v>
      </c>
      <c r="D185" s="10" t="s">
        <v>627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1368</v>
      </c>
      <c r="D186" s="10" t="s">
        <v>627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1436</v>
      </c>
      <c r="D187" s="10" t="s">
        <v>627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426</v>
      </c>
      <c r="D188" s="10" t="s">
        <v>628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1369</v>
      </c>
      <c r="D189" s="10" t="s">
        <v>628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1437</v>
      </c>
      <c r="D190" s="10" t="s">
        <v>628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427</v>
      </c>
      <c r="D191" s="10" t="s">
        <v>629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1370</v>
      </c>
      <c r="D192" s="10" t="s">
        <v>629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ht="18.75" customHeight="1">
      <c r="B193" s="5">
        <v>6100010003</v>
      </c>
      <c r="C193" s="7" t="s">
        <v>1438</v>
      </c>
      <c r="D193" s="10" t="s">
        <v>629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ht="18.75" customHeight="1">
      <c r="B194" s="7">
        <v>6200010001</v>
      </c>
      <c r="C194" s="7" t="s">
        <v>428</v>
      </c>
      <c r="D194" s="10" t="s">
        <v>630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1371</v>
      </c>
      <c r="D195" s="10" t="s">
        <v>630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ht="18.75" customHeight="1">
      <c r="B196" s="5">
        <v>6200010003</v>
      </c>
      <c r="C196" s="7" t="s">
        <v>1439</v>
      </c>
      <c r="D196" s="10" t="s">
        <v>630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ht="18.75" customHeight="1">
      <c r="B197" s="5">
        <v>6300010001</v>
      </c>
      <c r="C197" s="7" t="s">
        <v>429</v>
      </c>
      <c r="D197" s="10" t="s">
        <v>631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1372</v>
      </c>
      <c r="D198" s="10" t="s">
        <v>631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ht="18.75" customHeight="1">
      <c r="B199" s="5">
        <v>6300010003</v>
      </c>
      <c r="C199" s="7" t="s">
        <v>1440</v>
      </c>
      <c r="D199" s="10" t="s">
        <v>631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430</v>
      </c>
      <c r="D200" s="10" t="s">
        <v>632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5"/>
      <c r="B201" s="5">
        <v>6400010002</v>
      </c>
      <c r="C201" s="7" t="s">
        <v>1373</v>
      </c>
      <c r="D201" s="10" t="s">
        <v>632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5"/>
      <c r="B202" s="5">
        <v>6400010003</v>
      </c>
      <c r="C202" s="7" t="s">
        <v>1441</v>
      </c>
      <c r="D202" s="10" t="s">
        <v>632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5"/>
      <c r="B203" s="7">
        <v>6500010001</v>
      </c>
      <c r="C203" s="7" t="s">
        <v>431</v>
      </c>
      <c r="D203" s="10" t="s">
        <v>633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5"/>
      <c r="B204" s="5">
        <v>6500010002</v>
      </c>
      <c r="C204" s="7" t="s">
        <v>1374</v>
      </c>
      <c r="D204" s="10" t="s">
        <v>633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5"/>
      <c r="B205" s="5">
        <v>6500010003</v>
      </c>
      <c r="C205" s="7" t="s">
        <v>1442</v>
      </c>
      <c r="D205" s="10" t="s">
        <v>633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5"/>
      <c r="B206" s="5">
        <v>6600010001</v>
      </c>
      <c r="C206" s="7" t="s">
        <v>432</v>
      </c>
      <c r="D206" s="10" t="s">
        <v>634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5"/>
      <c r="B207" s="5">
        <v>6600010002</v>
      </c>
      <c r="C207" s="7" t="s">
        <v>1375</v>
      </c>
      <c r="D207" s="10" t="s">
        <v>634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5"/>
      <c r="B208" s="5">
        <v>6600010003</v>
      </c>
      <c r="C208" s="7" t="s">
        <v>1443</v>
      </c>
      <c r="D208" s="10" t="s">
        <v>634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5"/>
      <c r="B209" s="5">
        <v>6700010001</v>
      </c>
      <c r="C209" s="7" t="s">
        <v>433</v>
      </c>
      <c r="D209" s="10" t="s">
        <v>635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5"/>
      <c r="B210" s="5">
        <v>6700010002</v>
      </c>
      <c r="C210" s="7" t="s">
        <v>1376</v>
      </c>
      <c r="D210" s="10" t="s">
        <v>635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5"/>
      <c r="B211" s="5">
        <v>6700010003</v>
      </c>
      <c r="C211" s="7" t="s">
        <v>1444</v>
      </c>
      <c r="D211" s="10" t="s">
        <v>635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5"/>
      <c r="B212" s="7">
        <v>6800010001</v>
      </c>
      <c r="C212" s="7" t="s">
        <v>434</v>
      </c>
      <c r="D212" s="10" t="s">
        <v>636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1377</v>
      </c>
      <c r="D213" s="10" t="s">
        <v>636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1445</v>
      </c>
      <c r="D214" s="10" t="s">
        <v>636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435</v>
      </c>
      <c r="D215" s="10" t="s">
        <v>637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1378</v>
      </c>
      <c r="D216" s="10" t="s">
        <v>637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1446</v>
      </c>
      <c r="D217" s="10" t="s">
        <v>637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436</v>
      </c>
      <c r="D218" s="10" t="s">
        <v>638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1379</v>
      </c>
      <c r="D219" s="10" t="s">
        <v>638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1447</v>
      </c>
      <c r="D220" s="10" t="s">
        <v>638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37" priority="13">
      <formula>CELL("ROW")=ROW()</formula>
    </cfRule>
  </conditionalFormatting>
  <conditionalFormatting sqref="E11:U29 E85:U97 F17:F220 I17:I220 E153:U165">
    <cfRule type="expression" dxfId="36" priority="12">
      <formula>CELL("ROW")=ROW()</formula>
    </cfRule>
  </conditionalFormatting>
  <conditionalFormatting sqref="A2:U9 A10:G10 V5:AI9 J10:K10 N10:O10 Q10:V10 AB10:AC10 AE10:AI10 X10:Z10 A11:U220">
    <cfRule type="expression" dxfId="35" priority="11">
      <formula>CELL("ROW")=ROW()</formula>
    </cfRule>
  </conditionalFormatting>
  <conditionalFormatting sqref="I10">
    <cfRule type="expression" dxfId="34" priority="10">
      <formula>CELL("ROW")=ROW()</formula>
    </cfRule>
  </conditionalFormatting>
  <conditionalFormatting sqref="W10">
    <cfRule type="expression" dxfId="33" priority="9">
      <formula>CELL("ROW")=ROW()</formula>
    </cfRule>
  </conditionalFormatting>
  <conditionalFormatting sqref="L10">
    <cfRule type="expression" dxfId="32" priority="8">
      <formula>CELL("ROW")=ROW()</formula>
    </cfRule>
  </conditionalFormatting>
  <conditionalFormatting sqref="M10">
    <cfRule type="expression" dxfId="31" priority="7">
      <formula>CELL("ROW")=ROW()</formula>
    </cfRule>
  </conditionalFormatting>
  <conditionalFormatting sqref="P10">
    <cfRule type="expression" dxfId="30" priority="6">
      <formula>CELL("ROW")=ROW()</formula>
    </cfRule>
  </conditionalFormatting>
  <conditionalFormatting sqref="AA10">
    <cfRule type="expression" dxfId="29" priority="5">
      <formula>CELL("ROW")=ROW()</formula>
    </cfRule>
  </conditionalFormatting>
  <conditionalFormatting sqref="AD10">
    <cfRule type="expression" dxfId="28" priority="4">
      <formula>CELL("ROW")=ROW()</formula>
    </cfRule>
  </conditionalFormatting>
  <conditionalFormatting sqref="H10">
    <cfRule type="expression" dxfId="27" priority="3">
      <formula>CELL("ROW")=ROW()</formula>
    </cfRule>
  </conditionalFormatting>
  <conditionalFormatting sqref="G94">
    <cfRule type="expression" dxfId="26" priority="2">
      <formula>CELL("ROW")=ROW()</formula>
    </cfRule>
  </conditionalFormatting>
  <conditionalFormatting sqref="G162">
    <cfRule type="expression" dxfId="25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216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639</v>
      </c>
      <c r="I6" s="3" t="s">
        <v>198</v>
      </c>
      <c r="J6" s="3" t="s">
        <v>199</v>
      </c>
      <c r="K6" s="3" t="s">
        <v>201</v>
      </c>
      <c r="L6" s="3" t="s">
        <v>641</v>
      </c>
      <c r="M6" s="3" t="s">
        <v>643</v>
      </c>
      <c r="N6" s="3" t="s">
        <v>645</v>
      </c>
      <c r="O6" s="3" t="s">
        <v>221</v>
      </c>
      <c r="P6" s="3" t="s">
        <v>650</v>
      </c>
      <c r="Q6" s="3" t="s">
        <v>202</v>
      </c>
      <c r="R6" s="3" t="s">
        <v>647</v>
      </c>
      <c r="S6" s="3" t="s">
        <v>200</v>
      </c>
      <c r="T6" s="3" t="s">
        <v>212</v>
      </c>
      <c r="U6" s="3" t="s">
        <v>639</v>
      </c>
      <c r="V6" s="3" t="s">
        <v>198</v>
      </c>
      <c r="W6" s="3" t="s">
        <v>199</v>
      </c>
      <c r="X6" s="3" t="s">
        <v>201</v>
      </c>
      <c r="Y6" s="3" t="s">
        <v>641</v>
      </c>
      <c r="Z6" s="3" t="s">
        <v>643</v>
      </c>
      <c r="AA6" s="3" t="s">
        <v>645</v>
      </c>
      <c r="AB6" s="3" t="s">
        <v>221</v>
      </c>
      <c r="AC6" s="3" t="s">
        <v>650</v>
      </c>
      <c r="AD6" s="3" t="s">
        <v>202</v>
      </c>
      <c r="AE6" s="3" t="s">
        <v>647</v>
      </c>
      <c r="AF6" s="3" t="s">
        <v>200</v>
      </c>
      <c r="AG6" s="3" t="s">
        <v>212</v>
      </c>
      <c r="AH6" s="3" t="s">
        <v>639</v>
      </c>
      <c r="AI6" s="3" t="s">
        <v>198</v>
      </c>
      <c r="AJ6" s="3" t="s">
        <v>199</v>
      </c>
      <c r="AK6" s="3" t="s">
        <v>201</v>
      </c>
      <c r="AL6" s="3" t="s">
        <v>641</v>
      </c>
      <c r="AM6" s="3" t="s">
        <v>643</v>
      </c>
      <c r="AN6" s="3" t="s">
        <v>645</v>
      </c>
      <c r="AO6" s="3" t="s">
        <v>221</v>
      </c>
      <c r="AP6" s="3" t="s">
        <v>650</v>
      </c>
      <c r="AQ6" s="3" t="s">
        <v>202</v>
      </c>
      <c r="AR6" s="3" t="s">
        <v>647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648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648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648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640</v>
      </c>
      <c r="I9" s="9" t="s">
        <v>207</v>
      </c>
      <c r="J9" s="5" t="s">
        <v>208</v>
      </c>
      <c r="K9" s="6" t="s">
        <v>210</v>
      </c>
      <c r="L9" s="6" t="s">
        <v>642</v>
      </c>
      <c r="M9" s="6" t="s">
        <v>644</v>
      </c>
      <c r="N9" s="6" t="s">
        <v>646</v>
      </c>
      <c r="O9" s="6" t="s">
        <v>222</v>
      </c>
      <c r="P9" s="6" t="s">
        <v>651</v>
      </c>
      <c r="Q9" s="6" t="s">
        <v>211</v>
      </c>
      <c r="R9" s="6" t="s">
        <v>649</v>
      </c>
      <c r="S9" s="5" t="s">
        <v>209</v>
      </c>
      <c r="T9" s="9" t="s">
        <v>213</v>
      </c>
      <c r="U9" s="9" t="s">
        <v>640</v>
      </c>
      <c r="V9" s="9" t="s">
        <v>207</v>
      </c>
      <c r="W9" s="5" t="s">
        <v>208</v>
      </c>
      <c r="X9" s="6" t="s">
        <v>210</v>
      </c>
      <c r="Y9" s="6" t="s">
        <v>642</v>
      </c>
      <c r="Z9" s="6" t="s">
        <v>644</v>
      </c>
      <c r="AA9" s="6" t="s">
        <v>646</v>
      </c>
      <c r="AB9" s="6" t="s">
        <v>222</v>
      </c>
      <c r="AC9" s="6" t="s">
        <v>651</v>
      </c>
      <c r="AD9" s="6" t="s">
        <v>211</v>
      </c>
      <c r="AE9" s="6" t="s">
        <v>649</v>
      </c>
      <c r="AF9" s="5" t="s">
        <v>209</v>
      </c>
      <c r="AG9" s="9" t="s">
        <v>213</v>
      </c>
      <c r="AH9" s="9" t="s">
        <v>640</v>
      </c>
      <c r="AI9" s="9" t="s">
        <v>207</v>
      </c>
      <c r="AJ9" s="5" t="s">
        <v>208</v>
      </c>
      <c r="AK9" s="6" t="s">
        <v>210</v>
      </c>
      <c r="AL9" s="6" t="s">
        <v>642</v>
      </c>
      <c r="AM9" s="6" t="s">
        <v>644</v>
      </c>
      <c r="AN9" s="6" t="s">
        <v>646</v>
      </c>
      <c r="AO9" s="6" t="s">
        <v>222</v>
      </c>
      <c r="AP9" s="6" t="s">
        <v>651</v>
      </c>
      <c r="AQ9" s="6" t="s">
        <v>211</v>
      </c>
      <c r="AR9" s="6" t="s">
        <v>649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6" t="s">
        <v>12</v>
      </c>
      <c r="B10" s="6" t="s">
        <v>1449</v>
      </c>
      <c r="C10" s="6"/>
      <c r="D10" s="6"/>
      <c r="E10" s="6" t="s">
        <v>220</v>
      </c>
      <c r="F10" s="6" t="s">
        <v>214</v>
      </c>
      <c r="G10" s="6" t="s">
        <v>1297</v>
      </c>
      <c r="H10" s="6"/>
      <c r="I10" s="6" t="s">
        <v>823</v>
      </c>
      <c r="J10" s="6" t="s">
        <v>901</v>
      </c>
      <c r="K10" s="6"/>
      <c r="L10" s="6"/>
      <c r="M10" s="6" t="s">
        <v>901</v>
      </c>
      <c r="N10" s="6"/>
      <c r="O10" s="6"/>
      <c r="P10" s="6"/>
      <c r="Q10" s="6" t="s">
        <v>215</v>
      </c>
      <c r="R10" s="5"/>
      <c r="S10" s="6" t="s">
        <v>785</v>
      </c>
      <c r="T10" s="6" t="s">
        <v>1297</v>
      </c>
      <c r="U10" s="6"/>
      <c r="V10" s="6" t="s">
        <v>823</v>
      </c>
      <c r="W10" s="6" t="s">
        <v>901</v>
      </c>
      <c r="X10" s="6"/>
      <c r="Y10" s="6"/>
      <c r="Z10" s="6" t="s">
        <v>901</v>
      </c>
      <c r="AA10" s="6"/>
      <c r="AB10" s="5"/>
      <c r="AC10" s="5"/>
      <c r="AD10" s="6" t="s">
        <v>215</v>
      </c>
      <c r="AE10" s="5"/>
      <c r="AF10" s="6" t="s">
        <v>785</v>
      </c>
      <c r="AG10" s="6" t="s">
        <v>1297</v>
      </c>
      <c r="AH10" s="6"/>
      <c r="AI10" s="6" t="s">
        <v>219</v>
      </c>
      <c r="AJ10" s="6" t="s">
        <v>901</v>
      </c>
      <c r="AK10" s="6"/>
      <c r="AL10" s="6"/>
      <c r="AM10" s="6" t="s">
        <v>901</v>
      </c>
      <c r="AN10" s="6"/>
      <c r="AO10" s="5"/>
      <c r="AP10" s="5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295</v>
      </c>
      <c r="D11" s="6" t="s">
        <v>532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1450</v>
      </c>
      <c r="D12" s="6" t="s">
        <v>532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1520</v>
      </c>
      <c r="D13" s="6" t="s">
        <v>532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296</v>
      </c>
      <c r="D14" s="7" t="s">
        <v>906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1451</v>
      </c>
      <c r="D15" s="7" t="s">
        <v>906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1521</v>
      </c>
      <c r="D16" s="7" t="s">
        <v>906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297</v>
      </c>
      <c r="D17" s="7" t="s">
        <v>291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1452</v>
      </c>
      <c r="D18" s="7" t="s">
        <v>291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1522</v>
      </c>
      <c r="D19" s="7" t="s">
        <v>291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298</v>
      </c>
      <c r="D20" s="7" t="s">
        <v>822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1453</v>
      </c>
      <c r="D21" s="7" t="s">
        <v>822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1523</v>
      </c>
      <c r="D22" s="7" t="s">
        <v>822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299</v>
      </c>
      <c r="D23" s="7" t="s">
        <v>533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1454</v>
      </c>
      <c r="D24" s="7" t="s">
        <v>533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1524</v>
      </c>
      <c r="D25" s="7" t="s">
        <v>533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300</v>
      </c>
      <c r="D26" s="7" t="s">
        <v>846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1455</v>
      </c>
      <c r="D27" s="7" t="s">
        <v>846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1525</v>
      </c>
      <c r="D28" s="7" t="s">
        <v>846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301</v>
      </c>
      <c r="D29" s="7" t="s">
        <v>847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1456</v>
      </c>
      <c r="D30" s="7" t="s">
        <v>847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1526</v>
      </c>
      <c r="D31" s="7" t="s">
        <v>847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302</v>
      </c>
      <c r="D32" s="6" t="s">
        <v>848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1457</v>
      </c>
      <c r="D33" s="6" t="s">
        <v>848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1527</v>
      </c>
      <c r="D34" s="6" t="s">
        <v>848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303</v>
      </c>
      <c r="D35" s="7" t="s">
        <v>849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1458</v>
      </c>
      <c r="D36" s="7" t="s">
        <v>849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1528</v>
      </c>
      <c r="D37" s="7" t="s">
        <v>849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304</v>
      </c>
      <c r="D38" s="7" t="s">
        <v>291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1459</v>
      </c>
      <c r="D39" s="7" t="s">
        <v>291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1529</v>
      </c>
      <c r="D40" s="7" t="s">
        <v>291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305</v>
      </c>
      <c r="D41" s="7" t="s">
        <v>292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1460</v>
      </c>
      <c r="D42" s="7" t="s">
        <v>292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1530</v>
      </c>
      <c r="D43" s="7" t="s">
        <v>292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306</v>
      </c>
      <c r="D44" s="7" t="s">
        <v>533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1461</v>
      </c>
      <c r="D45" s="7" t="s">
        <v>533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1531</v>
      </c>
      <c r="D46" s="7" t="s">
        <v>533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307</v>
      </c>
      <c r="D47" s="7" t="s">
        <v>293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1462</v>
      </c>
      <c r="D48" s="7" t="s">
        <v>293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1532</v>
      </c>
      <c r="D49" s="7" t="s">
        <v>293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308</v>
      </c>
      <c r="D50" s="7" t="s">
        <v>294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1463</v>
      </c>
      <c r="D51" s="7" t="s">
        <v>294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1533</v>
      </c>
      <c r="D52" s="7" t="s">
        <v>294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309</v>
      </c>
      <c r="D53" s="7" t="s">
        <v>365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150002</v>
      </c>
      <c r="C54" s="6" t="s">
        <v>1464</v>
      </c>
      <c r="D54" s="7" t="s">
        <v>365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5">
        <v>150003</v>
      </c>
      <c r="C55" s="6" t="s">
        <v>1534</v>
      </c>
      <c r="D55" s="7" t="s">
        <v>365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30">
        <v>3</v>
      </c>
      <c r="AG55" s="30">
        <v>2</v>
      </c>
      <c r="AH55" s="30">
        <v>100</v>
      </c>
      <c r="AI55" s="30">
        <v>1</v>
      </c>
      <c r="AJ55" s="30">
        <v>0</v>
      </c>
      <c r="AK55" s="30">
        <v>10</v>
      </c>
      <c r="AL55" s="30" t="b">
        <v>0</v>
      </c>
      <c r="AM55" s="30">
        <v>0</v>
      </c>
      <c r="AN55" s="30">
        <v>0</v>
      </c>
      <c r="AO55" s="30">
        <v>3</v>
      </c>
      <c r="AP55" s="30">
        <v>2</v>
      </c>
      <c r="AQ55" s="30">
        <v>3</v>
      </c>
      <c r="AR55" s="30" t="b">
        <v>1</v>
      </c>
    </row>
    <row r="56" spans="1:52" ht="18.75" customHeight="1">
      <c r="B56" s="7">
        <v>160001</v>
      </c>
      <c r="C56" s="7" t="s">
        <v>310</v>
      </c>
      <c r="D56" s="7" t="s">
        <v>861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160002</v>
      </c>
      <c r="C57" s="7" t="s">
        <v>1465</v>
      </c>
      <c r="D57" s="7" t="s">
        <v>861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7">
        <v>160003</v>
      </c>
      <c r="C58" s="7" t="s">
        <v>1535</v>
      </c>
      <c r="D58" s="7" t="s">
        <v>861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170001</v>
      </c>
      <c r="C59" s="7" t="s">
        <v>311</v>
      </c>
      <c r="D59" s="7" t="s">
        <v>862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1466</v>
      </c>
      <c r="D60" s="7" t="s">
        <v>862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1536</v>
      </c>
      <c r="D61" s="7" t="s">
        <v>862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312</v>
      </c>
      <c r="D62" s="7" t="s">
        <v>863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1467</v>
      </c>
      <c r="D63" s="7" t="s">
        <v>863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1537</v>
      </c>
      <c r="D64" s="7" t="s">
        <v>863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313</v>
      </c>
      <c r="D65" s="7" t="s">
        <v>366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1468</v>
      </c>
      <c r="D66" s="7" t="s">
        <v>366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1538</v>
      </c>
      <c r="D67" s="7" t="s">
        <v>366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314</v>
      </c>
      <c r="D68" s="7" t="s">
        <v>864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1469</v>
      </c>
      <c r="D69" s="7" t="s">
        <v>864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1539</v>
      </c>
      <c r="D70" s="7" t="s">
        <v>864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315</v>
      </c>
      <c r="D71" s="7" t="s">
        <v>865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1470</v>
      </c>
      <c r="D72" s="7" t="s">
        <v>865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1540</v>
      </c>
      <c r="D73" s="7" t="s">
        <v>865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316</v>
      </c>
      <c r="D74" s="10" t="s">
        <v>367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2:44" ht="18.75" customHeight="1">
      <c r="B75" s="7">
        <v>220002</v>
      </c>
      <c r="C75" s="7" t="s">
        <v>1471</v>
      </c>
      <c r="D75" s="10" t="s">
        <v>367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2:44" ht="18.75" customHeight="1">
      <c r="B76" s="7">
        <v>220003</v>
      </c>
      <c r="C76" s="7" t="s">
        <v>1541</v>
      </c>
      <c r="D76" s="10" t="s">
        <v>367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30">
        <v>3</v>
      </c>
      <c r="AG76" s="30">
        <v>2</v>
      </c>
      <c r="AH76" s="30">
        <v>100</v>
      </c>
      <c r="AI76" s="30">
        <v>1</v>
      </c>
      <c r="AJ76" s="30">
        <v>0</v>
      </c>
      <c r="AK76" s="30">
        <v>15</v>
      </c>
      <c r="AL76" s="30" t="b">
        <v>0</v>
      </c>
      <c r="AM76" s="30">
        <v>0</v>
      </c>
      <c r="AN76" s="30">
        <v>0</v>
      </c>
      <c r="AO76" s="30">
        <v>3</v>
      </c>
      <c r="AP76" s="30">
        <v>5</v>
      </c>
      <c r="AQ76" s="30">
        <v>3</v>
      </c>
      <c r="AR76" s="30" t="b">
        <v>1</v>
      </c>
    </row>
    <row r="77" spans="2:44" ht="18.75" customHeight="1">
      <c r="B77" s="5">
        <v>230001</v>
      </c>
      <c r="C77" s="7" t="s">
        <v>317</v>
      </c>
      <c r="D77" s="10" t="s">
        <v>866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1472</v>
      </c>
      <c r="D78" s="10" t="s">
        <v>866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1542</v>
      </c>
      <c r="D79" s="10" t="s">
        <v>866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318</v>
      </c>
      <c r="D80" s="10" t="s">
        <v>867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1473</v>
      </c>
      <c r="D81" s="10" t="s">
        <v>867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1543</v>
      </c>
      <c r="D82" s="10" t="s">
        <v>867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319</v>
      </c>
      <c r="D83" s="10" t="s">
        <v>868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1474</v>
      </c>
      <c r="D84" s="10" t="s">
        <v>868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1544</v>
      </c>
      <c r="D85" s="10" t="s">
        <v>868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320</v>
      </c>
      <c r="D86" s="10" t="s">
        <v>862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1475</v>
      </c>
      <c r="D87" s="10" t="s">
        <v>862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1545</v>
      </c>
      <c r="D88" s="10" t="s">
        <v>862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321</v>
      </c>
      <c r="D89" s="10" t="s">
        <v>869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1476</v>
      </c>
      <c r="D90" s="10" t="s">
        <v>869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1546</v>
      </c>
      <c r="D91" s="10" t="s">
        <v>869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322</v>
      </c>
      <c r="D92" s="10" t="s">
        <v>366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1477</v>
      </c>
      <c r="D93" s="10" t="s">
        <v>366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1547</v>
      </c>
      <c r="D94" s="10" t="s">
        <v>366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323</v>
      </c>
      <c r="D95" s="10" t="s">
        <v>870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1478</v>
      </c>
      <c r="D96" s="10" t="s">
        <v>870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1548</v>
      </c>
      <c r="D97" s="10" t="s">
        <v>870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324</v>
      </c>
      <c r="D98" s="10" t="s">
        <v>871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1479</v>
      </c>
      <c r="D99" s="10" t="s">
        <v>871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1549</v>
      </c>
      <c r="D100" s="10" t="s">
        <v>871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325</v>
      </c>
      <c r="D101" s="10" t="s">
        <v>535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1480</v>
      </c>
      <c r="D102" s="10" t="s">
        <v>535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1550</v>
      </c>
      <c r="D103" s="10" t="s">
        <v>535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326</v>
      </c>
      <c r="D104" s="10" t="s">
        <v>893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1481</v>
      </c>
      <c r="D105" s="10" t="s">
        <v>893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1551</v>
      </c>
      <c r="D106" s="10" t="s">
        <v>893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327</v>
      </c>
      <c r="D107" s="10" t="s">
        <v>894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1482</v>
      </c>
      <c r="D108" s="10" t="s">
        <v>894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1552</v>
      </c>
      <c r="D109" s="10" t="s">
        <v>894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328</v>
      </c>
      <c r="D110" s="10" t="s">
        <v>895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1483</v>
      </c>
      <c r="D111" s="10" t="s">
        <v>895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1553</v>
      </c>
      <c r="D112" s="10" t="s">
        <v>895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329</v>
      </c>
      <c r="D113" s="10" t="s">
        <v>537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1484</v>
      </c>
      <c r="D114" s="10" t="s">
        <v>537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1554</v>
      </c>
      <c r="D115" s="10" t="s">
        <v>537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330</v>
      </c>
      <c r="D116" s="10" t="s">
        <v>541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1485</v>
      </c>
      <c r="D117" s="10" t="s">
        <v>541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1555</v>
      </c>
      <c r="D118" s="10" t="s">
        <v>541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331</v>
      </c>
      <c r="D119" s="10" t="s">
        <v>540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1486</v>
      </c>
      <c r="D120" s="10" t="s">
        <v>540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1556</v>
      </c>
      <c r="D121" s="10" t="s">
        <v>540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380001</v>
      </c>
      <c r="C122" s="7" t="s">
        <v>332</v>
      </c>
      <c r="D122" s="10" t="s">
        <v>896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1487</v>
      </c>
      <c r="D123" s="10" t="s">
        <v>896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1557</v>
      </c>
      <c r="D124" s="10" t="s">
        <v>896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333</v>
      </c>
      <c r="D125" s="10" t="s">
        <v>607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1488</v>
      </c>
      <c r="D126" s="10" t="s">
        <v>607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1558</v>
      </c>
      <c r="D127" s="10" t="s">
        <v>607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334</v>
      </c>
      <c r="D128" s="10" t="s">
        <v>897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1489</v>
      </c>
      <c r="D129" s="10" t="s">
        <v>897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1559</v>
      </c>
      <c r="D130" s="10" t="s">
        <v>897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335</v>
      </c>
      <c r="D131" s="10" t="s">
        <v>609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1490</v>
      </c>
      <c r="D132" s="10" t="s">
        <v>609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1560</v>
      </c>
      <c r="D133" s="10" t="s">
        <v>609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336</v>
      </c>
      <c r="D134" s="10" t="s">
        <v>610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1491</v>
      </c>
      <c r="D135" s="10" t="s">
        <v>610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1561</v>
      </c>
      <c r="D136" s="10" t="s">
        <v>610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337</v>
      </c>
      <c r="D137" s="10" t="s">
        <v>611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1492</v>
      </c>
      <c r="D138" s="10" t="s">
        <v>611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1562</v>
      </c>
      <c r="D139" s="10" t="s">
        <v>611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338</v>
      </c>
      <c r="D140" s="10" t="s">
        <v>612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1493</v>
      </c>
      <c r="D141" s="10" t="s">
        <v>612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1563</v>
      </c>
      <c r="D142" s="10" t="s">
        <v>612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339</v>
      </c>
      <c r="D143" s="10" t="s">
        <v>613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1494</v>
      </c>
      <c r="D144" s="10" t="s">
        <v>613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1564</v>
      </c>
      <c r="D145" s="10" t="s">
        <v>613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340</v>
      </c>
      <c r="D146" s="10" t="s">
        <v>614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1495</v>
      </c>
      <c r="D147" s="10" t="s">
        <v>614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1565</v>
      </c>
      <c r="D148" s="10" t="s">
        <v>614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341</v>
      </c>
      <c r="D149" s="10" t="s">
        <v>615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1496</v>
      </c>
      <c r="D150" s="10" t="s">
        <v>615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1566</v>
      </c>
      <c r="D151" s="10" t="s">
        <v>615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342</v>
      </c>
      <c r="D152" s="10" t="s">
        <v>616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1497</v>
      </c>
      <c r="D153" s="10" t="s">
        <v>616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1567</v>
      </c>
      <c r="D154" s="10" t="s">
        <v>616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343</v>
      </c>
      <c r="D155" s="10" t="s">
        <v>617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1498</v>
      </c>
      <c r="D156" s="10" t="s">
        <v>617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1568</v>
      </c>
      <c r="D157" s="10" t="s">
        <v>617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344</v>
      </c>
      <c r="D158" s="10" t="s">
        <v>618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1499</v>
      </c>
      <c r="D159" s="10" t="s">
        <v>618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1569</v>
      </c>
      <c r="D160" s="10" t="s">
        <v>618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345</v>
      </c>
      <c r="D161" s="10" t="s">
        <v>619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1500</v>
      </c>
      <c r="D162" s="10" t="s">
        <v>619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1570</v>
      </c>
      <c r="D163" s="10" t="s">
        <v>619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346</v>
      </c>
      <c r="D164" s="10" t="s">
        <v>620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1501</v>
      </c>
      <c r="D165" s="10" t="s">
        <v>620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1571</v>
      </c>
      <c r="D166" s="10" t="s">
        <v>620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347</v>
      </c>
      <c r="D167" s="10" t="s">
        <v>621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1502</v>
      </c>
      <c r="D168" s="10" t="s">
        <v>621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1572</v>
      </c>
      <c r="D169" s="10" t="s">
        <v>621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348</v>
      </c>
      <c r="D170" s="10" t="s">
        <v>622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1503</v>
      </c>
      <c r="D171" s="10" t="s">
        <v>622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1573</v>
      </c>
      <c r="D172" s="10" t="s">
        <v>622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349</v>
      </c>
      <c r="D173" s="10" t="s">
        <v>623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1504</v>
      </c>
      <c r="D174" s="10" t="s">
        <v>623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1574</v>
      </c>
      <c r="D175" s="10" t="s">
        <v>623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350</v>
      </c>
      <c r="D176" s="10" t="s">
        <v>624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1505</v>
      </c>
      <c r="D177" s="10" t="s">
        <v>624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1575</v>
      </c>
      <c r="D178" s="10" t="s">
        <v>624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351</v>
      </c>
      <c r="D179" s="10" t="s">
        <v>625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1506</v>
      </c>
      <c r="D180" s="10" t="s">
        <v>625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1576</v>
      </c>
      <c r="D181" s="10" t="s">
        <v>625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352</v>
      </c>
      <c r="D182" s="10" t="s">
        <v>626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1507</v>
      </c>
      <c r="D183" s="10" t="s">
        <v>626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1577</v>
      </c>
      <c r="D184" s="10" t="s">
        <v>626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353</v>
      </c>
      <c r="D185" s="10" t="s">
        <v>627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1508</v>
      </c>
      <c r="D186" s="10" t="s">
        <v>627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1578</v>
      </c>
      <c r="D187" s="10" t="s">
        <v>627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354</v>
      </c>
      <c r="D188" s="10" t="s">
        <v>628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1509</v>
      </c>
      <c r="D189" s="10" t="s">
        <v>628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1579</v>
      </c>
      <c r="D190" s="10" t="s">
        <v>628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355</v>
      </c>
      <c r="D191" s="10" t="s">
        <v>629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1510</v>
      </c>
      <c r="D192" s="10" t="s">
        <v>629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1580</v>
      </c>
      <c r="D193" s="10" t="s">
        <v>629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356</v>
      </c>
      <c r="D194" s="10" t="s">
        <v>630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1511</v>
      </c>
      <c r="D195" s="10" t="s">
        <v>630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1581</v>
      </c>
      <c r="D196" s="10" t="s">
        <v>630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357</v>
      </c>
      <c r="D197" s="10" t="s">
        <v>631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1512</v>
      </c>
      <c r="D198" s="10" t="s">
        <v>631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1582</v>
      </c>
      <c r="D199" s="10" t="s">
        <v>631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358</v>
      </c>
      <c r="D200" s="10" t="s">
        <v>632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1513</v>
      </c>
      <c r="D201" s="10" t="s">
        <v>632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1583</v>
      </c>
      <c r="D202" s="10" t="s">
        <v>632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359</v>
      </c>
      <c r="D203" s="10" t="s">
        <v>633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1514</v>
      </c>
      <c r="D204" s="10" t="s">
        <v>633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1584</v>
      </c>
      <c r="D205" s="10" t="s">
        <v>633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360</v>
      </c>
      <c r="D206" s="10" t="s">
        <v>634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1515</v>
      </c>
      <c r="D207" s="10" t="s">
        <v>634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1585</v>
      </c>
      <c r="D208" s="10" t="s">
        <v>634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361</v>
      </c>
      <c r="D209" s="10" t="s">
        <v>635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1516</v>
      </c>
      <c r="D210" s="10" t="s">
        <v>635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1586</v>
      </c>
      <c r="D211" s="10" t="s">
        <v>635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362</v>
      </c>
      <c r="D212" s="10" t="s">
        <v>636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1517</v>
      </c>
      <c r="D213" s="10" t="s">
        <v>636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1587</v>
      </c>
      <c r="D214" s="10" t="s">
        <v>636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363</v>
      </c>
      <c r="D215" s="10" t="s">
        <v>637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1518</v>
      </c>
      <c r="D216" s="10" t="s">
        <v>637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1588</v>
      </c>
      <c r="D217" s="10" t="s">
        <v>637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364</v>
      </c>
      <c r="D218" s="10" t="s">
        <v>638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1519</v>
      </c>
      <c r="D219" s="10" t="s">
        <v>638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1589</v>
      </c>
      <c r="D220" s="10" t="s">
        <v>638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24" priority="13">
      <formula>CELL("ROW")=ROW()</formula>
    </cfRule>
  </conditionalFormatting>
  <conditionalFormatting sqref="I10">
    <cfRule type="expression" dxfId="23" priority="12">
      <formula>CELL("ROW")=ROW()</formula>
    </cfRule>
  </conditionalFormatting>
  <conditionalFormatting sqref="V10">
    <cfRule type="expression" dxfId="22" priority="11">
      <formula>CELL("ROW")=ROW()</formula>
    </cfRule>
  </conditionalFormatting>
  <conditionalFormatting sqref="J10">
    <cfRule type="expression" dxfId="21" priority="10">
      <formula>CELL("ROW")=ROW()</formula>
    </cfRule>
  </conditionalFormatting>
  <conditionalFormatting sqref="M10">
    <cfRule type="expression" dxfId="20" priority="9">
      <formula>CELL("ROW")=ROW()</formula>
    </cfRule>
  </conditionalFormatting>
  <conditionalFormatting sqref="W10">
    <cfRule type="expression" dxfId="19" priority="8">
      <formula>CELL("ROW")=ROW()</formula>
    </cfRule>
  </conditionalFormatting>
  <conditionalFormatting sqref="Z10">
    <cfRule type="expression" dxfId="18" priority="7">
      <formula>CELL("ROW")=ROW()</formula>
    </cfRule>
  </conditionalFormatting>
  <conditionalFormatting sqref="AJ10">
    <cfRule type="expression" dxfId="17" priority="6">
      <formula>CELL("ROW")=ROW()</formula>
    </cfRule>
  </conditionalFormatting>
  <conditionalFormatting sqref="AM10">
    <cfRule type="expression" dxfId="16" priority="5">
      <formula>CELL("ROW")=ROW()</formula>
    </cfRule>
  </conditionalFormatting>
  <conditionalFormatting sqref="AG10">
    <cfRule type="expression" dxfId="15" priority="4">
      <formula>CELL("ROW")=ROW()</formula>
    </cfRule>
  </conditionalFormatting>
  <conditionalFormatting sqref="G10">
    <cfRule type="expression" dxfId="14" priority="3">
      <formula>CELL("ROW")=ROW()</formula>
    </cfRule>
  </conditionalFormatting>
  <conditionalFormatting sqref="T10">
    <cfRule type="expression" dxfId="13" priority="2">
      <formula>CELL("ROW")=ROW()</formula>
    </cfRule>
  </conditionalFormatting>
  <conditionalFormatting sqref="A7:AI7">
    <cfRule type="expression" dxfId="12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218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639</v>
      </c>
      <c r="I6" s="3" t="s">
        <v>198</v>
      </c>
      <c r="J6" s="3" t="s">
        <v>199</v>
      </c>
      <c r="K6" s="3" t="s">
        <v>201</v>
      </c>
      <c r="L6" s="3" t="s">
        <v>641</v>
      </c>
      <c r="M6" s="3" t="s">
        <v>643</v>
      </c>
      <c r="N6" s="3" t="s">
        <v>645</v>
      </c>
      <c r="O6" s="3" t="s">
        <v>221</v>
      </c>
      <c r="P6" s="3" t="s">
        <v>650</v>
      </c>
      <c r="Q6" s="3" t="s">
        <v>202</v>
      </c>
      <c r="R6" s="3" t="s">
        <v>647</v>
      </c>
      <c r="S6" s="3" t="s">
        <v>200</v>
      </c>
      <c r="T6" s="3" t="s">
        <v>212</v>
      </c>
      <c r="U6" s="3" t="s">
        <v>639</v>
      </c>
      <c r="V6" s="3" t="s">
        <v>198</v>
      </c>
      <c r="W6" s="3" t="s">
        <v>199</v>
      </c>
      <c r="X6" s="3" t="s">
        <v>201</v>
      </c>
      <c r="Y6" s="3" t="s">
        <v>641</v>
      </c>
      <c r="Z6" s="3" t="s">
        <v>643</v>
      </c>
      <c r="AA6" s="3" t="s">
        <v>645</v>
      </c>
      <c r="AB6" s="3" t="s">
        <v>221</v>
      </c>
      <c r="AC6" s="3" t="s">
        <v>650</v>
      </c>
      <c r="AD6" s="3" t="s">
        <v>202</v>
      </c>
      <c r="AE6" s="3" t="s">
        <v>647</v>
      </c>
      <c r="AF6" s="3" t="s">
        <v>200</v>
      </c>
      <c r="AG6" s="3" t="s">
        <v>212</v>
      </c>
      <c r="AH6" s="3" t="s">
        <v>639</v>
      </c>
      <c r="AI6" s="3" t="s">
        <v>198</v>
      </c>
      <c r="AJ6" s="3" t="s">
        <v>199</v>
      </c>
      <c r="AK6" s="3" t="s">
        <v>201</v>
      </c>
      <c r="AL6" s="3" t="s">
        <v>641</v>
      </c>
      <c r="AM6" s="3" t="s">
        <v>643</v>
      </c>
      <c r="AN6" s="3" t="s">
        <v>645</v>
      </c>
      <c r="AO6" s="3" t="s">
        <v>221</v>
      </c>
      <c r="AP6" s="3" t="s">
        <v>650</v>
      </c>
      <c r="AQ6" s="3" t="s">
        <v>202</v>
      </c>
      <c r="AR6" s="3" t="s">
        <v>647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648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648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648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640</v>
      </c>
      <c r="I9" s="9" t="s">
        <v>207</v>
      </c>
      <c r="J9" s="5" t="s">
        <v>208</v>
      </c>
      <c r="K9" s="6" t="s">
        <v>210</v>
      </c>
      <c r="L9" s="6" t="s">
        <v>642</v>
      </c>
      <c r="M9" s="6" t="s">
        <v>644</v>
      </c>
      <c r="N9" s="6" t="s">
        <v>646</v>
      </c>
      <c r="O9" s="6" t="s">
        <v>222</v>
      </c>
      <c r="P9" s="6" t="s">
        <v>651</v>
      </c>
      <c r="Q9" s="6" t="s">
        <v>211</v>
      </c>
      <c r="R9" s="6" t="s">
        <v>649</v>
      </c>
      <c r="S9" s="5" t="s">
        <v>209</v>
      </c>
      <c r="T9" s="9" t="s">
        <v>213</v>
      </c>
      <c r="U9" s="9" t="s">
        <v>640</v>
      </c>
      <c r="V9" s="9" t="s">
        <v>207</v>
      </c>
      <c r="W9" s="5" t="s">
        <v>208</v>
      </c>
      <c r="X9" s="6" t="s">
        <v>210</v>
      </c>
      <c r="Y9" s="6" t="s">
        <v>642</v>
      </c>
      <c r="Z9" s="6" t="s">
        <v>644</v>
      </c>
      <c r="AA9" s="6" t="s">
        <v>646</v>
      </c>
      <c r="AB9" s="6" t="s">
        <v>222</v>
      </c>
      <c r="AC9" s="6" t="s">
        <v>651</v>
      </c>
      <c r="AD9" s="6" t="s">
        <v>211</v>
      </c>
      <c r="AE9" s="6" t="s">
        <v>649</v>
      </c>
      <c r="AF9" s="5" t="s">
        <v>209</v>
      </c>
      <c r="AG9" s="9" t="s">
        <v>213</v>
      </c>
      <c r="AH9" s="9" t="s">
        <v>640</v>
      </c>
      <c r="AI9" s="9" t="s">
        <v>207</v>
      </c>
      <c r="AJ9" s="5" t="s">
        <v>208</v>
      </c>
      <c r="AK9" s="6" t="s">
        <v>210</v>
      </c>
      <c r="AL9" s="6" t="s">
        <v>642</v>
      </c>
      <c r="AM9" s="6" t="s">
        <v>644</v>
      </c>
      <c r="AN9" s="6" t="s">
        <v>646</v>
      </c>
      <c r="AO9" s="6" t="s">
        <v>222</v>
      </c>
      <c r="AP9" s="6" t="s">
        <v>651</v>
      </c>
      <c r="AQ9" s="6" t="s">
        <v>211</v>
      </c>
      <c r="AR9" s="6" t="s">
        <v>649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6" t="s">
        <v>12</v>
      </c>
      <c r="B10" s="5"/>
      <c r="C10" s="6"/>
      <c r="D10" s="6"/>
      <c r="E10" s="6" t="s">
        <v>220</v>
      </c>
      <c r="F10" s="6" t="s">
        <v>785</v>
      </c>
      <c r="G10" s="6" t="s">
        <v>1297</v>
      </c>
      <c r="H10" s="6"/>
      <c r="I10" s="6" t="s">
        <v>823</v>
      </c>
      <c r="J10" s="6" t="s">
        <v>901</v>
      </c>
      <c r="K10" s="6"/>
      <c r="L10" s="6"/>
      <c r="M10" s="6" t="s">
        <v>901</v>
      </c>
      <c r="N10" s="6"/>
      <c r="O10" s="6"/>
      <c r="P10" s="6"/>
      <c r="Q10" s="6" t="s">
        <v>215</v>
      </c>
      <c r="R10" s="5"/>
      <c r="S10" s="6" t="s">
        <v>785</v>
      </c>
      <c r="T10" s="6" t="s">
        <v>1297</v>
      </c>
      <c r="U10" s="6"/>
      <c r="V10" s="6" t="s">
        <v>823</v>
      </c>
      <c r="W10" s="6" t="s">
        <v>901</v>
      </c>
      <c r="X10" s="6"/>
      <c r="Y10" s="6"/>
      <c r="Z10" s="6" t="s">
        <v>901</v>
      </c>
      <c r="AA10" s="6"/>
      <c r="AB10" s="5"/>
      <c r="AC10" s="5"/>
      <c r="AD10" s="6" t="s">
        <v>215</v>
      </c>
      <c r="AE10" s="5"/>
      <c r="AF10" s="6" t="s">
        <v>785</v>
      </c>
      <c r="AG10" s="6" t="s">
        <v>1297</v>
      </c>
      <c r="AH10" s="6"/>
      <c r="AI10" s="6" t="s">
        <v>219</v>
      </c>
      <c r="AJ10" s="6" t="s">
        <v>901</v>
      </c>
      <c r="AK10" s="6"/>
      <c r="AL10" s="6"/>
      <c r="AM10" s="6" t="s">
        <v>901</v>
      </c>
      <c r="AN10" s="6"/>
      <c r="AO10" s="6"/>
      <c r="AP10" s="6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449</v>
      </c>
      <c r="D11" s="6" t="s">
        <v>529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1590</v>
      </c>
      <c r="D12" s="6" t="s">
        <v>529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1660</v>
      </c>
      <c r="D13" s="6" t="s">
        <v>529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450</v>
      </c>
      <c r="D14" s="10" t="s">
        <v>530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1591</v>
      </c>
      <c r="D15" s="10" t="s">
        <v>530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1661</v>
      </c>
      <c r="D16" s="10" t="s">
        <v>530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451</v>
      </c>
      <c r="D17" s="10" t="s">
        <v>520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1592</v>
      </c>
      <c r="D18" s="10" t="s">
        <v>520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1662</v>
      </c>
      <c r="D19" s="10" t="s">
        <v>520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452</v>
      </c>
      <c r="D20" s="10" t="s">
        <v>531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1593</v>
      </c>
      <c r="D21" s="10" t="s">
        <v>531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1663</v>
      </c>
      <c r="D22" s="10" t="s">
        <v>531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453</v>
      </c>
      <c r="D23" s="10" t="s">
        <v>838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1594</v>
      </c>
      <c r="D24" s="10" t="s">
        <v>838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1664</v>
      </c>
      <c r="D25" s="10" t="s">
        <v>838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454</v>
      </c>
      <c r="D26" s="10" t="s">
        <v>519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1595</v>
      </c>
      <c r="D27" s="10" t="s">
        <v>519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1665</v>
      </c>
      <c r="D28" s="10" t="s">
        <v>519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455</v>
      </c>
      <c r="D29" s="10" t="s">
        <v>850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1596</v>
      </c>
      <c r="D30" s="10" t="s">
        <v>850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1666</v>
      </c>
      <c r="D31" s="10" t="s">
        <v>850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456</v>
      </c>
      <c r="D32" s="10" t="s">
        <v>851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1597</v>
      </c>
      <c r="D33" s="10" t="s">
        <v>851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1667</v>
      </c>
      <c r="D34" s="10" t="s">
        <v>851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457</v>
      </c>
      <c r="D35" s="10" t="s">
        <v>852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1598</v>
      </c>
      <c r="D36" s="10" t="s">
        <v>852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1668</v>
      </c>
      <c r="D37" s="10" t="s">
        <v>852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458</v>
      </c>
      <c r="D38" s="10" t="s">
        <v>521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1599</v>
      </c>
      <c r="D39" s="10" t="s">
        <v>521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1669</v>
      </c>
      <c r="D40" s="10" t="s">
        <v>521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459</v>
      </c>
      <c r="D41" s="10" t="s">
        <v>522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1600</v>
      </c>
      <c r="D42" s="10" t="s">
        <v>522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1670</v>
      </c>
      <c r="D43" s="10" t="s">
        <v>522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460</v>
      </c>
      <c r="D44" s="10" t="s">
        <v>523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1601</v>
      </c>
      <c r="D45" s="10" t="s">
        <v>523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1671</v>
      </c>
      <c r="D46" s="10" t="s">
        <v>523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461</v>
      </c>
      <c r="D47" s="10" t="s">
        <v>524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1602</v>
      </c>
      <c r="D48" s="10" t="s">
        <v>524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1672</v>
      </c>
      <c r="D49" s="10" t="s">
        <v>524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462</v>
      </c>
      <c r="D50" s="10" t="s">
        <v>839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1603</v>
      </c>
      <c r="D51" s="10" t="s">
        <v>839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1673</v>
      </c>
      <c r="D52" s="10" t="s">
        <v>839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463</v>
      </c>
      <c r="D53" s="10" t="s">
        <v>525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150002</v>
      </c>
      <c r="C54" s="6" t="s">
        <v>1604</v>
      </c>
      <c r="D54" s="10" t="s">
        <v>525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5">
        <v>150003</v>
      </c>
      <c r="C55" s="6" t="s">
        <v>1674</v>
      </c>
      <c r="D55" s="10" t="s">
        <v>525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160001</v>
      </c>
      <c r="C56" s="7" t="s">
        <v>464</v>
      </c>
      <c r="D56" s="10" t="s">
        <v>840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160002</v>
      </c>
      <c r="C57" s="7" t="s">
        <v>1605</v>
      </c>
      <c r="D57" s="10" t="s">
        <v>840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7">
        <v>160003</v>
      </c>
      <c r="C58" s="7" t="s">
        <v>1675</v>
      </c>
      <c r="D58" s="10" t="s">
        <v>840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30">
        <v>2</v>
      </c>
      <c r="AG58" s="30">
        <v>2</v>
      </c>
      <c r="AH58" s="30">
        <v>100</v>
      </c>
      <c r="AI58" s="30">
        <v>22</v>
      </c>
      <c r="AJ58" s="30">
        <v>4</v>
      </c>
      <c r="AK58" s="30">
        <v>90</v>
      </c>
      <c r="AL58" s="30" t="b">
        <v>0</v>
      </c>
      <c r="AM58" s="30">
        <v>0</v>
      </c>
      <c r="AN58" s="30">
        <v>0</v>
      </c>
      <c r="AO58" s="30">
        <v>49</v>
      </c>
      <c r="AP58" s="30">
        <v>0</v>
      </c>
      <c r="AQ58" s="30">
        <v>0</v>
      </c>
      <c r="AR58" s="30" t="b">
        <v>1</v>
      </c>
    </row>
    <row r="59" spans="1:52" ht="18.75" customHeight="1">
      <c r="B59" s="5">
        <v>170001</v>
      </c>
      <c r="C59" s="7" t="s">
        <v>465</v>
      </c>
      <c r="D59" s="10" t="s">
        <v>872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1606</v>
      </c>
      <c r="D60" s="10" t="s">
        <v>872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1676</v>
      </c>
      <c r="D61" s="10" t="s">
        <v>872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466</v>
      </c>
      <c r="D62" s="10" t="s">
        <v>526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1607</v>
      </c>
      <c r="D63" s="10" t="s">
        <v>526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1677</v>
      </c>
      <c r="D64" s="10" t="s">
        <v>526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467</v>
      </c>
      <c r="D65" s="10" t="s">
        <v>841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1608</v>
      </c>
      <c r="D66" s="10" t="s">
        <v>841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1678</v>
      </c>
      <c r="D67" s="10" t="s">
        <v>841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468</v>
      </c>
      <c r="D68" s="10" t="s">
        <v>527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1609</v>
      </c>
      <c r="D69" s="10" t="s">
        <v>527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1679</v>
      </c>
      <c r="D70" s="10" t="s">
        <v>527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469</v>
      </c>
      <c r="D71" s="10" t="s">
        <v>528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1610</v>
      </c>
      <c r="D72" s="10" t="s">
        <v>528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1680</v>
      </c>
      <c r="D73" s="10" t="s">
        <v>528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470</v>
      </c>
      <c r="D74" s="10" t="s">
        <v>873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2:44" ht="18.75" customHeight="1">
      <c r="B75" s="7">
        <v>220002</v>
      </c>
      <c r="C75" s="7" t="s">
        <v>1611</v>
      </c>
      <c r="D75" s="10" t="s">
        <v>873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2:44" ht="18.75" customHeight="1">
      <c r="B76" s="7">
        <v>220003</v>
      </c>
      <c r="C76" s="7" t="s">
        <v>1681</v>
      </c>
      <c r="D76" s="10" t="s">
        <v>873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2:44" ht="18.75" customHeight="1">
      <c r="B77" s="5">
        <v>230001</v>
      </c>
      <c r="C77" s="7" t="s">
        <v>471</v>
      </c>
      <c r="D77" s="10" t="s">
        <v>874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1612</v>
      </c>
      <c r="D78" s="10" t="s">
        <v>874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1682</v>
      </c>
      <c r="D79" s="10" t="s">
        <v>874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472</v>
      </c>
      <c r="D80" s="10" t="s">
        <v>842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1613</v>
      </c>
      <c r="D81" s="10" t="s">
        <v>842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1683</v>
      </c>
      <c r="D82" s="10" t="s">
        <v>842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473</v>
      </c>
      <c r="D83" s="10" t="s">
        <v>534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1614</v>
      </c>
      <c r="D84" s="10" t="s">
        <v>534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1684</v>
      </c>
      <c r="D85" s="10" t="s">
        <v>534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474</v>
      </c>
      <c r="D86" s="10" t="s">
        <v>875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1615</v>
      </c>
      <c r="D87" s="10" t="s">
        <v>875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1685</v>
      </c>
      <c r="D88" s="10" t="s">
        <v>875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475</v>
      </c>
      <c r="D89" s="10" t="s">
        <v>843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1616</v>
      </c>
      <c r="D90" s="10" t="s">
        <v>843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1686</v>
      </c>
      <c r="D91" s="10" t="s">
        <v>843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476</v>
      </c>
      <c r="D92" s="10" t="s">
        <v>876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1617</v>
      </c>
      <c r="D93" s="10" t="s">
        <v>876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1689</v>
      </c>
      <c r="D94" s="10" t="s">
        <v>876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477</v>
      </c>
      <c r="D95" s="10" t="s">
        <v>877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1618</v>
      </c>
      <c r="D96" s="10" t="s">
        <v>877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1687</v>
      </c>
      <c r="D97" s="10" t="s">
        <v>877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478</v>
      </c>
      <c r="D98" s="10" t="s">
        <v>844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1619</v>
      </c>
      <c r="D99" s="10" t="s">
        <v>844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1688</v>
      </c>
      <c r="D100" s="10" t="s">
        <v>844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479</v>
      </c>
      <c r="D101" s="10" t="s">
        <v>536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1620</v>
      </c>
      <c r="D102" s="10" t="s">
        <v>536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1690</v>
      </c>
      <c r="D103" s="10" t="s">
        <v>536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480</v>
      </c>
      <c r="D104" s="10" t="s">
        <v>898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1621</v>
      </c>
      <c r="D105" s="10" t="s">
        <v>898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1691</v>
      </c>
      <c r="D106" s="10" t="s">
        <v>898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481</v>
      </c>
      <c r="D107" s="10" t="s">
        <v>899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1622</v>
      </c>
      <c r="D108" s="10" t="s">
        <v>899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1692</v>
      </c>
      <c r="D109" s="10" t="s">
        <v>899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482</v>
      </c>
      <c r="D110" s="10" t="s">
        <v>900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1623</v>
      </c>
      <c r="D111" s="10" t="s">
        <v>900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1693</v>
      </c>
      <c r="D112" s="10" t="s">
        <v>900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483</v>
      </c>
      <c r="D113" s="10" t="s">
        <v>835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1624</v>
      </c>
      <c r="D114" s="10" t="s">
        <v>835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1694</v>
      </c>
      <c r="D115" s="10" t="s">
        <v>835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484</v>
      </c>
      <c r="D116" s="10" t="s">
        <v>538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1625</v>
      </c>
      <c r="D117" s="10" t="s">
        <v>538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1695</v>
      </c>
      <c r="D118" s="10" t="s">
        <v>538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485</v>
      </c>
      <c r="D119" s="10" t="s">
        <v>542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1626</v>
      </c>
      <c r="D120" s="10" t="s">
        <v>542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1696</v>
      </c>
      <c r="D121" s="10" t="s">
        <v>542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30">
        <v>3</v>
      </c>
      <c r="AG121" s="30">
        <v>2</v>
      </c>
      <c r="AH121" s="30">
        <v>35</v>
      </c>
      <c r="AI121" s="30">
        <v>30</v>
      </c>
      <c r="AJ121" s="30">
        <v>0</v>
      </c>
      <c r="AK121" s="30">
        <v>0</v>
      </c>
      <c r="AL121" s="30" t="b">
        <v>0</v>
      </c>
      <c r="AM121" s="30">
        <v>0</v>
      </c>
      <c r="AN121" s="30">
        <v>0</v>
      </c>
      <c r="AO121" s="30">
        <v>3</v>
      </c>
      <c r="AP121" s="30">
        <v>31</v>
      </c>
      <c r="AQ121" s="30">
        <v>2</v>
      </c>
      <c r="AR121" s="30" t="b">
        <v>1</v>
      </c>
    </row>
    <row r="122" spans="1:52" ht="18.75" customHeight="1">
      <c r="B122" s="7">
        <v>380001</v>
      </c>
      <c r="C122" s="7" t="s">
        <v>486</v>
      </c>
      <c r="D122" s="10" t="s">
        <v>836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1627</v>
      </c>
      <c r="D123" s="10" t="s">
        <v>836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1697</v>
      </c>
      <c r="D124" s="10" t="s">
        <v>836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487</v>
      </c>
      <c r="D125" s="10" t="s">
        <v>608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1628</v>
      </c>
      <c r="D126" s="10" t="s">
        <v>608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1698</v>
      </c>
      <c r="D127" s="10" t="s">
        <v>608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488</v>
      </c>
      <c r="D128" s="10" t="s">
        <v>837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1629</v>
      </c>
      <c r="D129" s="10" t="s">
        <v>837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1700</v>
      </c>
      <c r="D130" s="10" t="s">
        <v>837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489</v>
      </c>
      <c r="D131" s="10" t="s">
        <v>609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1630</v>
      </c>
      <c r="D132" s="10" t="s">
        <v>609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1699</v>
      </c>
      <c r="D133" s="10" t="s">
        <v>609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490</v>
      </c>
      <c r="D134" s="10" t="s">
        <v>610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1631</v>
      </c>
      <c r="D135" s="10" t="s">
        <v>610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1701</v>
      </c>
      <c r="D136" s="10" t="s">
        <v>610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491</v>
      </c>
      <c r="D137" s="10" t="s">
        <v>611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1632</v>
      </c>
      <c r="D138" s="10" t="s">
        <v>611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1702</v>
      </c>
      <c r="D139" s="10" t="s">
        <v>611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492</v>
      </c>
      <c r="D140" s="10" t="s">
        <v>612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1633</v>
      </c>
      <c r="D141" s="10" t="s">
        <v>612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1703</v>
      </c>
      <c r="D142" s="10" t="s">
        <v>612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493</v>
      </c>
      <c r="D143" s="10" t="s">
        <v>613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1634</v>
      </c>
      <c r="D144" s="10" t="s">
        <v>613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1704</v>
      </c>
      <c r="D145" s="10" t="s">
        <v>613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494</v>
      </c>
      <c r="D146" s="10" t="s">
        <v>614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1635</v>
      </c>
      <c r="D147" s="10" t="s">
        <v>614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1705</v>
      </c>
      <c r="D148" s="10" t="s">
        <v>614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495</v>
      </c>
      <c r="D149" s="10" t="s">
        <v>615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1636</v>
      </c>
      <c r="D150" s="10" t="s">
        <v>615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1706</v>
      </c>
      <c r="D151" s="10" t="s">
        <v>615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496</v>
      </c>
      <c r="D152" s="10" t="s">
        <v>616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1637</v>
      </c>
      <c r="D153" s="10" t="s">
        <v>616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1707</v>
      </c>
      <c r="D154" s="10" t="s">
        <v>616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497</v>
      </c>
      <c r="D155" s="10" t="s">
        <v>617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1638</v>
      </c>
      <c r="D156" s="10" t="s">
        <v>617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1708</v>
      </c>
      <c r="D157" s="10" t="s">
        <v>617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498</v>
      </c>
      <c r="D158" s="10" t="s">
        <v>618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1639</v>
      </c>
      <c r="D159" s="10" t="s">
        <v>618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1709</v>
      </c>
      <c r="D160" s="10" t="s">
        <v>618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499</v>
      </c>
      <c r="D161" s="10" t="s">
        <v>619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1640</v>
      </c>
      <c r="D162" s="10" t="s">
        <v>619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1710</v>
      </c>
      <c r="D163" s="10" t="s">
        <v>619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500</v>
      </c>
      <c r="D164" s="10" t="s">
        <v>620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1641</v>
      </c>
      <c r="D165" s="10" t="s">
        <v>620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1711</v>
      </c>
      <c r="D166" s="10" t="s">
        <v>620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501</v>
      </c>
      <c r="D167" s="10" t="s">
        <v>621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1642</v>
      </c>
      <c r="D168" s="10" t="s">
        <v>621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1712</v>
      </c>
      <c r="D169" s="10" t="s">
        <v>621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502</v>
      </c>
      <c r="D170" s="10" t="s">
        <v>622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1643</v>
      </c>
      <c r="D171" s="10" t="s">
        <v>622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1713</v>
      </c>
      <c r="D172" s="10" t="s">
        <v>622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503</v>
      </c>
      <c r="D173" s="10" t="s">
        <v>623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1644</v>
      </c>
      <c r="D174" s="10" t="s">
        <v>623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1714</v>
      </c>
      <c r="D175" s="10" t="s">
        <v>623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504</v>
      </c>
      <c r="D176" s="10" t="s">
        <v>624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1645</v>
      </c>
      <c r="D177" s="10" t="s">
        <v>624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1715</v>
      </c>
      <c r="D178" s="10" t="s">
        <v>624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505</v>
      </c>
      <c r="D179" s="10" t="s">
        <v>625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1646</v>
      </c>
      <c r="D180" s="10" t="s">
        <v>625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1716</v>
      </c>
      <c r="D181" s="10" t="s">
        <v>625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506</v>
      </c>
      <c r="D182" s="10" t="s">
        <v>626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1647</v>
      </c>
      <c r="D183" s="10" t="s">
        <v>626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1717</v>
      </c>
      <c r="D184" s="10" t="s">
        <v>626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507</v>
      </c>
      <c r="D185" s="10" t="s">
        <v>627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1648</v>
      </c>
      <c r="D186" s="10" t="s">
        <v>627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1718</v>
      </c>
      <c r="D187" s="10" t="s">
        <v>627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508</v>
      </c>
      <c r="D188" s="10" t="s">
        <v>628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1649</v>
      </c>
      <c r="D189" s="10" t="s">
        <v>628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1719</v>
      </c>
      <c r="D190" s="10" t="s">
        <v>628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509</v>
      </c>
      <c r="D191" s="10" t="s">
        <v>629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1650</v>
      </c>
      <c r="D192" s="10" t="s">
        <v>629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1720</v>
      </c>
      <c r="D193" s="10" t="s">
        <v>629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510</v>
      </c>
      <c r="D194" s="10" t="s">
        <v>630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1651</v>
      </c>
      <c r="D195" s="10" t="s">
        <v>630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1721</v>
      </c>
      <c r="D196" s="10" t="s">
        <v>630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511</v>
      </c>
      <c r="D197" s="10" t="s">
        <v>631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1652</v>
      </c>
      <c r="D198" s="10" t="s">
        <v>631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1722</v>
      </c>
      <c r="D199" s="10" t="s">
        <v>631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512</v>
      </c>
      <c r="D200" s="10" t="s">
        <v>632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1653</v>
      </c>
      <c r="D201" s="10" t="s">
        <v>632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1723</v>
      </c>
      <c r="D202" s="10" t="s">
        <v>632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513</v>
      </c>
      <c r="D203" s="10" t="s">
        <v>633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1654</v>
      </c>
      <c r="D204" s="10" t="s">
        <v>633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1724</v>
      </c>
      <c r="D205" s="10" t="s">
        <v>633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514</v>
      </c>
      <c r="D206" s="10" t="s">
        <v>634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1655</v>
      </c>
      <c r="D207" s="10" t="s">
        <v>634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1725</v>
      </c>
      <c r="D208" s="10" t="s">
        <v>634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515</v>
      </c>
      <c r="D209" s="10" t="s">
        <v>635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1656</v>
      </c>
      <c r="D210" s="10" t="s">
        <v>635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1726</v>
      </c>
      <c r="D211" s="10" t="s">
        <v>635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516</v>
      </c>
      <c r="D212" s="10" t="s">
        <v>636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1657</v>
      </c>
      <c r="D213" s="10" t="s">
        <v>636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1727</v>
      </c>
      <c r="D214" s="10" t="s">
        <v>636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517</v>
      </c>
      <c r="D215" s="10" t="s">
        <v>637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1658</v>
      </c>
      <c r="D216" s="10" t="s">
        <v>637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1728</v>
      </c>
      <c r="D217" s="10" t="s">
        <v>637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518</v>
      </c>
      <c r="D218" s="10" t="s">
        <v>638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1659</v>
      </c>
      <c r="D219" s="10" t="s">
        <v>638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1729</v>
      </c>
      <c r="D220" s="10" t="s">
        <v>638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11" priority="5">
      <formula>CELL("ROW")=ROW()</formula>
    </cfRule>
  </conditionalFormatting>
  <conditionalFormatting sqref="G10">
    <cfRule type="expression" dxfId="10" priority="4">
      <formula>CELL("ROW")=ROW()</formula>
    </cfRule>
  </conditionalFormatting>
  <conditionalFormatting sqref="T10">
    <cfRule type="expression" dxfId="9" priority="3">
      <formula>CELL("ROW")=ROW()</formula>
    </cfRule>
  </conditionalFormatting>
  <conditionalFormatting sqref="AG10">
    <cfRule type="expression" dxfId="8" priority="2">
      <formula>CELL("ROW")=ROW()</formula>
    </cfRule>
  </conditionalFormatting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2" ht="12" customHeight="1"/>
    <row r="2" spans="1:42" ht="40.5" customHeight="1">
      <c r="A2" s="56" t="s">
        <v>0</v>
      </c>
      <c r="B2" s="7" t="s">
        <v>223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6" t="s">
        <v>2</v>
      </c>
      <c r="B4" s="3" t="s">
        <v>3</v>
      </c>
      <c r="C4" s="3" t="s">
        <v>197</v>
      </c>
      <c r="D4" s="3" t="s">
        <v>912</v>
      </c>
      <c r="E4" s="3" t="s">
        <v>913</v>
      </c>
      <c r="F4" s="3" t="s">
        <v>916</v>
      </c>
      <c r="G4" s="3" t="s">
        <v>917</v>
      </c>
      <c r="H4" s="3" t="s">
        <v>918</v>
      </c>
      <c r="I4" s="3" t="s">
        <v>910</v>
      </c>
      <c r="J4" s="3" t="s">
        <v>908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177</v>
      </c>
      <c r="E8" s="4" t="s">
        <v>177</v>
      </c>
      <c r="F8" s="4" t="s">
        <v>907</v>
      </c>
      <c r="G8" s="4" t="s">
        <v>907</v>
      </c>
      <c r="H8" s="4" t="s">
        <v>907</v>
      </c>
      <c r="I8" s="4" t="s">
        <v>907</v>
      </c>
      <c r="J8" s="4" t="s">
        <v>177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6" t="s">
        <v>10</v>
      </c>
      <c r="B9" s="5" t="s">
        <v>11</v>
      </c>
      <c r="C9" s="6" t="s">
        <v>205</v>
      </c>
      <c r="D9" s="6" t="s">
        <v>914</v>
      </c>
      <c r="E9" s="6" t="s">
        <v>915</v>
      </c>
      <c r="F9" s="6" t="s">
        <v>919</v>
      </c>
      <c r="G9" s="6" t="s">
        <v>920</v>
      </c>
      <c r="H9" s="6" t="s">
        <v>921</v>
      </c>
      <c r="I9" s="5" t="s">
        <v>911</v>
      </c>
      <c r="J9" s="6" t="s">
        <v>909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1298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7" t="s">
        <v>108</v>
      </c>
      <c r="B11" s="5">
        <v>1</v>
      </c>
      <c r="C11" s="6" t="s">
        <v>922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7"/>
      <c r="B12" s="7">
        <v>2</v>
      </c>
      <c r="C12" s="7" t="s">
        <v>939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924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925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926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927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929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928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930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931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940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941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942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943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944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945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946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947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948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949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950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951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952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953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954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955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956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957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958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959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960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961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962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963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964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965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966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967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968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969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970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971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972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973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974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975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976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977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932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978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979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980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981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982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983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984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985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986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987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988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989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990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991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933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934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935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936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937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938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992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993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994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995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996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997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998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999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1000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1001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1002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1003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1004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1005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1006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1007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1008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1009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1010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1011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1012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1013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1014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1015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1016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1017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1018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1019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1020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1021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1022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1023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1024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1025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1026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1027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1028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1029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1030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1031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1032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1033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1034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1035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1036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1037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1038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1039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1040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1041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1042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1043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1044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1045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1046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1047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1048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1049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1050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1051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1052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1053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1054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1055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1056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1057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1058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1059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1060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1061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1062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1063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1064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1065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1066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1067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1068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1069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1070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1071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1072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1073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1074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1075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1076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1077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1078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1079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1080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1081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1082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1083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1084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1085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1086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1087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1088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1089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1090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1091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1092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1093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1094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1095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1096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1097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1098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1099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1100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1101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1102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1103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1104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1105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1106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1107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1108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1109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1110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1111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1112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1113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1114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1115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1116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1117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1118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1119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1120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1121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1122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1123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1124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1125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1126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1127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1128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1129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1130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1131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1132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1133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1134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1135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1136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1137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1138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1139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1140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1141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1142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1143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1144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1145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1146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1147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1148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1149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1150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1151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1152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1153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1154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1155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1156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1157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1158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1159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1160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1161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1162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1163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1164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1165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1166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1167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1168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1169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1170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1171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1172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1173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1174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1175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1176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1177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1178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1179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1180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1181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1182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1183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1184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1185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1186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1187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1188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1189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1190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1191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1192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1193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1194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1195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1196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1197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1198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1199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1200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1201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1202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1203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1204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1205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1206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1207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1208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1209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1210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1211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1212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1213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1214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1215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1216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1217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1218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1219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1220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1221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1222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1223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1224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923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1225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1226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1227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1228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1229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1230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1231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1232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1233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1234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1234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1234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1235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1235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1235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1236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1236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1236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1237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1237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1238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1238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1239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1239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1240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1240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1241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1241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1242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1242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1243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1243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1244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1244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1245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1245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1246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1246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1247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1247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1248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1248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1249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1249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1250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1250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1251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1251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1252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1252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1253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1253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1254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1254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1255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1255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1256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1256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1257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1257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1258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1258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1259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1259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1260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1261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1262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1263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1263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1264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1264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1265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1265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1266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1266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1267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1267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1268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1268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1269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1269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1270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1270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1271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1271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1272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1272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1273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1273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1274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1275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1274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1275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1276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1276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1277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1277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1278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1278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1279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1279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1280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1280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1281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1281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1282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1282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1283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1283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1284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1284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1285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1285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1286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1286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1287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1287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1288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1289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1290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1291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1292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1293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1294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1294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P100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42" ht="12" customHeight="1"/>
    <row r="2" spans="1:42" ht="40.5" customHeight="1">
      <c r="A2" s="56" t="s">
        <v>0</v>
      </c>
      <c r="B2" s="7" t="s">
        <v>234</v>
      </c>
      <c r="C2" s="13"/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42" ht="18.75" customHeight="1">
      <c r="A4" s="56" t="s">
        <v>2</v>
      </c>
      <c r="B4" s="3" t="s">
        <v>3</v>
      </c>
      <c r="C4" s="3" t="s">
        <v>235</v>
      </c>
      <c r="D4" s="3" t="s">
        <v>15</v>
      </c>
      <c r="E4" s="3" t="s">
        <v>197</v>
      </c>
      <c r="F4" s="3" t="s">
        <v>239</v>
      </c>
      <c r="G4" s="3" t="s">
        <v>182</v>
      </c>
      <c r="H4" s="3"/>
      <c r="I4" s="3"/>
      <c r="J4" s="3"/>
      <c r="K4" s="3"/>
      <c r="L4" s="3"/>
      <c r="M4" s="3" t="s">
        <v>241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42" ht="76.5" customHeight="1">
      <c r="A9" s="56" t="s">
        <v>10</v>
      </c>
      <c r="B9" s="5" t="s">
        <v>11</v>
      </c>
      <c r="C9" s="5" t="s">
        <v>236</v>
      </c>
      <c r="D9" s="5" t="s">
        <v>238</v>
      </c>
      <c r="E9" s="5" t="s">
        <v>205</v>
      </c>
      <c r="F9" s="6" t="s">
        <v>240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5"/>
      <c r="T9" s="5"/>
      <c r="U9" s="5"/>
      <c r="V9" s="5"/>
      <c r="W9" s="5"/>
      <c r="X9" s="5"/>
      <c r="Y9" s="5"/>
      <c r="Z9" s="6"/>
      <c r="AA9" s="6"/>
      <c r="AB9" s="5"/>
      <c r="AC9" s="5"/>
      <c r="AD9" s="5"/>
      <c r="AE9" s="5"/>
      <c r="AF9" s="5"/>
      <c r="AG9" s="5"/>
      <c r="AH9" s="5"/>
      <c r="AI9" s="5"/>
      <c r="AJ9" s="5"/>
    </row>
    <row r="10" spans="1:42" ht="191.25" customHeight="1">
      <c r="A10" s="56" t="s">
        <v>12</v>
      </c>
      <c r="B10" s="18"/>
      <c r="C10" s="19" t="s">
        <v>237</v>
      </c>
      <c r="D10" s="19"/>
      <c r="E10" s="19"/>
      <c r="F10" s="20"/>
      <c r="G10" s="19" t="s">
        <v>242</v>
      </c>
      <c r="H10" s="19"/>
      <c r="I10" s="19"/>
      <c r="J10" s="19" t="s">
        <v>242</v>
      </c>
      <c r="K10" s="19"/>
      <c r="L10" s="19"/>
      <c r="M10" s="19" t="s">
        <v>242</v>
      </c>
      <c r="N10" s="18"/>
      <c r="O10" s="19"/>
      <c r="P10" s="19" t="s">
        <v>242</v>
      </c>
      <c r="Q10" s="19"/>
      <c r="R10" s="19"/>
      <c r="S10" s="19"/>
      <c r="T10" s="19"/>
      <c r="U10" s="19"/>
      <c r="V10" s="19"/>
      <c r="W10" s="19"/>
      <c r="X10" s="18"/>
      <c r="Y10" s="18"/>
      <c r="Z10" s="19"/>
      <c r="AA10" s="19"/>
      <c r="AB10" s="19"/>
      <c r="AC10" s="6"/>
      <c r="AD10" s="6"/>
      <c r="AE10" s="6"/>
      <c r="AF10" s="6"/>
      <c r="AG10" s="6"/>
      <c r="AH10" s="6"/>
      <c r="AI10" s="6"/>
      <c r="AJ10" s="6"/>
    </row>
    <row r="11" spans="1:42" ht="18.75" customHeight="1">
      <c r="A11" s="57" t="s">
        <v>13</v>
      </c>
      <c r="B11" s="14">
        <v>100010001</v>
      </c>
      <c r="C11" s="14">
        <v>1</v>
      </c>
      <c r="D11" s="14" t="s">
        <v>243</v>
      </c>
      <c r="E11" s="14"/>
      <c r="F11" s="5">
        <v>4001001</v>
      </c>
      <c r="G11" s="14"/>
      <c r="H11" s="22"/>
      <c r="I11" s="23"/>
      <c r="J11" s="14"/>
      <c r="K11" s="14"/>
      <c r="L11" s="22"/>
      <c r="M11" s="14">
        <v>1</v>
      </c>
      <c r="N11" s="14">
        <v>100010001</v>
      </c>
      <c r="O11" s="22"/>
      <c r="P11" s="14"/>
      <c r="Q11" s="14"/>
      <c r="R11" s="2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42" ht="18.75" customHeight="1">
      <c r="A12" s="8"/>
      <c r="B12" s="14">
        <v>100010002</v>
      </c>
      <c r="C12" s="14">
        <v>1</v>
      </c>
      <c r="D12" s="14" t="s">
        <v>244</v>
      </c>
      <c r="E12" s="14"/>
      <c r="F12" s="14">
        <v>4001002</v>
      </c>
      <c r="G12" s="14">
        <v>5</v>
      </c>
      <c r="H12" s="14">
        <v>100010001</v>
      </c>
      <c r="I12" s="24"/>
      <c r="J12" s="14"/>
      <c r="K12" s="14"/>
      <c r="L12" s="14"/>
      <c r="M12" s="14">
        <v>1</v>
      </c>
      <c r="N12" s="14">
        <v>100010002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42" ht="18.75" customHeight="1">
      <c r="A13" s="8"/>
      <c r="B13" s="14">
        <v>100010003</v>
      </c>
      <c r="C13" s="14">
        <v>1</v>
      </c>
      <c r="D13" s="14" t="s">
        <v>249</v>
      </c>
      <c r="E13" s="14"/>
      <c r="F13" s="14">
        <v>4001003</v>
      </c>
      <c r="G13" s="14">
        <v>5</v>
      </c>
      <c r="H13" s="14">
        <v>100010002</v>
      </c>
      <c r="I13" s="24"/>
      <c r="J13" s="14"/>
      <c r="K13" s="14"/>
      <c r="L13" s="14"/>
      <c r="M13" s="14">
        <v>1</v>
      </c>
      <c r="N13" s="14">
        <v>100060014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42" ht="18.75" customHeight="1">
      <c r="A14" s="8"/>
      <c r="B14" s="14">
        <v>200010001</v>
      </c>
      <c r="C14" s="14">
        <v>2</v>
      </c>
      <c r="D14" s="14" t="s">
        <v>250</v>
      </c>
      <c r="E14" s="14"/>
      <c r="F14" s="7">
        <v>5001001</v>
      </c>
      <c r="G14" s="14"/>
      <c r="H14" s="14"/>
      <c r="I14" s="24"/>
      <c r="J14" s="14"/>
      <c r="K14" s="14"/>
      <c r="L14" s="14"/>
      <c r="M14" s="14">
        <v>12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42" ht="18.75" customHeight="1">
      <c r="A15" s="8"/>
      <c r="B15" s="14">
        <v>200010002</v>
      </c>
      <c r="C15" s="14">
        <v>2</v>
      </c>
      <c r="D15" s="14" t="s">
        <v>251</v>
      </c>
      <c r="E15" s="14"/>
      <c r="F15" s="7">
        <v>5001002</v>
      </c>
      <c r="G15" s="14"/>
      <c r="H15" s="14"/>
      <c r="I15" s="24"/>
      <c r="J15" s="14"/>
      <c r="K15" s="14"/>
      <c r="L15" s="14"/>
      <c r="M15" s="14">
        <v>13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42" ht="18.75" customHeight="1">
      <c r="A16" s="8"/>
      <c r="B16" s="14">
        <v>200010003</v>
      </c>
      <c r="C16" s="14">
        <v>2</v>
      </c>
      <c r="D16" s="14" t="s">
        <v>252</v>
      </c>
      <c r="E16" s="14"/>
      <c r="F16" s="7">
        <v>5001003</v>
      </c>
      <c r="G16" s="14"/>
      <c r="H16" s="14"/>
      <c r="I16" s="24"/>
      <c r="J16" s="14"/>
      <c r="K16" s="14"/>
      <c r="L16" s="14"/>
      <c r="M16" s="14">
        <v>9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500010001</v>
      </c>
      <c r="C17" s="14">
        <v>5</v>
      </c>
      <c r="D17" s="14" t="s">
        <v>256</v>
      </c>
      <c r="E17" s="14"/>
      <c r="F17" s="14">
        <v>6001001</v>
      </c>
      <c r="G17" s="14"/>
      <c r="H17" s="14"/>
      <c r="I17" s="24"/>
      <c r="J17" s="14"/>
      <c r="K17" s="14"/>
      <c r="L17" s="14"/>
      <c r="M17" s="14">
        <v>1</v>
      </c>
      <c r="N17" s="14">
        <v>200010001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500010002</v>
      </c>
      <c r="C18" s="14">
        <v>5</v>
      </c>
      <c r="D18" s="14" t="s">
        <v>257</v>
      </c>
      <c r="E18" s="14"/>
      <c r="F18" s="14">
        <v>6001002</v>
      </c>
      <c r="G18" s="14"/>
      <c r="H18" s="14"/>
      <c r="I18" s="24"/>
      <c r="J18" s="14"/>
      <c r="K18" s="14"/>
      <c r="L18" s="14"/>
      <c r="M18" s="14">
        <v>1</v>
      </c>
      <c r="N18" s="14">
        <v>200010002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500010003</v>
      </c>
      <c r="C19" s="14">
        <v>5</v>
      </c>
      <c r="D19" s="14" t="s">
        <v>258</v>
      </c>
      <c r="E19" s="14"/>
      <c r="F19" s="14">
        <v>6001003</v>
      </c>
      <c r="G19" s="14"/>
      <c r="H19" s="14"/>
      <c r="I19" s="24"/>
      <c r="J19" s="14"/>
      <c r="K19" s="14"/>
      <c r="L19" s="14"/>
      <c r="M19" s="14">
        <v>1</v>
      </c>
      <c r="N19" s="14">
        <v>200010003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500010004</v>
      </c>
      <c r="C20" s="14">
        <v>5</v>
      </c>
      <c r="D20" s="14" t="s">
        <v>259</v>
      </c>
      <c r="E20" s="14"/>
      <c r="F20" s="14">
        <v>6001004</v>
      </c>
      <c r="G20" s="14"/>
      <c r="H20" s="14"/>
      <c r="I20" s="24"/>
      <c r="J20" s="14"/>
      <c r="K20" s="14"/>
      <c r="L20" s="14"/>
      <c r="M20" s="14">
        <v>1</v>
      </c>
      <c r="N20" s="14">
        <v>200010004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>
        <v>500010005</v>
      </c>
      <c r="C21" s="14">
        <v>5</v>
      </c>
      <c r="D21" s="14" t="s">
        <v>245</v>
      </c>
      <c r="E21" s="14"/>
      <c r="F21" s="14">
        <v>6001005</v>
      </c>
      <c r="G21" s="14"/>
      <c r="H21" s="14"/>
      <c r="I21" s="24"/>
      <c r="J21" s="14"/>
      <c r="K21" s="14"/>
      <c r="L21" s="14"/>
      <c r="M21" s="14">
        <v>1</v>
      </c>
      <c r="N21" s="14">
        <v>200010005</v>
      </c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22"/>
      <c r="I33" s="23"/>
      <c r="J33" s="14"/>
      <c r="K33" s="14"/>
      <c r="L33" s="22"/>
      <c r="M33" s="14"/>
      <c r="N33" s="22"/>
      <c r="O33" s="22"/>
      <c r="P33" s="14"/>
      <c r="Q33" s="14"/>
      <c r="R33" s="22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22"/>
      <c r="I36" s="23"/>
      <c r="J36" s="14"/>
      <c r="K36" s="14"/>
      <c r="L36" s="22"/>
      <c r="M36" s="14"/>
      <c r="N36" s="22"/>
      <c r="O36" s="22"/>
      <c r="P36" s="14"/>
      <c r="Q36" s="14"/>
      <c r="R36" s="22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22"/>
      <c r="I39" s="23"/>
      <c r="J39" s="14"/>
      <c r="K39" s="14"/>
      <c r="L39" s="22"/>
      <c r="M39" s="14"/>
      <c r="N39" s="22"/>
      <c r="O39" s="22"/>
      <c r="P39" s="14"/>
      <c r="Q39" s="14"/>
      <c r="R39" s="22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22"/>
      <c r="I42" s="23"/>
      <c r="J42" s="14"/>
      <c r="K42" s="14"/>
      <c r="L42" s="22"/>
      <c r="M42" s="14"/>
      <c r="N42" s="22"/>
      <c r="O42" s="22"/>
      <c r="P42" s="14"/>
      <c r="Q42" s="14"/>
      <c r="R42" s="22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14"/>
      <c r="I44" s="2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22"/>
      <c r="I45" s="23"/>
      <c r="J45" s="14"/>
      <c r="K45" s="14"/>
      <c r="L45" s="22"/>
      <c r="M45" s="14"/>
      <c r="N45" s="22"/>
      <c r="O45" s="22"/>
      <c r="P45" s="14"/>
      <c r="Q45" s="14"/>
      <c r="R45" s="22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6"/>
      <c r="AD52" s="7"/>
      <c r="AE52" s="7"/>
      <c r="AF52" s="7"/>
      <c r="AG52" s="7"/>
      <c r="AH52" s="7"/>
      <c r="AI52" s="7"/>
      <c r="AJ52" s="7"/>
    </row>
    <row r="53" spans="1:36" ht="18.75" customHeight="1">
      <c r="A53" s="8"/>
      <c r="B53" s="14"/>
      <c r="C53" s="14"/>
      <c r="D53" s="14"/>
      <c r="E53" s="14"/>
      <c r="F53" s="14"/>
      <c r="G53" s="14"/>
      <c r="H53" s="14"/>
      <c r="I53" s="2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7"/>
      <c r="AD53" s="11"/>
      <c r="AE53" s="11"/>
      <c r="AF53" s="11"/>
      <c r="AG53" s="11"/>
      <c r="AH53" s="11"/>
      <c r="AI53" s="11"/>
      <c r="AJ53" s="11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3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3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3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3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3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3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3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3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14"/>
      <c r="N62" s="14"/>
      <c r="O62" s="14"/>
      <c r="P62" s="35"/>
      <c r="Q62" s="35"/>
      <c r="R62" s="14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3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22"/>
      <c r="I63" s="23"/>
      <c r="J63" s="35"/>
      <c r="K63" s="35"/>
      <c r="L63" s="22"/>
      <c r="M63" s="14"/>
      <c r="N63" s="22"/>
      <c r="O63" s="22"/>
      <c r="P63" s="35"/>
      <c r="Q63" s="35"/>
      <c r="R63" s="22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3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3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14"/>
      <c r="N65" s="14"/>
      <c r="O65" s="14"/>
      <c r="P65" s="35"/>
      <c r="Q65" s="35"/>
      <c r="R65" s="14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3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22"/>
      <c r="I66" s="23"/>
      <c r="J66" s="35"/>
      <c r="K66" s="35"/>
      <c r="L66" s="22"/>
      <c r="M66" s="14"/>
      <c r="N66" s="22"/>
      <c r="O66" s="22"/>
      <c r="P66" s="35"/>
      <c r="Q66" s="35"/>
      <c r="R66" s="22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3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3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14"/>
      <c r="N68" s="14"/>
      <c r="O68" s="14"/>
      <c r="P68" s="35"/>
      <c r="Q68" s="35"/>
      <c r="R68" s="14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3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22"/>
      <c r="I69" s="23"/>
      <c r="J69" s="35"/>
      <c r="K69" s="35"/>
      <c r="L69" s="22"/>
      <c r="M69" s="14"/>
      <c r="N69" s="22"/>
      <c r="O69" s="22"/>
      <c r="P69" s="35"/>
      <c r="Q69" s="35"/>
      <c r="R69" s="22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3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3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14"/>
      <c r="N71" s="14"/>
      <c r="O71" s="14"/>
      <c r="P71" s="35"/>
      <c r="Q71" s="35"/>
      <c r="R71" s="14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3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22"/>
      <c r="I72" s="23"/>
      <c r="J72" s="35"/>
      <c r="K72" s="35"/>
      <c r="L72" s="22"/>
      <c r="M72" s="14"/>
      <c r="N72" s="22"/>
      <c r="O72" s="22"/>
      <c r="P72" s="35"/>
      <c r="Q72" s="35"/>
      <c r="R72" s="22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3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3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14"/>
      <c r="N74" s="14"/>
      <c r="O74" s="14"/>
      <c r="P74" s="35"/>
      <c r="Q74" s="35"/>
      <c r="R74" s="14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3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22"/>
      <c r="I75" s="23"/>
      <c r="J75" s="35"/>
      <c r="K75" s="35"/>
      <c r="L75" s="22"/>
      <c r="M75" s="14"/>
      <c r="N75" s="22"/>
      <c r="O75" s="22"/>
      <c r="P75" s="35"/>
      <c r="Q75" s="35"/>
      <c r="R75" s="22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3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3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3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3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3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3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3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3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3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3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3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3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3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3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35"/>
      <c r="K89" s="35"/>
      <c r="L89" s="1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3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3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3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3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14"/>
      <c r="H93" s="14"/>
      <c r="I93" s="24"/>
      <c r="J93" s="14"/>
      <c r="K93" s="35"/>
      <c r="L93" s="24"/>
      <c r="M93" s="14"/>
      <c r="N93" s="14"/>
      <c r="O93" s="14"/>
      <c r="P93" s="35"/>
      <c r="Q93" s="35"/>
      <c r="R93" s="14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53"/>
      <c r="AD93" s="35"/>
      <c r="AE93" s="35"/>
      <c r="AF93" s="35"/>
      <c r="AG93" s="35"/>
      <c r="AH93" s="35"/>
      <c r="AI93" s="35"/>
      <c r="AJ93" s="35"/>
    </row>
    <row r="94" spans="2:36" ht="18.75" customHeight="1">
      <c r="B94" s="14"/>
      <c r="C94" s="14"/>
      <c r="D94" s="14"/>
      <c r="E94" s="14"/>
      <c r="F94" s="14"/>
      <c r="G94" s="25"/>
      <c r="H94" s="35"/>
      <c r="I94" s="24"/>
      <c r="J94" s="25"/>
      <c r="K94" s="35"/>
      <c r="L94" s="24"/>
      <c r="M94" s="14"/>
      <c r="N94" s="14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6"/>
    </row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J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42" ht="12" customHeight="1"/>
    <row r="2" spans="1:42" ht="40.5" customHeight="1">
      <c r="A2" s="56" t="s">
        <v>0</v>
      </c>
      <c r="B2" s="7" t="s">
        <v>265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269</v>
      </c>
      <c r="E4" s="3" t="s">
        <v>120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270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6" t="s">
        <v>10</v>
      </c>
      <c r="B9" s="5" t="s">
        <v>11</v>
      </c>
      <c r="C9" s="5" t="s">
        <v>34</v>
      </c>
      <c r="D9" s="5" t="s">
        <v>271</v>
      </c>
      <c r="E9" s="6" t="s">
        <v>124</v>
      </c>
      <c r="F9" s="6" t="s">
        <v>119</v>
      </c>
      <c r="G9" s="5" t="s">
        <v>33</v>
      </c>
      <c r="H9" s="6" t="s">
        <v>151</v>
      </c>
      <c r="I9" s="6" t="s">
        <v>119</v>
      </c>
      <c r="J9" s="5" t="s">
        <v>33</v>
      </c>
      <c r="K9" s="6" t="s">
        <v>151</v>
      </c>
      <c r="L9" s="6" t="s">
        <v>119</v>
      </c>
      <c r="M9" s="5" t="s">
        <v>33</v>
      </c>
      <c r="N9" s="6" t="s">
        <v>151</v>
      </c>
      <c r="O9" s="6" t="s">
        <v>119</v>
      </c>
      <c r="P9" s="5" t="s">
        <v>33</v>
      </c>
      <c r="Q9" s="6" t="s">
        <v>151</v>
      </c>
      <c r="R9" s="6" t="s">
        <v>119</v>
      </c>
      <c r="S9" s="5" t="s">
        <v>33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7" t="s">
        <v>108</v>
      </c>
      <c r="B11" s="5">
        <v>100010001</v>
      </c>
      <c r="C11" s="6" t="s">
        <v>266</v>
      </c>
      <c r="D11" s="6" t="s">
        <v>272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7"/>
      <c r="B12" s="5">
        <v>100010002</v>
      </c>
      <c r="C12" s="6" t="s">
        <v>267</v>
      </c>
      <c r="D12" s="6" t="s">
        <v>273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8">
        <v>200010001</v>
      </c>
      <c r="C13" s="49" t="s">
        <v>268</v>
      </c>
      <c r="D13" s="49" t="s">
        <v>274</v>
      </c>
      <c r="E13" s="49">
        <v>1</v>
      </c>
      <c r="F13" s="49">
        <v>1</v>
      </c>
      <c r="G13" s="49">
        <v>50</v>
      </c>
      <c r="H13" s="49">
        <v>2</v>
      </c>
      <c r="I13" s="49">
        <v>5</v>
      </c>
      <c r="J13" s="50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278</v>
      </c>
      <c r="D14" s="6" t="s">
        <v>289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288</v>
      </c>
      <c r="D15" s="6" t="s">
        <v>290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275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279</v>
      </c>
      <c r="D4" s="3" t="s">
        <v>269</v>
      </c>
      <c r="E4" s="3" t="s">
        <v>276</v>
      </c>
      <c r="F4" s="3" t="s">
        <v>284</v>
      </c>
      <c r="G4" s="3" t="s">
        <v>283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270</v>
      </c>
      <c r="D8" s="4" t="s">
        <v>270</v>
      </c>
      <c r="E8" s="4" t="s">
        <v>20</v>
      </c>
      <c r="F8" s="4" t="s">
        <v>9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280</v>
      </c>
      <c r="D9" s="5" t="s">
        <v>282</v>
      </c>
      <c r="E9" s="5" t="s">
        <v>277</v>
      </c>
      <c r="F9" s="5" t="s">
        <v>285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8"/>
      <c r="D10" s="18"/>
      <c r="E10" s="19"/>
      <c r="F10" s="19"/>
      <c r="G10" s="19" t="s">
        <v>242</v>
      </c>
      <c r="H10" s="19"/>
      <c r="I10" s="19"/>
      <c r="J10" s="19" t="s">
        <v>242</v>
      </c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100010001</v>
      </c>
      <c r="C11" s="14" t="s">
        <v>278</v>
      </c>
      <c r="D11" s="14"/>
      <c r="E11" s="5">
        <v>300010001</v>
      </c>
      <c r="F11" s="14" t="b">
        <v>1</v>
      </c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200010001</v>
      </c>
      <c r="C12" s="14" t="s">
        <v>281</v>
      </c>
      <c r="D12" s="14"/>
      <c r="E12" s="5">
        <v>400010001</v>
      </c>
      <c r="F12" s="14" t="b">
        <v>0</v>
      </c>
      <c r="G12" s="14">
        <v>3</v>
      </c>
      <c r="H12" s="14"/>
      <c r="I12" s="24" t="s">
        <v>227</v>
      </c>
      <c r="J12" s="14">
        <v>4</v>
      </c>
      <c r="K12" s="14"/>
      <c r="L12" s="24" t="s">
        <v>286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1299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1300</v>
      </c>
      <c r="D4" s="3" t="s">
        <v>1302</v>
      </c>
      <c r="E4" s="3" t="s">
        <v>1304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1301</v>
      </c>
      <c r="D9" s="5" t="s">
        <v>1303</v>
      </c>
      <c r="E9" s="6" t="s">
        <v>1305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1306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1755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1748</v>
      </c>
      <c r="D4" s="3" t="s">
        <v>1749</v>
      </c>
      <c r="E4" s="3" t="s">
        <v>1750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1751</v>
      </c>
      <c r="D9" s="5" t="s">
        <v>1752</v>
      </c>
      <c r="E9" s="6" t="s">
        <v>1753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1754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workbookViewId="0">
      <selection activeCell="H10" sqref="H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1764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1765</v>
      </c>
      <c r="D4" s="3" t="s">
        <v>1766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6" t="s">
        <v>10</v>
      </c>
      <c r="B9" s="5" t="s">
        <v>11</v>
      </c>
      <c r="C9" s="5" t="s">
        <v>1768</v>
      </c>
      <c r="D9" s="5" t="s">
        <v>1767</v>
      </c>
      <c r="E9" s="6" t="s">
        <v>124</v>
      </c>
      <c r="F9" s="6" t="s">
        <v>119</v>
      </c>
      <c r="G9" s="5" t="s">
        <v>33</v>
      </c>
      <c r="H9" s="6" t="s">
        <v>124</v>
      </c>
      <c r="I9" s="6" t="s">
        <v>119</v>
      </c>
      <c r="J9" s="5" t="s">
        <v>33</v>
      </c>
      <c r="K9" s="6" t="s">
        <v>124</v>
      </c>
      <c r="L9" s="6" t="s">
        <v>119</v>
      </c>
      <c r="M9" s="5" t="s">
        <v>33</v>
      </c>
      <c r="N9" s="6" t="s">
        <v>124</v>
      </c>
      <c r="O9" s="6" t="s">
        <v>119</v>
      </c>
      <c r="P9" s="5" t="s">
        <v>33</v>
      </c>
      <c r="Q9" s="6" t="s">
        <v>124</v>
      </c>
      <c r="R9" s="6" t="s">
        <v>119</v>
      </c>
      <c r="S9" s="5" t="s">
        <v>33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6" t="s">
        <v>105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2"/>
      <c r="I11" s="33"/>
      <c r="J11" s="34"/>
      <c r="K11" s="34"/>
      <c r="L11" s="33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4">
        <v>6</v>
      </c>
      <c r="J12" s="34"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4">
        <v>6</v>
      </c>
      <c r="J13" s="34">
        <v>25</v>
      </c>
      <c r="K13" s="34">
        <v>3</v>
      </c>
      <c r="L13" s="34">
        <v>11</v>
      </c>
      <c r="M13" s="34">
        <v>10</v>
      </c>
      <c r="N13" s="34"/>
      <c r="O13" s="34"/>
      <c r="P13" s="34"/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4">
        <v>6</v>
      </c>
      <c r="J14" s="34">
        <v>50</v>
      </c>
      <c r="K14" s="34">
        <v>3</v>
      </c>
      <c r="L14" s="34">
        <v>11</v>
      </c>
      <c r="M14" s="34">
        <v>25</v>
      </c>
      <c r="N14" s="34">
        <v>3</v>
      </c>
      <c r="O14" s="34">
        <v>16</v>
      </c>
      <c r="P14" s="34">
        <v>10</v>
      </c>
      <c r="Q14" s="34"/>
      <c r="R14" s="34"/>
      <c r="S14" s="34"/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4">
        <v>6</v>
      </c>
      <c r="J15" s="34">
        <v>100</v>
      </c>
      <c r="K15" s="34">
        <v>3</v>
      </c>
      <c r="L15" s="34">
        <v>11</v>
      </c>
      <c r="M15" s="34">
        <v>50</v>
      </c>
      <c r="N15" s="34">
        <v>3</v>
      </c>
      <c r="O15" s="34">
        <v>16</v>
      </c>
      <c r="P15" s="34">
        <v>25</v>
      </c>
      <c r="Q15" s="34">
        <v>3</v>
      </c>
      <c r="R15" s="34">
        <v>21</v>
      </c>
      <c r="S15" s="34">
        <v>1</v>
      </c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2"/>
      <c r="I16" s="33"/>
      <c r="J16" s="34"/>
      <c r="K16" s="34"/>
      <c r="L16" s="33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4">
        <v>7</v>
      </c>
      <c r="J17" s="34">
        <v>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4">
        <v>7</v>
      </c>
      <c r="J18" s="34">
        <v>25</v>
      </c>
      <c r="K18" s="34">
        <v>3</v>
      </c>
      <c r="L18" s="34">
        <v>12</v>
      </c>
      <c r="M18" s="34">
        <v>10</v>
      </c>
      <c r="N18" s="34"/>
      <c r="O18" s="34"/>
      <c r="P18" s="34"/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4">
        <v>7</v>
      </c>
      <c r="J19" s="34">
        <v>50</v>
      </c>
      <c r="K19" s="34">
        <v>3</v>
      </c>
      <c r="L19" s="34">
        <v>12</v>
      </c>
      <c r="M19" s="34">
        <v>25</v>
      </c>
      <c r="N19" s="34">
        <v>3</v>
      </c>
      <c r="O19" s="34">
        <v>17</v>
      </c>
      <c r="P19" s="34">
        <v>10</v>
      </c>
      <c r="Q19" s="34"/>
      <c r="R19" s="34"/>
      <c r="S19" s="34"/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4">
        <v>7</v>
      </c>
      <c r="J20" s="34">
        <v>100</v>
      </c>
      <c r="K20" s="34">
        <v>3</v>
      </c>
      <c r="L20" s="34">
        <v>12</v>
      </c>
      <c r="M20" s="34">
        <v>50</v>
      </c>
      <c r="N20" s="34">
        <v>3</v>
      </c>
      <c r="O20" s="34">
        <v>17</v>
      </c>
      <c r="P20" s="34">
        <v>25</v>
      </c>
      <c r="Q20" s="34">
        <v>3</v>
      </c>
      <c r="R20" s="34">
        <v>21</v>
      </c>
      <c r="S20" s="34">
        <v>1</v>
      </c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2"/>
      <c r="I21" s="33"/>
      <c r="J21" s="34"/>
      <c r="K21" s="34"/>
      <c r="L21" s="33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4">
        <v>8</v>
      </c>
      <c r="J22" s="34">
        <v>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4">
        <v>8</v>
      </c>
      <c r="J23" s="34">
        <v>25</v>
      </c>
      <c r="K23" s="34">
        <v>3</v>
      </c>
      <c r="L23" s="34">
        <v>13</v>
      </c>
      <c r="M23" s="34">
        <v>10</v>
      </c>
      <c r="N23" s="34"/>
      <c r="O23" s="34"/>
      <c r="P23" s="34"/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4">
        <v>8</v>
      </c>
      <c r="J24" s="34">
        <v>50</v>
      </c>
      <c r="K24" s="34">
        <v>3</v>
      </c>
      <c r="L24" s="34">
        <v>13</v>
      </c>
      <c r="M24" s="34">
        <v>25</v>
      </c>
      <c r="N24" s="34">
        <v>3</v>
      </c>
      <c r="O24" s="34">
        <v>18</v>
      </c>
      <c r="P24" s="34">
        <v>10</v>
      </c>
      <c r="Q24" s="34"/>
      <c r="R24" s="34"/>
      <c r="S24" s="34"/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4">
        <v>8</v>
      </c>
      <c r="J25" s="34">
        <v>100</v>
      </c>
      <c r="K25" s="34">
        <v>3</v>
      </c>
      <c r="L25" s="34">
        <v>13</v>
      </c>
      <c r="M25" s="34">
        <v>50</v>
      </c>
      <c r="N25" s="34">
        <v>3</v>
      </c>
      <c r="O25" s="34">
        <v>18</v>
      </c>
      <c r="P25" s="34">
        <v>25</v>
      </c>
      <c r="Q25" s="34">
        <v>3</v>
      </c>
      <c r="R25" s="34">
        <v>21</v>
      </c>
      <c r="S25" s="34">
        <v>1</v>
      </c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2"/>
      <c r="I26" s="33"/>
      <c r="J26" s="34"/>
      <c r="K26" s="34"/>
      <c r="L26" s="33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4">
        <v>9</v>
      </c>
      <c r="J27" s="34">
        <v>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4">
        <v>9</v>
      </c>
      <c r="J28" s="34">
        <v>25</v>
      </c>
      <c r="K28" s="34">
        <v>3</v>
      </c>
      <c r="L28" s="34">
        <v>14</v>
      </c>
      <c r="M28" s="34">
        <v>10</v>
      </c>
      <c r="N28" s="34"/>
      <c r="O28" s="34"/>
      <c r="P28" s="34"/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4">
        <v>9</v>
      </c>
      <c r="J29" s="34">
        <v>50</v>
      </c>
      <c r="K29" s="34">
        <v>3</v>
      </c>
      <c r="L29" s="34">
        <v>14</v>
      </c>
      <c r="M29" s="34">
        <v>25</v>
      </c>
      <c r="N29" s="34">
        <v>3</v>
      </c>
      <c r="O29" s="34">
        <v>19</v>
      </c>
      <c r="P29" s="34">
        <v>10</v>
      </c>
      <c r="Q29" s="34"/>
      <c r="R29" s="34"/>
      <c r="S29" s="34"/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4">
        <v>9</v>
      </c>
      <c r="J30" s="34">
        <v>100</v>
      </c>
      <c r="K30" s="34">
        <v>3</v>
      </c>
      <c r="L30" s="34">
        <v>14</v>
      </c>
      <c r="M30" s="34">
        <v>50</v>
      </c>
      <c r="N30" s="34">
        <v>3</v>
      </c>
      <c r="O30" s="34">
        <v>19</v>
      </c>
      <c r="P30" s="34">
        <v>25</v>
      </c>
      <c r="Q30" s="34">
        <v>3</v>
      </c>
      <c r="R30" s="34">
        <v>21</v>
      </c>
      <c r="S30" s="34">
        <v>1</v>
      </c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2"/>
      <c r="I31" s="33"/>
      <c r="J31" s="34"/>
      <c r="K31" s="34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4">
        <v>10</v>
      </c>
      <c r="J32" s="34">
        <v>10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4">
        <v>10</v>
      </c>
      <c r="J33" s="34">
        <v>25</v>
      </c>
      <c r="K33" s="34">
        <v>3</v>
      </c>
      <c r="L33" s="34">
        <v>15</v>
      </c>
      <c r="M33" s="34">
        <v>10</v>
      </c>
      <c r="N33" s="34"/>
      <c r="O33" s="34"/>
      <c r="P33" s="34"/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4">
        <v>10</v>
      </c>
      <c r="J34" s="34">
        <v>50</v>
      </c>
      <c r="K34" s="34">
        <v>3</v>
      </c>
      <c r="L34" s="34">
        <v>15</v>
      </c>
      <c r="M34" s="34">
        <v>25</v>
      </c>
      <c r="N34" s="34">
        <v>3</v>
      </c>
      <c r="O34" s="34">
        <v>20</v>
      </c>
      <c r="P34" s="34">
        <v>10</v>
      </c>
      <c r="Q34" s="34"/>
      <c r="R34" s="34"/>
      <c r="S34" s="34"/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4">
        <v>10</v>
      </c>
      <c r="J35" s="34">
        <v>100</v>
      </c>
      <c r="K35" s="34">
        <v>3</v>
      </c>
      <c r="L35" s="34">
        <v>15</v>
      </c>
      <c r="M35" s="34">
        <v>50</v>
      </c>
      <c r="N35" s="34">
        <v>3</v>
      </c>
      <c r="O35" s="34">
        <v>20</v>
      </c>
      <c r="P35" s="34">
        <v>25</v>
      </c>
      <c r="Q35" s="34">
        <v>3</v>
      </c>
      <c r="R35" s="34">
        <v>21</v>
      </c>
      <c r="S35" s="34">
        <v>1</v>
      </c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2"/>
      <c r="K44" s="52"/>
      <c r="L44" s="34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2"/>
      <c r="K45" s="52"/>
      <c r="L45" s="34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2"/>
      <c r="K46" s="52"/>
      <c r="L46" s="34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2"/>
      <c r="K47" s="52"/>
      <c r="L47" s="34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2"/>
      <c r="K48" s="52"/>
      <c r="L48" s="34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2"/>
      <c r="K49" s="52"/>
      <c r="L49" s="34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2"/>
      <c r="K50" s="52"/>
      <c r="L50" s="34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2"/>
      <c r="K51" s="52"/>
      <c r="L51" s="34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34"/>
      <c r="J52" s="52"/>
      <c r="K52" s="52"/>
      <c r="L52" s="34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33"/>
      <c r="J53" s="52"/>
      <c r="K53" s="52"/>
      <c r="L53" s="33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2"/>
      <c r="K54" s="52"/>
      <c r="L54" s="34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34"/>
      <c r="J55" s="52"/>
      <c r="K55" s="52"/>
      <c r="L55" s="34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33"/>
      <c r="J56" s="52"/>
      <c r="K56" s="52"/>
      <c r="L56" s="33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2"/>
      <c r="K57" s="52"/>
      <c r="L57" s="34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34"/>
      <c r="J58" s="52"/>
      <c r="K58" s="52"/>
      <c r="L58" s="34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33"/>
      <c r="J59" s="52"/>
      <c r="K59" s="52"/>
      <c r="L59" s="33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2"/>
      <c r="K60" s="52"/>
      <c r="L60" s="34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34"/>
      <c r="J61" s="52"/>
      <c r="K61" s="52"/>
      <c r="L61" s="34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33"/>
      <c r="J62" s="52"/>
      <c r="K62" s="52"/>
      <c r="L62" s="33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2"/>
      <c r="K63" s="52"/>
      <c r="L63" s="3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34"/>
      <c r="J64" s="52"/>
      <c r="K64" s="52"/>
      <c r="L64" s="34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33"/>
      <c r="J65" s="52"/>
      <c r="K65" s="52"/>
      <c r="L65" s="33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2"/>
      <c r="K66" s="52"/>
      <c r="L66" s="34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34"/>
      <c r="J67" s="52"/>
      <c r="K67" s="52"/>
      <c r="L67" s="34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8" hidden="1" customWidth="1"/>
    <col min="2" max="2" width="10.625" style="58" hidden="1" customWidth="1"/>
    <col min="3" max="3" width="3.75" style="58" customWidth="1"/>
    <col min="4" max="15" width="13.25" style="58" customWidth="1"/>
    <col min="16" max="16384" width="9" style="58"/>
  </cols>
  <sheetData>
    <row r="1" spans="2:15" ht="15" hidden="1" thickBot="1"/>
    <row r="2" spans="2:15" ht="15" hidden="1" customHeight="1" thickBot="1">
      <c r="B2" s="59" t="s">
        <v>1911</v>
      </c>
    </row>
    <row r="3" spans="2:15" ht="15" customHeight="1" thickBot="1">
      <c r="B3" s="75"/>
    </row>
    <row r="4" spans="2:15" ht="15" thickBot="1">
      <c r="D4" s="63" t="s">
        <v>1917</v>
      </c>
      <c r="E4" s="62" t="s">
        <v>1448</v>
      </c>
      <c r="F4" s="61" t="s">
        <v>1913</v>
      </c>
      <c r="G4" s="61" t="s">
        <v>1915</v>
      </c>
      <c r="H4" s="60" t="s">
        <v>1916</v>
      </c>
      <c r="I4" s="75"/>
      <c r="J4" s="75"/>
    </row>
    <row r="5" spans="2:15">
      <c r="D5" s="64" t="s">
        <v>1912</v>
      </c>
      <c r="E5" s="68">
        <v>1</v>
      </c>
      <c r="F5" s="69">
        <v>100</v>
      </c>
      <c r="G5" s="69">
        <v>0</v>
      </c>
      <c r="H5" s="70">
        <v>0</v>
      </c>
      <c r="I5" s="75"/>
      <c r="J5" s="75"/>
    </row>
    <row r="6" spans="2:15" ht="15" thickBot="1">
      <c r="D6" s="65" t="s">
        <v>1914</v>
      </c>
      <c r="E6" s="71">
        <v>2</v>
      </c>
      <c r="F6" s="72">
        <v>100</v>
      </c>
      <c r="G6" s="72">
        <v>0</v>
      </c>
      <c r="H6" s="73">
        <v>0</v>
      </c>
      <c r="I6" s="75"/>
      <c r="J6" s="75"/>
    </row>
    <row r="7" spans="2:15" ht="15" thickBot="1"/>
    <row r="8" spans="2:15" ht="15" thickBot="1">
      <c r="D8" s="63" t="s">
        <v>1923</v>
      </c>
      <c r="E8" s="67">
        <v>100</v>
      </c>
    </row>
    <row r="9" spans="2:15" ht="15" thickBot="1"/>
    <row r="10" spans="2:15" ht="15" thickBot="1">
      <c r="D10" s="63" t="s">
        <v>1918</v>
      </c>
      <c r="E10" s="62" t="s">
        <v>1943</v>
      </c>
      <c r="F10" s="67" t="s">
        <v>1944</v>
      </c>
      <c r="G10" s="75"/>
      <c r="H10" s="75"/>
      <c r="I10" s="75"/>
      <c r="J10" s="75"/>
    </row>
    <row r="11" spans="2:15" ht="15" thickBot="1">
      <c r="D11" s="66" t="s">
        <v>1929</v>
      </c>
      <c r="E11" s="77">
        <v>31</v>
      </c>
      <c r="F11" s="74">
        <v>252</v>
      </c>
      <c r="G11" s="75"/>
      <c r="H11" s="75"/>
      <c r="I11" s="75"/>
      <c r="J11" s="75"/>
    </row>
    <row r="12" spans="2:15" ht="15" thickBot="1"/>
    <row r="13" spans="2:15" ht="15" hidden="1" thickBot="1">
      <c r="D13" s="80" t="s">
        <v>1952</v>
      </c>
    </row>
    <row r="14" spans="2:15" ht="15" hidden="1" thickBot="1">
      <c r="D14" s="76" t="s">
        <v>1927</v>
      </c>
      <c r="E14" s="62" t="s">
        <v>1928</v>
      </c>
      <c r="F14" s="61" t="s">
        <v>1919</v>
      </c>
      <c r="G14" s="61" t="s">
        <v>1920</v>
      </c>
      <c r="H14" s="61" t="s">
        <v>1921</v>
      </c>
      <c r="I14" s="61" t="s">
        <v>1947</v>
      </c>
      <c r="J14" s="61" t="s">
        <v>1948</v>
      </c>
      <c r="K14" s="61" t="s">
        <v>1922</v>
      </c>
      <c r="L14" s="62" t="s">
        <v>1939</v>
      </c>
      <c r="M14" s="61" t="s">
        <v>1940</v>
      </c>
      <c r="N14" s="61" t="s">
        <v>1941</v>
      </c>
      <c r="O14" s="60" t="s">
        <v>1942</v>
      </c>
    </row>
    <row r="15" spans="2:15" hidden="1">
      <c r="D15" s="64" t="s">
        <v>1912</v>
      </c>
      <c r="E15" s="68" t="str">
        <f>_xlfn.XLOOKUP($E$5,MonsterMB!$B:$B,MonsterMB!$C:$C)</f>
        <v>火</v>
      </c>
      <c r="F15" s="69">
        <f>ROUNDDOWN((L15*2+$E$11+$F$11/4)*$F$5/100+$F$5+10,0)</f>
        <v>244</v>
      </c>
      <c r="G15" s="69">
        <f>ROUNDDOWN((M15*2+$E$11+$F$11/4)*$F$5/100+5,0)</f>
        <v>173</v>
      </c>
      <c r="H15" s="69">
        <f>ROUNDDOWN((N15*2+$E$11+$F$11/4)*$F$5/100+5,0)</f>
        <v>149</v>
      </c>
      <c r="I15" s="69">
        <f>ROUNDDOWN(G15*(100+$G$5)/100,0)</f>
        <v>173</v>
      </c>
      <c r="J15" s="69">
        <f>ROUNDDOWN(H15*(100+$H$5)/100,0)</f>
        <v>149</v>
      </c>
      <c r="K15" s="69">
        <f>ROUNDDOWN((O15*2+$E$11+$F$11/4)*$F$5/100+5,0)</f>
        <v>219</v>
      </c>
      <c r="L15" s="68">
        <f>_xlfn.XLOOKUP($E$5,MonsterMB!$B:$B,MonsterMB!$I:$I)</f>
        <v>20</v>
      </c>
      <c r="M15" s="69">
        <f>_xlfn.XLOOKUP($E$5,MonsterMB!$B:$B,MonsterMB!$J:$J)</f>
        <v>37</v>
      </c>
      <c r="N15" s="69">
        <f>_xlfn.XLOOKUP($E$5,MonsterMB!$B:$B,MonsterMB!$K:$K)</f>
        <v>25</v>
      </c>
      <c r="O15" s="70">
        <f>_xlfn.XLOOKUP($E$5,MonsterMB!$B:$B,MonsterMB!$L:$L)</f>
        <v>60</v>
      </c>
    </row>
    <row r="16" spans="2:15" ht="15" hidden="1" thickBot="1">
      <c r="D16" s="65" t="s">
        <v>1914</v>
      </c>
      <c r="E16" s="71" t="str">
        <f>_xlfn.XLOOKUP($E$6,MonsterMB!$B:$B,MonsterMB!$C:$C)</f>
        <v>水</v>
      </c>
      <c r="F16" s="72">
        <f>ROUNDDOWN((L16*2+$E$11+$F$11/4)*$F$6/100+$F$6+10,0)</f>
        <v>274</v>
      </c>
      <c r="G16" s="72">
        <f>ROUNDDOWN((M16*2+$E$11+$F$11/4)*$F$6/100+5,0)</f>
        <v>169</v>
      </c>
      <c r="H16" s="72">
        <f>ROUNDDOWN((N16*2+$E$11+$F$11/4)*$F$6/100+5,0)</f>
        <v>169</v>
      </c>
      <c r="I16" s="72">
        <f>ROUNDDOWN(G16*(100+$G$6)/100,0)</f>
        <v>169</v>
      </c>
      <c r="J16" s="72">
        <f>ROUNDDOWN(H16*(100+$H$6)/100,0)</f>
        <v>169</v>
      </c>
      <c r="K16" s="72">
        <f>ROUNDDOWN((O16*2+$E$11+$F$11/4)*$F$6/100+5,0)</f>
        <v>169</v>
      </c>
      <c r="L16" s="72">
        <f>_xlfn.XLOOKUP($E$6,MonsterMB!$B:$B,MonsterMB!$I:$I)</f>
        <v>35</v>
      </c>
      <c r="M16" s="72">
        <f>_xlfn.XLOOKUP($E$6,MonsterMB!$B:$B,MonsterMB!$J:$J)</f>
        <v>35</v>
      </c>
      <c r="N16" s="72">
        <f>_xlfn.XLOOKUP($E$6,MonsterMB!$B:$B,MonsterMB!$K:$K)</f>
        <v>35</v>
      </c>
      <c r="O16" s="73">
        <f>_xlfn.XLOOKUP($E$6,MonsterMB!$B:$B,MonsterMB!$L:$L)</f>
        <v>35</v>
      </c>
    </row>
    <row r="17" spans="4:15" ht="15" hidden="1" thickBot="1">
      <c r="D17" s="78" t="s">
        <v>1924</v>
      </c>
      <c r="E17" s="62" t="s">
        <v>1925</v>
      </c>
      <c r="F17" s="61" t="s">
        <v>1926</v>
      </c>
      <c r="G17" s="61" t="s">
        <v>1954</v>
      </c>
      <c r="H17" s="61" t="s">
        <v>1949</v>
      </c>
      <c r="I17" s="61" t="s">
        <v>1950</v>
      </c>
      <c r="J17" s="79" t="s">
        <v>1951</v>
      </c>
    </row>
    <row r="18" spans="4:15" hidden="1">
      <c r="D18" s="64" t="s">
        <v>1945</v>
      </c>
      <c r="E18" s="68">
        <f>ROUNDDOWN((ROUNDDOWN(ROUNDDOWN(ROUNDDOWN($F$5*2/5+2,0)*$E$8*I15/J16,0)/50,0)+2)*0.85,0)</f>
        <v>73</v>
      </c>
      <c r="F18" s="69">
        <f>ROUNDDOWN((ROUNDDOWN(ROUNDDOWN(ROUNDDOWN($F$5*2/5+2,0)*$E$8*I15/J16,0)/50,0)+2)*1,0)</f>
        <v>87</v>
      </c>
      <c r="G18" s="69" t="str">
        <f>ROUND(E18/F16*100,1)&amp;"% ~ "&amp;ROUND(F18/F16*100,1)&amp;"%"</f>
        <v>26.6% ~ 31.8%</v>
      </c>
      <c r="H18" s="69"/>
      <c r="I18" s="69"/>
      <c r="J18" s="70"/>
    </row>
    <row r="19" spans="4:15" ht="15" hidden="1" thickBot="1">
      <c r="D19" s="65" t="s">
        <v>1946</v>
      </c>
      <c r="E19" s="71">
        <f>ROUNDDOWN((I15*($E$8/100)*(1-(J16/(180+20*$F$6))))*0.85,0)</f>
        <v>135</v>
      </c>
      <c r="F19" s="72">
        <f>ROUNDDOWN(I15*($E$8/100)*(1-(J16/(180+20*$F$6))),0)</f>
        <v>159</v>
      </c>
      <c r="G19" s="72" t="str">
        <f>ROUND(E19/F16*100,1)&amp;"% ~ "&amp;ROUND(F19/F16*100,1)&amp;"%"</f>
        <v>49.3% ~ 58%</v>
      </c>
      <c r="H19" s="72"/>
      <c r="I19" s="72"/>
      <c r="J19" s="73"/>
    </row>
    <row r="20" spans="4:15" ht="15" hidden="1" thickBot="1"/>
    <row r="21" spans="4:15" ht="15" hidden="1" thickBot="1">
      <c r="D21" s="80" t="s">
        <v>1953</v>
      </c>
      <c r="E21" s="81" t="s">
        <v>1955</v>
      </c>
      <c r="F21" s="82"/>
      <c r="G21" s="82"/>
    </row>
    <row r="22" spans="4:15" ht="15" hidden="1" thickBot="1">
      <c r="D22" s="76" t="s">
        <v>1927</v>
      </c>
      <c r="E22" s="62" t="s">
        <v>1928</v>
      </c>
      <c r="F22" s="61" t="s">
        <v>1919</v>
      </c>
      <c r="G22" s="61" t="s">
        <v>1920</v>
      </c>
      <c r="H22" s="61" t="s">
        <v>1921</v>
      </c>
      <c r="I22" s="61" t="s">
        <v>1947</v>
      </c>
      <c r="J22" s="61" t="s">
        <v>1948</v>
      </c>
      <c r="K22" s="61" t="s">
        <v>1922</v>
      </c>
      <c r="L22" s="62" t="s">
        <v>1939</v>
      </c>
      <c r="M22" s="61" t="s">
        <v>1940</v>
      </c>
      <c r="N22" s="61" t="s">
        <v>1941</v>
      </c>
      <c r="O22" s="60" t="s">
        <v>1942</v>
      </c>
    </row>
    <row r="23" spans="4:15" hidden="1">
      <c r="D23" s="64" t="s">
        <v>1912</v>
      </c>
      <c r="E23" s="68" t="str">
        <f>_xlfn.XLOOKUP($E$5,MonsterMB!$B:$B,MonsterMB!$C:$C)</f>
        <v>火</v>
      </c>
      <c r="F23" s="69">
        <f>ROUNDDOWN(($L$23*2+$E$11+$F$11/4)*F5^2/100+F5^2+10,0)*3</f>
        <v>70230</v>
      </c>
      <c r="G23" s="69">
        <f>ROUNDDOWN(($M$23*2+$E$11+$F$11/4)*$F$5^2/100+5,0)</f>
        <v>16805</v>
      </c>
      <c r="H23" s="69">
        <f>ROUNDDOWN(($N$23*2+$E$11+$F$11/4)*$F$5^2/100+5,0)</f>
        <v>14405</v>
      </c>
      <c r="I23" s="69">
        <f>ROUNDDOWN(G23*(100+$G$5)/100,0)</f>
        <v>16805</v>
      </c>
      <c r="J23" s="69">
        <f>ROUNDDOWN(H23*(100+$H$5)/100,0)</f>
        <v>14405</v>
      </c>
      <c r="K23" s="69">
        <f>ROUNDDOWN(($O$23*2+$E$11+$F$11/4)*$F$5^2/100+5,0)</f>
        <v>21405</v>
      </c>
      <c r="L23" s="68">
        <f>_xlfn.XLOOKUP($E$5,MonsterMB!$B:$B,MonsterMB!$I:$I)</f>
        <v>20</v>
      </c>
      <c r="M23" s="69">
        <f>_xlfn.XLOOKUP($E$5,MonsterMB!$B:$B,MonsterMB!$J:$J)</f>
        <v>37</v>
      </c>
      <c r="N23" s="69">
        <f>_xlfn.XLOOKUP($E$5,MonsterMB!$B:$B,MonsterMB!$K:$K)</f>
        <v>25</v>
      </c>
      <c r="O23" s="70">
        <f>_xlfn.XLOOKUP($E$5,MonsterMB!$B:$B,MonsterMB!$L:$L)</f>
        <v>60</v>
      </c>
    </row>
    <row r="24" spans="4:15" ht="15" hidden="1" thickBot="1">
      <c r="D24" s="65" t="s">
        <v>1914</v>
      </c>
      <c r="E24" s="71" t="str">
        <f>_xlfn.XLOOKUP($E$6,MonsterMB!$B:$B,MonsterMB!$C:$C)</f>
        <v>水</v>
      </c>
      <c r="F24" s="72">
        <f>ROUNDDOWN(($L$24*2+$E$11+$F$11/4)*$F$6^2/100+$F$6^2+10,0)*3</f>
        <v>79230</v>
      </c>
      <c r="G24" s="72">
        <f>ROUNDDOWN(($M$24*2+$E$11+$F$11/4)*$F$6^2/100+5,0)</f>
        <v>16405</v>
      </c>
      <c r="H24" s="72">
        <f>ROUNDDOWN(($N$24*2+$E$11+$F$11/4)*$F$6^2/100+5,0)</f>
        <v>16405</v>
      </c>
      <c r="I24" s="72">
        <f>ROUNDDOWN(G24*(100+$G$6)/100,0)</f>
        <v>16405</v>
      </c>
      <c r="J24" s="72">
        <f>ROUNDDOWN(H24*(100+$H$6)/100,0)</f>
        <v>16405</v>
      </c>
      <c r="K24" s="72">
        <f>ROUNDDOWN(($O$24*2+$E$11+$F$11/4)*$F$6^2/100+5,0)</f>
        <v>16405</v>
      </c>
      <c r="L24" s="72">
        <f>_xlfn.XLOOKUP($E$6,MonsterMB!$B:$B,MonsterMB!$I:$I)</f>
        <v>35</v>
      </c>
      <c r="M24" s="72">
        <f>_xlfn.XLOOKUP($E$6,MonsterMB!$B:$B,MonsterMB!$J:$J)</f>
        <v>35</v>
      </c>
      <c r="N24" s="72">
        <f>_xlfn.XLOOKUP($E$6,MonsterMB!$B:$B,MonsterMB!$K:$K)</f>
        <v>35</v>
      </c>
      <c r="O24" s="73">
        <f>_xlfn.XLOOKUP($E$6,MonsterMB!$B:$B,MonsterMB!$L:$L)</f>
        <v>35</v>
      </c>
    </row>
    <row r="25" spans="4:15" ht="15" hidden="1" thickBot="1">
      <c r="D25" s="78" t="s">
        <v>1924</v>
      </c>
      <c r="E25" s="62" t="s">
        <v>1925</v>
      </c>
      <c r="F25" s="61" t="s">
        <v>1926</v>
      </c>
      <c r="G25" s="61" t="s">
        <v>1954</v>
      </c>
      <c r="H25" s="61" t="s">
        <v>1949</v>
      </c>
      <c r="I25" s="61" t="s">
        <v>1950</v>
      </c>
      <c r="J25" s="79" t="s">
        <v>1951</v>
      </c>
    </row>
    <row r="26" spans="4:15" hidden="1">
      <c r="D26" s="64" t="s">
        <v>1945</v>
      </c>
      <c r="E26" s="68">
        <f>ROUNDDOWN((ROUNDDOWN(ROUNDDOWN(ROUNDDOWN($F$5^2*2/5+2,0)*$E$8*$I$23/$J$24,0)/50,0)+2)*0.85,0)</f>
        <v>6970</v>
      </c>
      <c r="F26" s="69">
        <f>ROUNDDOWN((ROUNDDOWN(ROUNDDOWN(ROUNDDOWN($F$5^2*2/5+2,0)*$E$8*$I$15/$J$16,0)/50,0)+2)*1,0)</f>
        <v>8195</v>
      </c>
      <c r="G26" s="69" t="str">
        <f>ROUND(E26/F24*100,1)&amp;"% ~ "&amp;ROUND(F26/F24*100,1)&amp;"%"</f>
        <v>8.8% ~ 10.3%</v>
      </c>
      <c r="H26" s="69"/>
      <c r="I26" s="69"/>
      <c r="J26" s="70"/>
    </row>
    <row r="27" spans="4:15" ht="15" hidden="1" thickBot="1">
      <c r="D27" s="65" t="s">
        <v>1946</v>
      </c>
      <c r="E27" s="71">
        <f>ROUNDDOWN((I23*(E8/100)*(1-(J24/(180+20*F6^2))))*0.85,0)</f>
        <v>13113</v>
      </c>
      <c r="F27" s="72">
        <f>ROUNDDOWN(I23*(E8/100)*(1-(J24/(180+20*F6^2))),0)</f>
        <v>15427</v>
      </c>
      <c r="G27" s="72" t="str">
        <f>ROUND(E27/F24*100,1)&amp;"% ~ "&amp;ROUND(F27/F24*100,1)&amp;"%"</f>
        <v>16.6% ~ 19.5%</v>
      </c>
      <c r="H27" s="72"/>
      <c r="I27" s="72"/>
      <c r="J27" s="73"/>
    </row>
    <row r="28" spans="4:15" ht="15" hidden="1" thickBot="1"/>
    <row r="29" spans="4:15" ht="15" thickBot="1">
      <c r="D29" s="80" t="s">
        <v>1956</v>
      </c>
      <c r="E29" s="81" t="s">
        <v>1957</v>
      </c>
      <c r="F29" s="82"/>
      <c r="G29" s="82"/>
    </row>
    <row r="30" spans="4:15" ht="15" thickBot="1">
      <c r="D30" s="76" t="s">
        <v>1927</v>
      </c>
      <c r="E30" s="62" t="s">
        <v>1928</v>
      </c>
      <c r="F30" s="61" t="s">
        <v>1919</v>
      </c>
      <c r="G30" s="61" t="s">
        <v>1920</v>
      </c>
      <c r="H30" s="61" t="s">
        <v>1921</v>
      </c>
      <c r="I30" s="61" t="s">
        <v>1947</v>
      </c>
      <c r="J30" s="61" t="s">
        <v>1948</v>
      </c>
      <c r="K30" s="61" t="s">
        <v>1922</v>
      </c>
      <c r="L30" s="62" t="s">
        <v>1939</v>
      </c>
      <c r="M30" s="61" t="s">
        <v>1940</v>
      </c>
      <c r="N30" s="61" t="s">
        <v>1941</v>
      </c>
      <c r="O30" s="60" t="s">
        <v>1942</v>
      </c>
    </row>
    <row r="31" spans="4:15">
      <c r="D31" s="64" t="s">
        <v>1912</v>
      </c>
      <c r="E31" s="68" t="str">
        <f>_xlfn.XLOOKUP($E$5,MonsterMB!$B:$B,MonsterMB!$C:$C)</f>
        <v>火</v>
      </c>
      <c r="F31" s="69">
        <f>ROUNDDOWN((L31^2+$E$11+$F$11/4)*$F$5/100+$F$5+10,0)*4</f>
        <v>2416</v>
      </c>
      <c r="G31" s="69">
        <f>ROUNDDOWN((M31^2+$E$11+$F$11/4)*$F$5/100+5,0)</f>
        <v>1468</v>
      </c>
      <c r="H31" s="69">
        <f>ROUNDDOWN((N31^2+$E$11+$F$11/4)*$F$5/100+5,0)</f>
        <v>724</v>
      </c>
      <c r="I31" s="69">
        <f>ROUNDDOWN(G31*(100+$G$5)/100,0)</f>
        <v>1468</v>
      </c>
      <c r="J31" s="69">
        <f>ROUNDDOWN(H31*(100+$H$5)/100,0)</f>
        <v>724</v>
      </c>
      <c r="K31" s="69">
        <f>ROUNDDOWN((O31^2+$E$11+$F$11/4)*$F$5/100+5,0)</f>
        <v>3699</v>
      </c>
      <c r="L31" s="68">
        <f>_xlfn.XLOOKUP($E$5,MonsterMB!$B:$B,MonsterMB!$I:$I)</f>
        <v>20</v>
      </c>
      <c r="M31" s="69">
        <f>_xlfn.XLOOKUP($E$5,MonsterMB!$B:$B,MonsterMB!$J:$J)</f>
        <v>37</v>
      </c>
      <c r="N31" s="69">
        <f>_xlfn.XLOOKUP($E$5,MonsterMB!$B:$B,MonsterMB!$K:$K)</f>
        <v>25</v>
      </c>
      <c r="O31" s="70">
        <f>_xlfn.XLOOKUP($E$5,MonsterMB!$B:$B,MonsterMB!$L:$L)</f>
        <v>60</v>
      </c>
    </row>
    <row r="32" spans="4:15" ht="15" thickBot="1">
      <c r="D32" s="65" t="s">
        <v>1914</v>
      </c>
      <c r="E32" s="71" t="str">
        <f>_xlfn.XLOOKUP($E$6,MonsterMB!$B:$B,MonsterMB!$C:$C)</f>
        <v>水</v>
      </c>
      <c r="F32" s="72">
        <f>ROUNDDOWN((L32^2+$E$11+$F$11/4)*$F$6/100+$F$6+10,0)*4</f>
        <v>5716</v>
      </c>
      <c r="G32" s="72">
        <f>ROUNDDOWN((M32^2+$E$11+$F$11/4)*$F$6/100+5,0)</f>
        <v>1324</v>
      </c>
      <c r="H32" s="72">
        <f>ROUNDDOWN((N32^2+$E$11+$F$11/4)*$F$6/100+5,0)</f>
        <v>1324</v>
      </c>
      <c r="I32" s="72">
        <f>ROUNDDOWN(G32*(100+$G$6)/100,0)</f>
        <v>1324</v>
      </c>
      <c r="J32" s="72">
        <f>ROUNDDOWN(H32*(100+$H$6)/100,0)</f>
        <v>1324</v>
      </c>
      <c r="K32" s="72">
        <f>ROUNDDOWN((O32^2+$E$11+$F$11/4)*$F$6/100+5,0)</f>
        <v>1324</v>
      </c>
      <c r="L32" s="72">
        <f>_xlfn.XLOOKUP($E$6,MonsterMB!$B:$B,MonsterMB!$I:$I)</f>
        <v>35</v>
      </c>
      <c r="M32" s="72">
        <f>_xlfn.XLOOKUP($E$6,MonsterMB!$B:$B,MonsterMB!$J:$J)</f>
        <v>35</v>
      </c>
      <c r="N32" s="72">
        <f>_xlfn.XLOOKUP($E$6,MonsterMB!$B:$B,MonsterMB!$K:$K)</f>
        <v>35</v>
      </c>
      <c r="O32" s="73">
        <f>_xlfn.XLOOKUP($E$6,MonsterMB!$B:$B,MonsterMB!$L:$L)</f>
        <v>35</v>
      </c>
    </row>
    <row r="33" spans="4:10" ht="12.75" customHeight="1" thickBot="1">
      <c r="D33" s="78" t="s">
        <v>1924</v>
      </c>
      <c r="E33" s="62" t="s">
        <v>1925</v>
      </c>
      <c r="F33" s="61" t="s">
        <v>1926</v>
      </c>
      <c r="G33" s="61" t="s">
        <v>1954</v>
      </c>
      <c r="H33" s="61" t="s">
        <v>1949</v>
      </c>
      <c r="I33" s="61" t="s">
        <v>1950</v>
      </c>
      <c r="J33" s="79" t="s">
        <v>1951</v>
      </c>
    </row>
    <row r="34" spans="4:10" hidden="1">
      <c r="D34" s="64" t="s">
        <v>1945</v>
      </c>
      <c r="E34" s="68">
        <f>ROUNDDOWN((ROUNDDOWN(ROUNDDOWN(ROUNDDOWN($F$5*2/5+2,0)*$E$8*I31/J32,0)/50,0)+2)*0.85,0)</f>
        <v>80</v>
      </c>
      <c r="F34" s="69">
        <f>ROUNDDOWN((ROUNDDOWN(ROUNDDOWN(ROUNDDOWN($F$5*2/5+2,0)*$E$8*I31/J32,0)/50,0)+2)*1,0)</f>
        <v>95</v>
      </c>
      <c r="G34" s="69" t="str">
        <f>ROUND(E34/F32*100,1)&amp;"% ~ "&amp;ROUND(F34/F32*100,1)&amp;"%"</f>
        <v>1.4% ~ 1.7%</v>
      </c>
      <c r="H34" s="69"/>
      <c r="I34" s="69"/>
      <c r="J34" s="70"/>
    </row>
    <row r="35" spans="4:10" ht="15" thickBot="1">
      <c r="D35" s="65" t="s">
        <v>1946</v>
      </c>
      <c r="E35" s="71">
        <f>ROUNDDOWN((I31*($E$8/100)*(1-((J32/10)/(180+$F$6))))*0.85,0)</f>
        <v>657</v>
      </c>
      <c r="F35" s="72">
        <f>ROUNDDOWN(I31*($E$8/100)*(1-((J32/10)/(180+$F$6))),0)</f>
        <v>773</v>
      </c>
      <c r="G35" s="72" t="str">
        <f>ROUND(E35/F32*100,1)&amp;"% ~ "&amp;ROUND(F35/F32*100,1)&amp;"%"</f>
        <v>11.5% ~ 13.5%</v>
      </c>
      <c r="H35" s="72"/>
      <c r="I35" s="72"/>
      <c r="J35" s="73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2022-04-14T22:09:20Z</dcterms:modified>
</cp:coreProperties>
</file>