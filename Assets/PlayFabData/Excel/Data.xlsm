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4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Volumes/KESU/Document/GitHub/PuzzleMonster/Assets/PlayFabData/Excel/"/>
    </mc:Choice>
  </mc:AlternateContent>
  <xr:revisionPtr revIDLastSave="0" documentId="13_ncr:1_{FADAA4BD-B168-9347-A1FC-C1000AE64FB6}" xr6:coauthVersionLast="36" xr6:coauthVersionMax="36" xr10:uidLastSave="{00000000-0000-0000-0000-000000000000}"/>
  <bookViews>
    <workbookView xWindow="25600" yWindow="460" windowWidth="38400" windowHeight="21140" firstSheet="4" activeTab="12" xr2:uid="{00000000-000D-0000-FFFF-FFFF00000000}"/>
  </bookViews>
  <sheets>
    <sheet name="SampleMB" sheetId="1" r:id="rId1"/>
    <sheet name="MonsterMB" sheetId="2" r:id="rId2"/>
    <sheet name="GachaBoxMB" sheetId="3" r:id="rId3"/>
    <sheet name="GachaBoxDetailMB " sheetId="4" r:id="rId4"/>
    <sheet name="VirtualCurrencyMB" sheetId="5" r:id="rId5"/>
    <sheet name="QuestCategoryMB" sheetId="6" r:id="rId6"/>
    <sheet name="QuestMB" sheetId="7" r:id="rId7"/>
    <sheet name="PropertyMB" sheetId="8" r:id="rId8"/>
    <sheet name="MonsterLevelUpTable" sheetId="11" r:id="rId9"/>
    <sheet name="UserRankUpTableMB" sheetId="10" r:id="rId10"/>
    <sheet name="StaminaMB" sheetId="12" r:id="rId11"/>
    <sheet name="BundleMB" sheetId="13" r:id="rId12"/>
    <sheet name="DropTableMB" sheetId="14" r:id="rId13"/>
  </sheets>
  <functionGroups builtInGroupCount="19"/>
  <calcPr calcId="181029"/>
  <extLst>
    <ext uri="GoogleSheetsCustomDataVersion1">
      <go:sheetsCustomData xmlns:go="http://customooxmlschemas.google.com/" r:id="rId14" roundtripDataSignature="AMtx7mi1iiCHMCpdZRORiJYO+zEEYvYOEw=="/>
    </ext>
  </extLst>
</workbook>
</file>

<file path=xl/calcChain.xml><?xml version="1.0" encoding="utf-8"?>
<calcChain xmlns="http://schemas.openxmlformats.org/spreadsheetml/2006/main">
  <c r="D12" i="11" l="1"/>
  <c r="D13" i="11" s="1"/>
  <c r="D14" i="11" s="1"/>
  <c r="D15" i="11" s="1"/>
  <c r="D16" i="11" s="1"/>
  <c r="D17" i="11" s="1"/>
  <c r="D18" i="11" s="1"/>
  <c r="D19" i="11" s="1"/>
  <c r="D20" i="11" s="1"/>
  <c r="D21" i="11" s="1"/>
  <c r="D22" i="11" s="1"/>
  <c r="D23" i="11" s="1"/>
  <c r="D24" i="11" s="1"/>
  <c r="D25" i="11" s="1"/>
  <c r="D26" i="11" s="1"/>
  <c r="D27" i="11" s="1"/>
  <c r="D28" i="11" s="1"/>
  <c r="D29" i="11" s="1"/>
  <c r="D30" i="11" s="1"/>
  <c r="D31" i="11" s="1"/>
  <c r="D32" i="11" s="1"/>
  <c r="D33" i="11" s="1"/>
  <c r="D34" i="11" s="1"/>
  <c r="D35" i="11" s="1"/>
  <c r="D36" i="11" s="1"/>
  <c r="D37" i="11" s="1"/>
  <c r="D38" i="11" s="1"/>
  <c r="D39" i="11" s="1"/>
  <c r="D40" i="11" s="1"/>
  <c r="D41" i="11" s="1"/>
  <c r="D42" i="11" s="1"/>
  <c r="D43" i="11" s="1"/>
  <c r="D44" i="11" s="1"/>
  <c r="D45" i="11" s="1"/>
  <c r="D46" i="11" s="1"/>
  <c r="D47" i="11" s="1"/>
  <c r="D48" i="11" s="1"/>
  <c r="D49" i="11" s="1"/>
  <c r="D50" i="11" s="1"/>
  <c r="D51" i="11" s="1"/>
  <c r="D52" i="11" s="1"/>
  <c r="D53" i="11" s="1"/>
  <c r="D54" i="11" s="1"/>
  <c r="D55" i="11" s="1"/>
  <c r="D56" i="11" s="1"/>
  <c r="D57" i="11" s="1"/>
  <c r="D58" i="11" s="1"/>
  <c r="D59" i="11" s="1"/>
  <c r="D60" i="11" s="1"/>
  <c r="D61" i="11" s="1"/>
  <c r="D62" i="11" s="1"/>
  <c r="D63" i="11" s="1"/>
  <c r="D64" i="11" s="1"/>
  <c r="D65" i="11" s="1"/>
  <c r="D66" i="11" s="1"/>
  <c r="D67" i="11" s="1"/>
  <c r="D68" i="11" s="1"/>
  <c r="D69" i="11" s="1"/>
  <c r="D70" i="11" s="1"/>
  <c r="D71" i="11" s="1"/>
  <c r="D72" i="11" s="1"/>
  <c r="D73" i="11" s="1"/>
  <c r="D74" i="11" s="1"/>
  <c r="D75" i="11" s="1"/>
  <c r="D76" i="11" s="1"/>
  <c r="D77" i="11" s="1"/>
  <c r="D78" i="11" s="1"/>
  <c r="D79" i="11" s="1"/>
  <c r="D80" i="11" s="1"/>
  <c r="D81" i="11" s="1"/>
  <c r="D82" i="11" s="1"/>
  <c r="D83" i="11" s="1"/>
  <c r="D84" i="11" s="1"/>
  <c r="D85" i="11" s="1"/>
  <c r="D86" i="11" s="1"/>
  <c r="D87" i="11" s="1"/>
  <c r="D88" i="11" s="1"/>
  <c r="D89" i="11" s="1"/>
  <c r="D90" i="11" s="1"/>
  <c r="D91" i="11" s="1"/>
  <c r="D92" i="11" s="1"/>
  <c r="D93" i="11" s="1"/>
  <c r="D94" i="11" s="1"/>
  <c r="D95" i="11" s="1"/>
  <c r="D96" i="11" s="1"/>
  <c r="D97" i="11" s="1"/>
  <c r="D98" i="11" s="1"/>
  <c r="D99" i="11" s="1"/>
  <c r="D100" i="11" s="1"/>
  <c r="D101" i="11" s="1"/>
  <c r="D102" i="11" s="1"/>
  <c r="D103" i="11" s="1"/>
  <c r="D104" i="11" s="1"/>
  <c r="D105" i="11" s="1"/>
  <c r="D106" i="11" s="1"/>
  <c r="D107" i="11" s="1"/>
  <c r="D108" i="11" s="1"/>
  <c r="D109" i="11" s="1"/>
  <c r="E11" i="11"/>
  <c r="D12" i="10"/>
  <c r="D13" i="10" s="1"/>
  <c r="D14" i="10" s="1"/>
  <c r="D15" i="10" s="1"/>
  <c r="D16" i="10" s="1"/>
  <c r="D17" i="10" s="1"/>
  <c r="D18" i="10" s="1"/>
  <c r="D19" i="10" s="1"/>
  <c r="D20" i="10" s="1"/>
  <c r="D21" i="10" s="1"/>
  <c r="D22" i="10" s="1"/>
  <c r="D23" i="10" s="1"/>
  <c r="D24" i="10" s="1"/>
  <c r="D25" i="10" s="1"/>
  <c r="D26" i="10" s="1"/>
  <c r="D27" i="10" s="1"/>
  <c r="D28" i="10" s="1"/>
  <c r="D29" i="10" s="1"/>
  <c r="D30" i="10" s="1"/>
  <c r="D31" i="10" s="1"/>
  <c r="D32" i="10" s="1"/>
  <c r="D33" i="10" s="1"/>
  <c r="D34" i="10" s="1"/>
  <c r="D35" i="10" s="1"/>
  <c r="D36" i="10" s="1"/>
  <c r="D37" i="10" s="1"/>
  <c r="D38" i="10" s="1"/>
  <c r="D39" i="10" s="1"/>
  <c r="D40" i="10" s="1"/>
  <c r="D41" i="10" s="1"/>
  <c r="D42" i="10" s="1"/>
  <c r="D43" i="10" s="1"/>
  <c r="D44" i="10" s="1"/>
  <c r="D45" i="10" s="1"/>
  <c r="D46" i="10" s="1"/>
  <c r="D47" i="10" s="1"/>
  <c r="D48" i="10" s="1"/>
  <c r="D49" i="10" s="1"/>
  <c r="D50" i="10" s="1"/>
  <c r="D51" i="10" s="1"/>
  <c r="D52" i="10" s="1"/>
  <c r="D53" i="10" s="1"/>
  <c r="D54" i="10" s="1"/>
  <c r="D55" i="10" s="1"/>
  <c r="D56" i="10" s="1"/>
  <c r="D57" i="10" s="1"/>
  <c r="D58" i="10" s="1"/>
  <c r="D59" i="10" s="1"/>
  <c r="D60" i="10" s="1"/>
  <c r="D61" i="10" s="1"/>
  <c r="D62" i="10" s="1"/>
  <c r="D63" i="10" s="1"/>
  <c r="D64" i="10" s="1"/>
  <c r="D65" i="10" s="1"/>
  <c r="D66" i="10" s="1"/>
  <c r="D67" i="10" s="1"/>
  <c r="D68" i="10" s="1"/>
  <c r="D69" i="10" s="1"/>
  <c r="D70" i="10" s="1"/>
  <c r="D71" i="10" s="1"/>
  <c r="D72" i="10" s="1"/>
  <c r="D73" i="10" s="1"/>
  <c r="D74" i="10" s="1"/>
  <c r="D75" i="10" s="1"/>
  <c r="D76" i="10" s="1"/>
  <c r="D77" i="10" s="1"/>
  <c r="D78" i="10" s="1"/>
  <c r="D79" i="10" s="1"/>
  <c r="D80" i="10" s="1"/>
  <c r="D81" i="10" s="1"/>
  <c r="D82" i="10" s="1"/>
  <c r="D83" i="10" s="1"/>
  <c r="D84" i="10" s="1"/>
  <c r="D85" i="10" s="1"/>
  <c r="D86" i="10" s="1"/>
  <c r="D87" i="10" s="1"/>
  <c r="D88" i="10" s="1"/>
  <c r="D89" i="10" s="1"/>
  <c r="D90" i="10" s="1"/>
  <c r="D91" i="10" s="1"/>
  <c r="D92" i="10" s="1"/>
  <c r="D93" i="10" s="1"/>
  <c r="D94" i="10" s="1"/>
  <c r="D95" i="10" s="1"/>
  <c r="D96" i="10" s="1"/>
  <c r="D97" i="10" s="1"/>
  <c r="D98" i="10" s="1"/>
  <c r="D99" i="10" s="1"/>
  <c r="D100" i="10" s="1"/>
  <c r="D101" i="10" s="1"/>
  <c r="D102" i="10" s="1"/>
  <c r="D103" i="10" s="1"/>
  <c r="D104" i="10" s="1"/>
  <c r="D105" i="10" s="1"/>
  <c r="D106" i="10" s="1"/>
  <c r="D107" i="10" s="1"/>
  <c r="D108" i="10" s="1"/>
  <c r="D109" i="10" s="1"/>
  <c r="E11" i="10"/>
  <c r="E12" i="11" l="1"/>
  <c r="E13" i="11" s="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E97" i="11" s="1"/>
  <c r="E98" i="11" s="1"/>
  <c r="E99" i="11" s="1"/>
  <c r="E100" i="11" s="1"/>
  <c r="E101" i="11" s="1"/>
  <c r="E102" i="11" s="1"/>
  <c r="E103" i="11" s="1"/>
  <c r="E104" i="11" s="1"/>
  <c r="E105" i="11" s="1"/>
  <c r="E106" i="11" s="1"/>
  <c r="E107" i="11" s="1"/>
  <c r="E108" i="11" s="1"/>
  <c r="E109" i="11" s="1"/>
  <c r="E12" i="10"/>
  <c r="E13" i="10" s="1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E75" i="10" s="1"/>
  <c r="E76" i="10" s="1"/>
  <c r="E77" i="10" s="1"/>
  <c r="E78" i="10" s="1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E91" i="10" s="1"/>
  <c r="E92" i="10" s="1"/>
  <c r="E93" i="10" s="1"/>
  <c r="E94" i="10" s="1"/>
  <c r="E95" i="10" s="1"/>
  <c r="E96" i="10" s="1"/>
  <c r="E97" i="10" s="1"/>
  <c r="E98" i="10" s="1"/>
  <c r="E99" i="10" s="1"/>
  <c r="E100" i="10" s="1"/>
  <c r="E101" i="10" s="1"/>
  <c r="E102" i="10" s="1"/>
  <c r="E103" i="10" s="1"/>
  <c r="E104" i="10" s="1"/>
  <c r="E105" i="10" s="1"/>
  <c r="E106" i="10" s="1"/>
  <c r="E107" i="10" s="1"/>
  <c r="E108" i="10" s="1"/>
  <c r="E109" i="10" s="1"/>
</calcChain>
</file>

<file path=xl/sharedStrings.xml><?xml version="1.0" encoding="utf-8"?>
<sst xmlns="http://schemas.openxmlformats.org/spreadsheetml/2006/main" count="760" uniqueCount="324">
  <si>
    <t>フォルダ名</t>
  </si>
  <si>
    <t>SampleMB</t>
  </si>
  <si>
    <t>※階層は3層まで設定できます　※型は必ず指定してください　※キーを数字に設定すると、配列として処理されます</t>
  </si>
  <si>
    <t>階層1</t>
  </si>
  <si>
    <t>id</t>
  </si>
  <si>
    <t>genre</t>
  </si>
  <si>
    <t>category</t>
  </si>
  <si>
    <t>name</t>
  </si>
  <si>
    <t>description</t>
  </si>
  <si>
    <t>initialGrade</t>
  </si>
  <si>
    <t>initialNatureSet</t>
  </si>
  <si>
    <t>growthCoefficientNatureset</t>
  </si>
  <si>
    <t>skillList</t>
  </si>
  <si>
    <t>farmOpenSlotNumberList</t>
  </si>
  <si>
    <t>mineOpenSlotNumberList</t>
  </si>
  <si>
    <t>isPermittedPresent</t>
  </si>
  <si>
    <t>presentCost</t>
  </si>
  <si>
    <t>buildType</t>
  </si>
  <si>
    <t>gradeUpRewardItemList</t>
  </si>
  <si>
    <t>階層2</t>
  </si>
  <si>
    <t>big</t>
  </si>
  <si>
    <t>fresh</t>
  </si>
  <si>
    <t>taste</t>
  </si>
  <si>
    <t>luck</t>
  </si>
  <si>
    <t>harvest</t>
  </si>
  <si>
    <t>階層3</t>
  </si>
  <si>
    <t>skillId</t>
  </si>
  <si>
    <t>rankToOpen</t>
  </si>
  <si>
    <t>grade</t>
  </si>
  <si>
    <t>itemType</t>
  </si>
  <si>
    <t>itemId</t>
  </si>
  <si>
    <t>num</t>
  </si>
  <si>
    <t>型</t>
  </si>
  <si>
    <t>int</t>
  </si>
  <si>
    <t>string</t>
  </si>
  <si>
    <t>float</t>
  </si>
  <si>
    <t>boolean</t>
  </si>
  <si>
    <t>説明</t>
  </si>
  <si>
    <t>ID</t>
  </si>
  <si>
    <t>ジャンル</t>
  </si>
  <si>
    <t>カテゴリ</t>
  </si>
  <si>
    <t>名前</t>
  </si>
  <si>
    <t>獲得時グレード</t>
  </si>
  <si>
    <t>初期大きさ力</t>
  </si>
  <si>
    <t>初期鮮度力</t>
  </si>
  <si>
    <t>初期おいしさ力</t>
  </si>
  <si>
    <t>初期ラック</t>
  </si>
  <si>
    <t>初期収穫力</t>
  </si>
  <si>
    <t>大きさ力成長係数</t>
  </si>
  <si>
    <t>鮮度成長係数</t>
  </si>
  <si>
    <t>おいしさ力成長係数</t>
  </si>
  <si>
    <t>ラック成長係数</t>
  </si>
  <si>
    <t>収穫力成長係数</t>
  </si>
  <si>
    <t>スキルID</t>
  </si>
  <si>
    <t>スキル解放に必要なランク</t>
  </si>
  <si>
    <t>解放される畑スロット番号</t>
  </si>
  <si>
    <t>解放される採掘場スロット番号</t>
  </si>
  <si>
    <t>プレゼント(もしくは還元)可能か否か</t>
  </si>
  <si>
    <t>プレゼント時必要価格</t>
  </si>
  <si>
    <t>ビルドタイプ</t>
  </si>
  <si>
    <t>到達グレード</t>
  </si>
  <si>
    <t>アイテムタイプ</t>
  </si>
  <si>
    <t>アイテムID</t>
  </si>
  <si>
    <t>個数</t>
  </si>
  <si>
    <t>補足</t>
  </si>
  <si>
    <t>#</t>
  </si>
  <si>
    <t>1:default
2:original</t>
  </si>
  <si>
    <t>※現状使わない</t>
  </si>
  <si>
    <t>※庭作成時に開放される畑スロットを、オブジェに紐付けて指定しています</t>
  </si>
  <si>
    <t>1:通貨
2:資産
3:種
4:作物
5:肥料
6:オブジェ
7:素材
8:アバターアイテム</t>
  </si>
  <si>
    <t>内容</t>
  </si>
  <si>
    <t>はじまりの畑小屋</t>
  </si>
  <si>
    <t>畑の横に建つ、レンガの美しい小屋。</t>
  </si>
  <si>
    <t>ふくすけショップ</t>
  </si>
  <si>
    <t>フクスケが運営する、フクスケ念願のお店。</t>
  </si>
  <si>
    <t>守り神の石像</t>
  </si>
  <si>
    <t>自然素材を生み出す不思議なモニュメント。</t>
  </si>
  <si>
    <t>穏やかな風車</t>
  </si>
  <si>
    <t>風格のある小さな風車。</t>
  </si>
  <si>
    <t>泉の休憩所</t>
  </si>
  <si>
    <t>石の素材を生み出す泉に設置された休憩所。</t>
  </si>
  <si>
    <t>素材研究所</t>
  </si>
  <si>
    <t>素材を研究するための設備。</t>
  </si>
  <si>
    <t>アトリエ溶鉱炉</t>
  </si>
  <si>
    <t>鉄製の素材をつくるための溶鉱炉。</t>
  </si>
  <si>
    <t>キャンピングカー</t>
  </si>
  <si>
    <t>くつろぐのにぴったりのおしゃれな車。</t>
  </si>
  <si>
    <t>ひまわり畑のボート</t>
  </si>
  <si>
    <t>ひまわり畑の泉に置きっぱなしのボート。</t>
  </si>
  <si>
    <t>日の当たるロッジ</t>
  </si>
  <si>
    <t>色々な畑道具がつまった小さな小屋。</t>
  </si>
  <si>
    <t>水辺の鳥小屋</t>
  </si>
  <si>
    <t>鳥がよく現れるという小屋。</t>
  </si>
  <si>
    <t>真空管の製鉄所</t>
  </si>
  <si>
    <t>24時間煙がモクモクしている製鉄所。</t>
  </si>
  <si>
    <t>ほとりの森小屋</t>
  </si>
  <si>
    <t>よく回る水車。</t>
  </si>
  <si>
    <t>鐘の音ひびく花園</t>
  </si>
  <si>
    <t>花がたくさんさいている庭。</t>
  </si>
  <si>
    <t>海に臨む展望台</t>
  </si>
  <si>
    <t>色々な石がとれる採石場。</t>
  </si>
  <si>
    <t>ブリキのロケット</t>
  </si>
  <si>
    <t>追加予定</t>
  </si>
  <si>
    <t>祈りの神社</t>
  </si>
  <si>
    <t>ランタンの街灯</t>
  </si>
  <si>
    <t>清流の女神</t>
  </si>
  <si>
    <t>木陰の恋ベンチ</t>
  </si>
  <si>
    <t>癒やしの鹿威し</t>
  </si>
  <si>
    <t>温和なロボット</t>
  </si>
  <si>
    <t>けなげな植物番犬</t>
  </si>
  <si>
    <t>熱帯のアクアリウム</t>
  </si>
  <si>
    <t>旅のハートバルーン</t>
  </si>
  <si>
    <t>茶屋のひととき</t>
  </si>
  <si>
    <t>隠れ家ツリーハウス</t>
  </si>
  <si>
    <t>ペガサスの陶器</t>
  </si>
  <si>
    <t>オブジェアバター有り</t>
  </si>
  <si>
    <t>夢見のサーカス</t>
  </si>
  <si>
    <t>バカンスプール</t>
  </si>
  <si>
    <t>パフェマウンテン</t>
  </si>
  <si>
    <t>永遠を計る砂時計</t>
  </si>
  <si>
    <t>海賊の宝箱</t>
  </si>
  <si>
    <t>きらめく星の模型</t>
  </si>
  <si>
    <t>豊穣の女神</t>
  </si>
  <si>
    <t>ブライダルテーブル</t>
  </si>
  <si>
    <t>果物がなる大樹</t>
  </si>
  <si>
    <t>もふもふのオブジェ</t>
  </si>
  <si>
    <t>草花の協奏曲</t>
  </si>
  <si>
    <t>MonsterMB</t>
    <phoneticPr fontId="8"/>
  </si>
  <si>
    <t>name</t>
    <phoneticPr fontId="8"/>
  </si>
  <si>
    <t>initialGrade</t>
    <phoneticPr fontId="8"/>
  </si>
  <si>
    <t>モンスター名</t>
    <rPh sb="0" eb="2">
      <t>ナマ</t>
    </rPh>
    <phoneticPr fontId="8"/>
  </si>
  <si>
    <t>初期グレード値</t>
    <rPh sb="0" eb="1">
      <t>アタ</t>
    </rPh>
    <phoneticPr fontId="8"/>
  </si>
  <si>
    <t>イヌ</t>
    <rPh sb="0" eb="1">
      <t>イn</t>
    </rPh>
    <phoneticPr fontId="8"/>
  </si>
  <si>
    <t>トリ</t>
    <phoneticPr fontId="8"/>
  </si>
  <si>
    <t>カエル</t>
    <phoneticPr fontId="8"/>
  </si>
  <si>
    <t>イノシシ</t>
    <phoneticPr fontId="8"/>
  </si>
  <si>
    <t>エルフ</t>
    <phoneticPr fontId="8"/>
  </si>
  <si>
    <t>オバケ</t>
    <phoneticPr fontId="8"/>
  </si>
  <si>
    <t>GachaBoxMB</t>
    <phoneticPr fontId="8"/>
  </si>
  <si>
    <t>title</t>
    <phoneticPr fontId="8"/>
  </si>
  <si>
    <t>ガチャ名</t>
    <rPh sb="0" eb="1">
      <t>メ</t>
    </rPh>
    <phoneticPr fontId="8"/>
  </si>
  <si>
    <t>int</t>
    <phoneticPr fontId="8"/>
  </si>
  <si>
    <t>1:恒常ガチャ</t>
    <rPh sb="0" eb="2">
      <t>コウジョ</t>
    </rPh>
    <phoneticPr fontId="8"/>
  </si>
  <si>
    <t>レア召喚</t>
    <rPh sb="0" eb="2">
      <t>ショウカn</t>
    </rPh>
    <phoneticPr fontId="8"/>
  </si>
  <si>
    <t>gachaBoxTypeList</t>
    <phoneticPr fontId="8"/>
  </si>
  <si>
    <t>排出されるガチャのガチャタイプ</t>
    <phoneticPr fontId="8"/>
  </si>
  <si>
    <t>GachaBoxDetailMB</t>
    <phoneticPr fontId="8"/>
  </si>
  <si>
    <t>gachaBoxId</t>
    <phoneticPr fontId="8"/>
  </si>
  <si>
    <t>ガチャボックスID</t>
    <phoneticPr fontId="8"/>
  </si>
  <si>
    <t>requiredItemList</t>
    <phoneticPr fontId="8"/>
  </si>
  <si>
    <t>itemType</t>
    <phoneticPr fontId="8"/>
  </si>
  <si>
    <t>1:仮想通貨</t>
    <rPh sb="0" eb="2">
      <t>カソ</t>
    </rPh>
    <phoneticPr fontId="8"/>
  </si>
  <si>
    <t>itemId</t>
    <phoneticPr fontId="8"/>
  </si>
  <si>
    <t>アイテムID</t>
    <phoneticPr fontId="8"/>
  </si>
  <si>
    <t>num</t>
    <phoneticPr fontId="8"/>
  </si>
  <si>
    <t>個数</t>
    <rPh sb="0" eb="2">
      <t>コス</t>
    </rPh>
    <phoneticPr fontId="8"/>
  </si>
  <si>
    <t>1:仮想通貨</t>
    <phoneticPr fontId="8"/>
  </si>
  <si>
    <t>dropNum</t>
    <phoneticPr fontId="8"/>
  </si>
  <si>
    <t>排出するモンスターの数</t>
    <rPh sb="0" eb="2">
      <t>ノ</t>
    </rPh>
    <phoneticPr fontId="8"/>
  </si>
  <si>
    <t>名前</t>
    <rPh sb="0" eb="2">
      <t>ナマ</t>
    </rPh>
    <phoneticPr fontId="8"/>
  </si>
  <si>
    <t>オーブ</t>
    <phoneticPr fontId="8"/>
  </si>
  <si>
    <t>コイン</t>
    <phoneticPr fontId="8"/>
  </si>
  <si>
    <t>playFabCode</t>
    <phoneticPr fontId="8"/>
  </si>
  <si>
    <t>PlayFabで設定しているCode</t>
    <rPh sb="0" eb="2">
      <t>セッテ</t>
    </rPh>
    <phoneticPr fontId="8"/>
  </si>
  <si>
    <t>OB</t>
    <phoneticPr fontId="8"/>
  </si>
  <si>
    <t>CN</t>
    <phoneticPr fontId="8"/>
  </si>
  <si>
    <t>VirtualCurrencyMB</t>
    <phoneticPr fontId="8"/>
  </si>
  <si>
    <t>QuestCategoryMB</t>
    <phoneticPr fontId="8"/>
  </si>
  <si>
    <t>クエストカテゴリ名</t>
    <rPh sb="0" eb="1">
      <t>メイ</t>
    </rPh>
    <phoneticPr fontId="8"/>
  </si>
  <si>
    <t>questType</t>
    <phoneticPr fontId="8"/>
  </si>
  <si>
    <t>1:ノーマル</t>
    <rPh sb="0" eb="1">
      <t>メイ</t>
    </rPh>
    <phoneticPr fontId="8"/>
  </si>
  <si>
    <t>はじまりの森</t>
    <rPh sb="0" eb="1">
      <t>モr</t>
    </rPh>
    <phoneticPr fontId="8"/>
  </si>
  <si>
    <t>冒険クエスト（初級）</t>
    <rPh sb="0" eb="1">
      <t>sy</t>
    </rPh>
    <phoneticPr fontId="8"/>
  </si>
  <si>
    <t>冒険クエスト（中級）</t>
    <rPh sb="0" eb="1">
      <t>ボウケn</t>
    </rPh>
    <phoneticPr fontId="8"/>
  </si>
  <si>
    <t>冒険クエスト（上級）</t>
    <rPh sb="0" eb="2">
      <t>）</t>
    </rPh>
    <phoneticPr fontId="8"/>
  </si>
  <si>
    <t>冒険クエスト（超級）</t>
    <rPh sb="0" eb="1">
      <t>ボウケn</t>
    </rPh>
    <phoneticPr fontId="8"/>
  </si>
  <si>
    <t>冒険クスと（超上級）</t>
    <rPh sb="0" eb="1">
      <t>ボウケn</t>
    </rPh>
    <phoneticPr fontId="8"/>
  </si>
  <si>
    <t>rewardItemList</t>
    <phoneticPr fontId="8"/>
  </si>
  <si>
    <t>1:仮想通貨 2:モンスター</t>
    <rPh sb="0" eb="2">
      <t>カソ</t>
    </rPh>
    <phoneticPr fontId="8"/>
  </si>
  <si>
    <t>QuestMB</t>
    <phoneticPr fontId="8"/>
  </si>
  <si>
    <t>questCategoryId</t>
    <phoneticPr fontId="8"/>
  </si>
  <si>
    <t>クエストカテゴリID</t>
    <phoneticPr fontId="8"/>
  </si>
  <si>
    <t>クエスト名</t>
    <rPh sb="0" eb="1">
      <t>メイ</t>
    </rPh>
    <phoneticPr fontId="8"/>
  </si>
  <si>
    <t>firstRewardItemList</t>
    <phoneticPr fontId="8"/>
  </si>
  <si>
    <t>dropItemList</t>
    <phoneticPr fontId="8"/>
  </si>
  <si>
    <t>旅のはじまり</t>
    <rPh sb="0" eb="1">
      <t>タb</t>
    </rPh>
    <phoneticPr fontId="8"/>
  </si>
  <si>
    <t>マグママウンテン1</t>
    <phoneticPr fontId="8"/>
  </si>
  <si>
    <t>クジラ海岸1</t>
    <rPh sb="0" eb="2">
      <t>カイガn</t>
    </rPh>
    <phoneticPr fontId="8"/>
  </si>
  <si>
    <t>マヨイ森1</t>
    <rPh sb="0" eb="1">
      <t>モr</t>
    </rPh>
    <phoneticPr fontId="8"/>
  </si>
  <si>
    <t>カガヤキ神殿1</t>
    <rPh sb="0" eb="1">
      <t>シンd</t>
    </rPh>
    <phoneticPr fontId="8"/>
  </si>
  <si>
    <t>ドクロ峠1</t>
    <rPh sb="0" eb="1">
      <t>ト</t>
    </rPh>
    <phoneticPr fontId="8"/>
  </si>
  <si>
    <t>マグママウンテン2</t>
  </si>
  <si>
    <t>クジラ海岸2</t>
    <rPh sb="0" eb="2">
      <t>カイガn</t>
    </rPh>
    <phoneticPr fontId="8"/>
  </si>
  <si>
    <t>マヨイ森2</t>
    <rPh sb="0" eb="1">
      <t>モr</t>
    </rPh>
    <phoneticPr fontId="8"/>
  </si>
  <si>
    <t>カガヤキ神殿2</t>
    <rPh sb="0" eb="1">
      <t>シンd</t>
    </rPh>
    <phoneticPr fontId="8"/>
  </si>
  <si>
    <t>ドクロ峠2</t>
    <rPh sb="0" eb="1">
      <t>ト</t>
    </rPh>
    <phoneticPr fontId="8"/>
  </si>
  <si>
    <t>マグママウンテン3</t>
  </si>
  <si>
    <t>クジラ海岸3</t>
    <rPh sb="0" eb="2">
      <t>カイガn</t>
    </rPh>
    <phoneticPr fontId="8"/>
  </si>
  <si>
    <t>マヨイ森3</t>
    <rPh sb="0" eb="1">
      <t>モr</t>
    </rPh>
    <phoneticPr fontId="8"/>
  </si>
  <si>
    <t>カガヤキ神殿3</t>
    <rPh sb="0" eb="1">
      <t>シンd</t>
    </rPh>
    <phoneticPr fontId="8"/>
  </si>
  <si>
    <t>ドクロ峠3</t>
    <rPh sb="0" eb="1">
      <t>ト</t>
    </rPh>
    <phoneticPr fontId="8"/>
  </si>
  <si>
    <t>マグママウンテン4</t>
  </si>
  <si>
    <t>クジラ海岸4</t>
    <rPh sb="0" eb="2">
      <t>カイガn</t>
    </rPh>
    <phoneticPr fontId="8"/>
  </si>
  <si>
    <t>マヨイ森4</t>
    <rPh sb="0" eb="1">
      <t>モr</t>
    </rPh>
    <phoneticPr fontId="8"/>
  </si>
  <si>
    <t>カガヤキ神殿4</t>
    <rPh sb="0" eb="1">
      <t>シンd</t>
    </rPh>
    <phoneticPr fontId="8"/>
  </si>
  <si>
    <t>ドクロ峠4</t>
    <rPh sb="0" eb="1">
      <t>ト</t>
    </rPh>
    <phoneticPr fontId="8"/>
  </si>
  <si>
    <t>マグママウンテン5</t>
  </si>
  <si>
    <t>クジラ海岸5</t>
    <rPh sb="0" eb="2">
      <t>カイガn</t>
    </rPh>
    <phoneticPr fontId="8"/>
  </si>
  <si>
    <t>マヨイ森5</t>
    <rPh sb="0" eb="1">
      <t>モr</t>
    </rPh>
    <phoneticPr fontId="8"/>
  </si>
  <si>
    <t>カガヤキ神殿5</t>
    <rPh sb="0" eb="1">
      <t>シンd</t>
    </rPh>
    <phoneticPr fontId="8"/>
  </si>
  <si>
    <t>ドクロ峠5</t>
    <rPh sb="0" eb="1">
      <t>ト</t>
    </rPh>
    <phoneticPr fontId="8"/>
  </si>
  <si>
    <t>マグママウンテン6</t>
  </si>
  <si>
    <t>クジラ海岸6</t>
    <rPh sb="0" eb="2">
      <t>カイガn</t>
    </rPh>
    <phoneticPr fontId="8"/>
  </si>
  <si>
    <t>マヨイ森6</t>
    <rPh sb="0" eb="1">
      <t>モr</t>
    </rPh>
    <phoneticPr fontId="8"/>
  </si>
  <si>
    <t>カガヤキ神殿6</t>
    <rPh sb="0" eb="1">
      <t>シンd</t>
    </rPh>
    <phoneticPr fontId="8"/>
  </si>
  <si>
    <t>ドクロ峠6</t>
    <rPh sb="0" eb="1">
      <t>ト</t>
    </rPh>
    <phoneticPr fontId="8"/>
  </si>
  <si>
    <t>マグママウンテン7</t>
  </si>
  <si>
    <t>クジラ海岸7</t>
    <rPh sb="0" eb="2">
      <t>カイガn</t>
    </rPh>
    <phoneticPr fontId="8"/>
  </si>
  <si>
    <t>マヨイ森7</t>
    <rPh sb="0" eb="1">
      <t>モr</t>
    </rPh>
    <phoneticPr fontId="8"/>
  </si>
  <si>
    <t>カガヤキ神殿7</t>
    <rPh sb="0" eb="1">
      <t>シンd</t>
    </rPh>
    <phoneticPr fontId="8"/>
  </si>
  <si>
    <t>ドクロ峠7</t>
    <rPh sb="0" eb="1">
      <t>ト</t>
    </rPh>
    <phoneticPr fontId="8"/>
  </si>
  <si>
    <t>マグママウンテン8</t>
  </si>
  <si>
    <t>クジラ海岸8</t>
    <rPh sb="0" eb="2">
      <t>カイガn</t>
    </rPh>
    <phoneticPr fontId="8"/>
  </si>
  <si>
    <t>マヨイ森8</t>
    <rPh sb="0" eb="1">
      <t>モr</t>
    </rPh>
    <phoneticPr fontId="8"/>
  </si>
  <si>
    <t>カガヤキ神殿8</t>
    <rPh sb="0" eb="1">
      <t>シンd</t>
    </rPh>
    <phoneticPr fontId="8"/>
  </si>
  <si>
    <t>ドクロ峠8</t>
    <rPh sb="0" eb="1">
      <t>ト</t>
    </rPh>
    <phoneticPr fontId="8"/>
  </si>
  <si>
    <t>マグママウンテン9</t>
  </si>
  <si>
    <t>クジラ海岸9</t>
    <rPh sb="0" eb="2">
      <t>カイガn</t>
    </rPh>
    <phoneticPr fontId="8"/>
  </si>
  <si>
    <t>マヨイ森9</t>
    <rPh sb="0" eb="1">
      <t>モr</t>
    </rPh>
    <phoneticPr fontId="8"/>
  </si>
  <si>
    <t>カガヤキ神殿9</t>
    <rPh sb="0" eb="1">
      <t>シンd</t>
    </rPh>
    <phoneticPr fontId="8"/>
  </si>
  <si>
    <t>ドクロ峠9</t>
    <rPh sb="0" eb="1">
      <t>ト</t>
    </rPh>
    <phoneticPr fontId="8"/>
  </si>
  <si>
    <t>マグママウンテン10</t>
  </si>
  <si>
    <t>クジラ海岸10</t>
    <rPh sb="0" eb="2">
      <t>カイガn</t>
    </rPh>
    <phoneticPr fontId="8"/>
  </si>
  <si>
    <t>マヨイ森10</t>
    <rPh sb="0" eb="1">
      <t>モr</t>
    </rPh>
    <phoneticPr fontId="8"/>
  </si>
  <si>
    <t>カガヤキ神殿10</t>
    <rPh sb="0" eb="1">
      <t>シンd</t>
    </rPh>
    <phoneticPr fontId="8"/>
  </si>
  <si>
    <t>ドクロ峠10</t>
    <rPh sb="0" eb="1">
      <t>ト</t>
    </rPh>
    <phoneticPr fontId="8"/>
  </si>
  <si>
    <t>マグママウンテン11</t>
  </si>
  <si>
    <t>クジラ海岸11</t>
    <rPh sb="0" eb="2">
      <t>カイガn</t>
    </rPh>
    <phoneticPr fontId="8"/>
  </si>
  <si>
    <t>マヨイ森11</t>
    <rPh sb="0" eb="1">
      <t>モr</t>
    </rPh>
    <phoneticPr fontId="8"/>
  </si>
  <si>
    <t>カガヤキ神殿11</t>
    <rPh sb="0" eb="1">
      <t>シンd</t>
    </rPh>
    <phoneticPr fontId="8"/>
  </si>
  <si>
    <t>ドクロ峠11</t>
    <rPh sb="0" eb="1">
      <t>ト</t>
    </rPh>
    <phoneticPr fontId="8"/>
  </si>
  <si>
    <t>マグママウンテン12</t>
  </si>
  <si>
    <t>クジラ海岸12</t>
    <rPh sb="0" eb="2">
      <t>カイガn</t>
    </rPh>
    <phoneticPr fontId="8"/>
  </si>
  <si>
    <t>マヨイ森12</t>
    <rPh sb="0" eb="1">
      <t>モr</t>
    </rPh>
    <phoneticPr fontId="8"/>
  </si>
  <si>
    <t>カガヤキ神殿12</t>
    <rPh sb="0" eb="1">
      <t>シンd</t>
    </rPh>
    <phoneticPr fontId="8"/>
  </si>
  <si>
    <t>ドクロ峠12</t>
    <rPh sb="0" eb="1">
      <t>ト</t>
    </rPh>
    <phoneticPr fontId="8"/>
  </si>
  <si>
    <t>マグママウンテン13</t>
  </si>
  <si>
    <t>クジラ海岸13</t>
    <rPh sb="0" eb="2">
      <t>カイガn</t>
    </rPh>
    <phoneticPr fontId="8"/>
  </si>
  <si>
    <t>マヨイ森13</t>
    <rPh sb="0" eb="1">
      <t>モr</t>
    </rPh>
    <phoneticPr fontId="8"/>
  </si>
  <si>
    <t>カガヤキ神殿13</t>
    <rPh sb="0" eb="1">
      <t>シンd</t>
    </rPh>
    <phoneticPr fontId="8"/>
  </si>
  <si>
    <t>ドクロ峠13</t>
    <rPh sb="0" eb="1">
      <t>ト</t>
    </rPh>
    <phoneticPr fontId="8"/>
  </si>
  <si>
    <t>マグママウンテン14</t>
  </si>
  <si>
    <t>クジラ海岸14</t>
    <rPh sb="0" eb="2">
      <t>カイガn</t>
    </rPh>
    <phoneticPr fontId="8"/>
  </si>
  <si>
    <t>マヨイ森14</t>
    <rPh sb="0" eb="1">
      <t>モr</t>
    </rPh>
    <phoneticPr fontId="8"/>
  </si>
  <si>
    <t>カガヤキ神殿14</t>
    <rPh sb="0" eb="1">
      <t>シンd</t>
    </rPh>
    <phoneticPr fontId="8"/>
  </si>
  <si>
    <t>ドクロ峠14</t>
    <rPh sb="0" eb="1">
      <t>ト</t>
    </rPh>
    <phoneticPr fontId="8"/>
  </si>
  <si>
    <t>マグママウンテン15</t>
  </si>
  <si>
    <t>クジラ海岸15</t>
    <rPh sb="0" eb="2">
      <t>カイガn</t>
    </rPh>
    <phoneticPr fontId="8"/>
  </si>
  <si>
    <t>マヨイ森15</t>
    <rPh sb="0" eb="1">
      <t>モr</t>
    </rPh>
    <phoneticPr fontId="8"/>
  </si>
  <si>
    <t>カガヤキ神殿15</t>
    <rPh sb="0" eb="1">
      <t>シンd</t>
    </rPh>
    <phoneticPr fontId="8"/>
  </si>
  <si>
    <t>ドクロ峠15</t>
    <rPh sb="0" eb="1">
      <t>ト</t>
    </rPh>
    <phoneticPr fontId="8"/>
  </si>
  <si>
    <t>dropTableId</t>
    <phoneticPr fontId="8"/>
  </si>
  <si>
    <t>string</t>
    <phoneticPr fontId="8"/>
  </si>
  <si>
    <t>PlayFabで設定しているドロップテーブルID</t>
    <rPh sb="0" eb="2">
      <t>セッテ</t>
    </rPh>
    <phoneticPr fontId="8"/>
  </si>
  <si>
    <t>NormalGacha</t>
    <phoneticPr fontId="8"/>
  </si>
  <si>
    <t>PropertyMB</t>
    <phoneticPr fontId="8"/>
  </si>
  <si>
    <t>プレイヤー経験値</t>
    <phoneticPr fontId="8"/>
  </si>
  <si>
    <t>モンスター経験値</t>
    <rPh sb="0" eb="1">
      <t>ケ</t>
    </rPh>
    <phoneticPr fontId="8"/>
  </si>
  <si>
    <t>1:通貨
2:資産
3:種
4:作物
5:肥料
6:オブジェ
7:素材
8:アバターアイテム</t>
    <phoneticPr fontId="5"/>
  </si>
  <si>
    <t>1:畑
2:採掘
3:空き地
4:特殊</t>
    <phoneticPr fontId="5"/>
  </si>
  <si>
    <t>level</t>
    <phoneticPr fontId="8"/>
  </si>
  <si>
    <t>レベル</t>
    <phoneticPr fontId="8"/>
  </si>
  <si>
    <t>requiredExp</t>
    <phoneticPr fontId="8"/>
  </si>
  <si>
    <t>１つ前のレベルからこのレベルに上がるために必要な経験値量</t>
    <rPh sb="0" eb="1">
      <t>マアガr</t>
    </rPh>
    <phoneticPr fontId="8"/>
  </si>
  <si>
    <t>totalRequiredExp</t>
    <phoneticPr fontId="8"/>
  </si>
  <si>
    <t>このレベルになるために必要な総経験値量</t>
    <rPh sb="0" eb="2">
      <t>ナルt</t>
    </rPh>
    <phoneticPr fontId="8"/>
  </si>
  <si>
    <t>level1Attack</t>
    <phoneticPr fontId="8"/>
  </si>
  <si>
    <t>level1Hp</t>
    <phoneticPr fontId="8"/>
  </si>
  <si>
    <t>level1Heal</t>
    <phoneticPr fontId="8"/>
  </si>
  <si>
    <t>level100Hp</t>
    <phoneticPr fontId="8"/>
  </si>
  <si>
    <t>level100Attack</t>
    <phoneticPr fontId="8"/>
  </si>
  <si>
    <t>level100Heal</t>
    <phoneticPr fontId="8"/>
  </si>
  <si>
    <t>レベル100での体力</t>
    <rPh sb="0" eb="2">
      <t>ジテn</t>
    </rPh>
    <phoneticPr fontId="8"/>
  </si>
  <si>
    <t>レベル1での体力</t>
    <rPh sb="0" eb="2">
      <t>ジテn</t>
    </rPh>
    <phoneticPr fontId="8"/>
  </si>
  <si>
    <t>レベル1での攻撃力</t>
    <rPh sb="0" eb="2">
      <t>ジテn</t>
    </rPh>
    <phoneticPr fontId="8"/>
  </si>
  <si>
    <t>レベル1での回復力</t>
    <rPh sb="0" eb="2">
      <t>ジテn</t>
    </rPh>
    <phoneticPr fontId="8"/>
  </si>
  <si>
    <t>レベル100での攻撃力</t>
    <rPh sb="0" eb="2">
      <t>ジテn</t>
    </rPh>
    <phoneticPr fontId="8"/>
  </si>
  <si>
    <t>レベル100での回復力</t>
    <rPh sb="0" eb="2">
      <t>ジテn</t>
    </rPh>
    <phoneticPr fontId="8"/>
  </si>
  <si>
    <t>attribute</t>
    <phoneticPr fontId="8"/>
  </si>
  <si>
    <t>1:赤
2:青
3:緑
4:黄
5:紫</t>
    <rPh sb="0" eb="1">
      <t>アk</t>
    </rPh>
    <phoneticPr fontId="8"/>
  </si>
  <si>
    <t>赤ずきん</t>
    <rPh sb="0" eb="1">
      <t>アカズキn</t>
    </rPh>
    <phoneticPr fontId="8"/>
  </si>
  <si>
    <t>クラゲ</t>
    <phoneticPr fontId="8"/>
  </si>
  <si>
    <t>タコ</t>
    <phoneticPr fontId="8"/>
  </si>
  <si>
    <t>ヒノぽん</t>
    <phoneticPr fontId="8"/>
  </si>
  <si>
    <t>ペガサス</t>
    <phoneticPr fontId="8"/>
  </si>
  <si>
    <t>ガンマン</t>
    <phoneticPr fontId="8"/>
  </si>
  <si>
    <t>ヒトカゲ</t>
    <rPh sb="0" eb="2">
      <t>ヒトカg</t>
    </rPh>
    <phoneticPr fontId="8"/>
  </si>
  <si>
    <t>フェンリル</t>
    <phoneticPr fontId="8"/>
  </si>
  <si>
    <t>セイレーン</t>
    <phoneticPr fontId="8"/>
  </si>
  <si>
    <t>ワンくろー</t>
    <phoneticPr fontId="8"/>
  </si>
  <si>
    <t>ナマズン</t>
    <phoneticPr fontId="8"/>
  </si>
  <si>
    <t>メタルリザード</t>
    <phoneticPr fontId="8"/>
  </si>
  <si>
    <t>ミカエル</t>
    <phoneticPr fontId="8"/>
  </si>
  <si>
    <t>暗黒騎士</t>
    <rPh sb="0" eb="1">
      <t>k</t>
    </rPh>
    <phoneticPr fontId="8"/>
  </si>
  <si>
    <t>内容</t>
    <rPh sb="0" eb="1">
      <t>ナイヨ</t>
    </rPh>
    <phoneticPr fontId="8"/>
  </si>
  <si>
    <t>rank</t>
    <phoneticPr fontId="8"/>
  </si>
  <si>
    <t>ランク</t>
    <phoneticPr fontId="8"/>
  </si>
  <si>
    <t>このランクになるために必要な総経験値量</t>
    <rPh sb="0" eb="2">
      <t>ナルt</t>
    </rPh>
    <phoneticPr fontId="8"/>
  </si>
  <si>
    <t>１つ前のランクからこのランクに上がるために必要な経験値量</t>
    <rPh sb="0" eb="1">
      <t>マアガr</t>
    </rPh>
    <phoneticPr fontId="8"/>
  </si>
  <si>
    <t>MonsterLevelUpTableMB</t>
    <phoneticPr fontId="8"/>
  </si>
  <si>
    <t>UserRankUpTableMB</t>
    <phoneticPr fontId="8"/>
  </si>
  <si>
    <t>StaminaMB</t>
    <phoneticPr fontId="8"/>
  </si>
  <si>
    <t>stamina</t>
    <phoneticPr fontId="8"/>
  </si>
  <si>
    <t>スタミナ</t>
    <phoneticPr fontId="8"/>
  </si>
  <si>
    <t>BundleMB</t>
    <phoneticPr fontId="8"/>
  </si>
  <si>
    <t>ID</t>
    <phoneticPr fontId="8"/>
  </si>
  <si>
    <t>1:仮想通貨
2:モンスター
3:資産
4:ドロップテーブル</t>
    <rPh sb="0" eb="1">
      <t>アk</t>
    </rPh>
    <phoneticPr fontId="8"/>
  </si>
  <si>
    <t>クエスト1-1のドロップ報酬</t>
    <rPh sb="0" eb="2">
      <t>ホウシュ</t>
    </rPh>
    <phoneticPr fontId="8"/>
  </si>
  <si>
    <t>クエスト2-1のドロップ報酬</t>
    <rPh sb="0" eb="2">
      <t>ホウシュ</t>
    </rPh>
    <phoneticPr fontId="8"/>
  </si>
  <si>
    <t>クエスト2-2のドロップ報酬</t>
    <phoneticPr fontId="8"/>
  </si>
  <si>
    <t>itemList</t>
    <phoneticPr fontId="8"/>
  </si>
  <si>
    <t>DropTableMB</t>
    <phoneticPr fontId="8"/>
  </si>
  <si>
    <t>probability</t>
    <phoneticPr fontId="8"/>
  </si>
  <si>
    <t>重み</t>
    <rPh sb="0" eb="1">
      <t>オモm</t>
    </rPh>
    <phoneticPr fontId="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</si>
</sst>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Arial"/>
    </font>
    <font>
      <b/>
      <sz val="8"/>
      <color theme="0"/>
      <name val="Meiryo"/>
      <family val="3"/>
      <charset val="128"/>
    </font>
    <font>
      <b/>
      <sz val="8"/>
      <color theme="1"/>
      <name val="Meiryo"/>
      <family val="3"/>
      <charset val="128"/>
    </font>
    <font>
      <sz val="8"/>
      <color rgb="FFFF0000"/>
      <name val="Meiryo"/>
      <family val="3"/>
      <charset val="128"/>
    </font>
    <font>
      <sz val="8"/>
      <color theme="1"/>
      <name val="Meiryo"/>
      <family val="3"/>
      <charset val="128"/>
    </font>
    <font>
      <sz val="6"/>
      <name val="ＭＳ Ｐゴシック"/>
      <family val="3"/>
      <charset val="128"/>
    </font>
    <font>
      <b/>
      <sz val="11"/>
      <color theme="1"/>
      <name val="Arial"/>
      <family val="2"/>
    </font>
    <font>
      <sz val="11"/>
      <color rgb="FF000000"/>
      <name val="游ゴシック"/>
      <family val="3"/>
      <charset val="128"/>
    </font>
    <font>
      <sz val="6"/>
      <name val="A-OTF UD Reimin Pr6N L"/>
      <family val="3"/>
      <charset val="128"/>
    </font>
    <font>
      <sz val="8"/>
      <color rgb="FF000000"/>
      <name val="Meiryo"/>
      <family val="2"/>
      <charset val="128"/>
    </font>
  </fonts>
  <fills count="6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theme="9"/>
        <bgColor theme="9"/>
      </patternFill>
    </fill>
    <fill>
      <patternFill patternType="solid">
        <fgColor rgb="FFC5E0B3"/>
        <bgColor rgb="FFC5E0B3"/>
      </patternFill>
    </fill>
    <fill>
      <patternFill patternType="solid">
        <fgColor rgb="FFF2F2F2"/>
        <bgColor rgb="FFF2F2F2"/>
      </patternFill>
    </fill>
  </fills>
  <borders count="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19">
    <xf numFmtId="0" fontId="0" fillId="0" borderId="0" xfId="0" applyFont="1" applyAlignment="1"/>
    <xf numFmtId="0" fontId="1" fillId="2" borderId="1" xfId="0" applyFont="1" applyFill="1" applyBorder="1" applyAlignment="1">
      <alignment vertical="center"/>
    </xf>
    <xf numFmtId="0" fontId="2" fillId="0" borderId="1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4" fillId="3" borderId="1" xfId="0" applyFont="1" applyFill="1" applyBorder="1" applyAlignment="1">
      <alignment vertical="center"/>
    </xf>
    <xf numFmtId="0" fontId="4" fillId="4" borderId="1" xfId="0" applyFont="1" applyFill="1" applyBorder="1" applyAlignment="1">
      <alignment vertical="center"/>
    </xf>
    <xf numFmtId="0" fontId="4" fillId="5" borderId="1" xfId="0" applyFont="1" applyFill="1" applyBorder="1" applyAlignment="1">
      <alignment vertical="center"/>
    </xf>
    <xf numFmtId="0" fontId="4" fillId="5" borderId="1" xfId="0" applyFont="1" applyFill="1" applyBorder="1" applyAlignment="1">
      <alignment vertical="center" wrapText="1"/>
    </xf>
    <xf numFmtId="0" fontId="1" fillId="2" borderId="2" xfId="0" applyFont="1" applyFill="1" applyBorder="1" applyAlignment="1">
      <alignment vertical="center"/>
    </xf>
    <xf numFmtId="0" fontId="4" fillId="0" borderId="1" xfId="0" applyFont="1" applyBorder="1" applyAlignment="1">
      <alignment vertical="center"/>
    </xf>
    <xf numFmtId="0" fontId="4" fillId="2" borderId="2" xfId="0" applyFont="1" applyFill="1" applyBorder="1" applyAlignment="1">
      <alignment vertical="center"/>
    </xf>
    <xf numFmtId="0" fontId="6" fillId="0" borderId="0" xfId="0" applyFont="1" applyAlignment="1"/>
    <xf numFmtId="20" fontId="4" fillId="5" borderId="1" xfId="0" applyNumberFormat="1" applyFont="1" applyFill="1" applyBorder="1" applyAlignment="1">
      <alignment vertical="center" wrapText="1"/>
    </xf>
    <xf numFmtId="0" fontId="2" fillId="0" borderId="2" xfId="0" applyFont="1" applyBorder="1" applyAlignment="1">
      <alignment vertical="center"/>
    </xf>
    <xf numFmtId="0" fontId="4" fillId="0" borderId="1" xfId="0" applyFont="1" applyBorder="1" applyAlignment="1">
      <alignment vertical="center" wrapText="1"/>
    </xf>
    <xf numFmtId="0" fontId="9" fillId="5" borderId="1" xfId="0" applyFont="1" applyFill="1" applyBorder="1" applyAlignment="1">
      <alignment vertical="center"/>
    </xf>
    <xf numFmtId="0" fontId="9" fillId="5" borderId="3" xfId="0" applyFont="1" applyFill="1" applyBorder="1" applyAlignment="1">
      <alignment vertical="center" wrapText="1"/>
    </xf>
    <xf numFmtId="0" fontId="9" fillId="5" borderId="3" xfId="0" applyFont="1" applyFill="1" applyBorder="1" applyAlignme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customschemas.google.com/relationships/workbookmetadata" Target="metadata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355600</xdr:colOff>
          <xdr:row>1</xdr:row>
          <xdr:rowOff>419100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355600</xdr:colOff>
          <xdr:row>1</xdr:row>
          <xdr:rowOff>419100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355600</xdr:colOff>
          <xdr:row>1</xdr:row>
          <xdr:rowOff>419100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3</xdr:col>
          <xdr:colOff>0</xdr:colOff>
          <xdr:row>1</xdr:row>
          <xdr:rowOff>419100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355600</xdr:colOff>
          <xdr:row>1</xdr:row>
          <xdr:rowOff>419100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355600</xdr:colOff>
          <xdr:row>1</xdr:row>
          <xdr:rowOff>419100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5</xdr:col>
          <xdr:colOff>355600</xdr:colOff>
          <xdr:row>1</xdr:row>
          <xdr:rowOff>419100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355600</xdr:colOff>
          <xdr:row>1</xdr:row>
          <xdr:rowOff>419100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355600</xdr:colOff>
          <xdr:row>1</xdr:row>
          <xdr:rowOff>419100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8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355600</xdr:colOff>
          <xdr:row>1</xdr:row>
          <xdr:rowOff>419100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9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355600</xdr:colOff>
          <xdr:row>1</xdr:row>
          <xdr:rowOff>419100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A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355600</xdr:colOff>
          <xdr:row>1</xdr:row>
          <xdr:rowOff>419100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B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355600</xdr:colOff>
          <xdr:row>1</xdr:row>
          <xdr:rowOff>419100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84E907C2-DD65-5341-8FC9-E6935B087F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000"/>
  <sheetViews>
    <sheetView topLeftCell="A3" workbookViewId="0">
      <selection activeCell="G14" sqref="G14"/>
    </sheetView>
  </sheetViews>
  <sheetFormatPr baseColWidth="10" defaultColWidth="12.6640625" defaultRowHeight="15" customHeight="1"/>
  <cols>
    <col min="1" max="1" width="7.6640625" customWidth="1"/>
    <col min="2" max="2" width="17" customWidth="1"/>
    <col min="3" max="38" width="12.6640625" customWidth="1"/>
  </cols>
  <sheetData>
    <row r="1" spans="1:38" ht="12" customHeight="1"/>
    <row r="2" spans="1:38" ht="40.5" customHeight="1">
      <c r="A2" s="1" t="s">
        <v>0</v>
      </c>
      <c r="B2" s="2" t="s">
        <v>1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/>
      <c r="J4" s="5"/>
      <c r="K4" s="5"/>
      <c r="L4" s="5"/>
      <c r="M4" s="5" t="s">
        <v>11</v>
      </c>
      <c r="N4" s="5"/>
      <c r="O4" s="5"/>
      <c r="P4" s="5"/>
      <c r="Q4" s="5"/>
      <c r="R4" s="5" t="s">
        <v>12</v>
      </c>
      <c r="S4" s="5"/>
      <c r="T4" s="5"/>
      <c r="U4" s="5"/>
      <c r="V4" s="5"/>
      <c r="W4" s="5"/>
      <c r="X4" s="5" t="s">
        <v>13</v>
      </c>
      <c r="Y4" s="5"/>
      <c r="Z4" s="5" t="s">
        <v>14</v>
      </c>
      <c r="AA4" s="5"/>
      <c r="AB4" s="5" t="s">
        <v>15</v>
      </c>
      <c r="AC4" s="5" t="s">
        <v>16</v>
      </c>
      <c r="AD4" s="5" t="s">
        <v>17</v>
      </c>
      <c r="AE4" s="5" t="s">
        <v>18</v>
      </c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 t="s">
        <v>20</v>
      </c>
      <c r="I5" s="5" t="s">
        <v>21</v>
      </c>
      <c r="J5" s="5" t="s">
        <v>22</v>
      </c>
      <c r="K5" s="5" t="s">
        <v>23</v>
      </c>
      <c r="L5" s="5" t="s">
        <v>24</v>
      </c>
      <c r="M5" s="5" t="s">
        <v>20</v>
      </c>
      <c r="N5" s="5" t="s">
        <v>21</v>
      </c>
      <c r="O5" s="5" t="s">
        <v>22</v>
      </c>
      <c r="P5" s="5" t="s">
        <v>23</v>
      </c>
      <c r="Q5" s="5" t="s">
        <v>24</v>
      </c>
      <c r="R5" s="5">
        <v>1</v>
      </c>
      <c r="S5" s="5"/>
      <c r="T5" s="5">
        <v>2</v>
      </c>
      <c r="U5" s="5"/>
      <c r="V5" s="5">
        <v>3</v>
      </c>
      <c r="W5" s="5"/>
      <c r="X5" s="5"/>
      <c r="Y5" s="5"/>
      <c r="Z5" s="5"/>
      <c r="AA5" s="5"/>
      <c r="AB5" s="5"/>
      <c r="AC5" s="5"/>
      <c r="AD5" s="5"/>
      <c r="AE5" s="5">
        <v>1</v>
      </c>
      <c r="AF5" s="5"/>
      <c r="AG5" s="5"/>
      <c r="AH5" s="5"/>
      <c r="AI5" s="5">
        <v>2</v>
      </c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 t="s">
        <v>26</v>
      </c>
      <c r="S6" s="5" t="s">
        <v>27</v>
      </c>
      <c r="T6" s="5" t="s">
        <v>26</v>
      </c>
      <c r="U6" s="5" t="s">
        <v>27</v>
      </c>
      <c r="V6" s="5" t="s">
        <v>26</v>
      </c>
      <c r="W6" s="5" t="s">
        <v>27</v>
      </c>
      <c r="X6" s="5"/>
      <c r="Y6" s="5"/>
      <c r="Z6" s="5"/>
      <c r="AA6" s="5"/>
      <c r="AB6" s="5"/>
      <c r="AC6" s="5"/>
      <c r="AD6" s="5"/>
      <c r="AE6" s="5" t="s">
        <v>28</v>
      </c>
      <c r="AF6" s="5" t="s">
        <v>29</v>
      </c>
      <c r="AG6" s="5" t="s">
        <v>30</v>
      </c>
      <c r="AH6" s="5" t="s">
        <v>31</v>
      </c>
      <c r="AI6" s="5" t="s">
        <v>28</v>
      </c>
      <c r="AJ6" s="5" t="s">
        <v>29</v>
      </c>
      <c r="AK6" s="5" t="s">
        <v>30</v>
      </c>
      <c r="AL6" s="5" t="s">
        <v>31</v>
      </c>
    </row>
    <row r="7" spans="1:38" ht="18.75" customHeight="1">
      <c r="A7" s="1" t="s">
        <v>32</v>
      </c>
      <c r="B7" s="6" t="s">
        <v>33</v>
      </c>
      <c r="C7" s="6" t="s">
        <v>33</v>
      </c>
      <c r="D7" s="6" t="s">
        <v>33</v>
      </c>
      <c r="E7" s="6" t="s">
        <v>34</v>
      </c>
      <c r="F7" s="6" t="s">
        <v>34</v>
      </c>
      <c r="G7" s="6" t="s">
        <v>33</v>
      </c>
      <c r="H7" s="6" t="s">
        <v>33</v>
      </c>
      <c r="I7" s="6" t="s">
        <v>33</v>
      </c>
      <c r="J7" s="6" t="s">
        <v>33</v>
      </c>
      <c r="K7" s="6" t="s">
        <v>33</v>
      </c>
      <c r="L7" s="6" t="s">
        <v>33</v>
      </c>
      <c r="M7" s="6" t="s">
        <v>35</v>
      </c>
      <c r="N7" s="6" t="s">
        <v>35</v>
      </c>
      <c r="O7" s="6" t="s">
        <v>35</v>
      </c>
      <c r="P7" s="6" t="s">
        <v>35</v>
      </c>
      <c r="Q7" s="6" t="s">
        <v>35</v>
      </c>
      <c r="R7" s="6" t="s">
        <v>33</v>
      </c>
      <c r="S7" s="6" t="s">
        <v>33</v>
      </c>
      <c r="T7" s="6" t="s">
        <v>33</v>
      </c>
      <c r="U7" s="6" t="s">
        <v>33</v>
      </c>
      <c r="V7" s="6" t="s">
        <v>33</v>
      </c>
      <c r="W7" s="6" t="s">
        <v>33</v>
      </c>
      <c r="X7" s="6" t="s">
        <v>33</v>
      </c>
      <c r="Y7" s="6" t="s">
        <v>33</v>
      </c>
      <c r="Z7" s="6" t="s">
        <v>33</v>
      </c>
      <c r="AA7" s="6" t="s">
        <v>33</v>
      </c>
      <c r="AB7" s="6" t="s">
        <v>36</v>
      </c>
      <c r="AC7" s="6" t="s">
        <v>33</v>
      </c>
      <c r="AD7" s="6" t="s">
        <v>33</v>
      </c>
      <c r="AE7" s="6" t="s">
        <v>33</v>
      </c>
      <c r="AF7" s="6" t="s">
        <v>33</v>
      </c>
      <c r="AG7" s="6" t="s">
        <v>33</v>
      </c>
      <c r="AH7" s="6" t="s">
        <v>33</v>
      </c>
      <c r="AI7" s="6" t="s">
        <v>33</v>
      </c>
      <c r="AJ7" s="6" t="s">
        <v>33</v>
      </c>
      <c r="AK7" s="6" t="s">
        <v>33</v>
      </c>
      <c r="AL7" s="6" t="s">
        <v>33</v>
      </c>
    </row>
    <row r="8" spans="1:38" ht="76.5" customHeight="1">
      <c r="A8" s="1" t="s">
        <v>37</v>
      </c>
      <c r="B8" s="7" t="s">
        <v>38</v>
      </c>
      <c r="C8" s="7" t="s">
        <v>39</v>
      </c>
      <c r="D8" s="7" t="s">
        <v>40</v>
      </c>
      <c r="E8" s="7" t="s">
        <v>41</v>
      </c>
      <c r="F8" s="7" t="s">
        <v>37</v>
      </c>
      <c r="G8" s="7" t="s">
        <v>42</v>
      </c>
      <c r="H8" s="8" t="s">
        <v>43</v>
      </c>
      <c r="I8" s="8" t="s">
        <v>44</v>
      </c>
      <c r="J8" s="8" t="s">
        <v>45</v>
      </c>
      <c r="K8" s="8" t="s">
        <v>46</v>
      </c>
      <c r="L8" s="8" t="s">
        <v>47</v>
      </c>
      <c r="M8" s="7" t="s">
        <v>48</v>
      </c>
      <c r="N8" s="7" t="s">
        <v>49</v>
      </c>
      <c r="O8" s="7" t="s">
        <v>50</v>
      </c>
      <c r="P8" s="7" t="s">
        <v>51</v>
      </c>
      <c r="Q8" s="7" t="s">
        <v>52</v>
      </c>
      <c r="R8" s="7" t="s">
        <v>53</v>
      </c>
      <c r="S8" s="7" t="s">
        <v>54</v>
      </c>
      <c r="T8" s="7" t="s">
        <v>53</v>
      </c>
      <c r="U8" s="7" t="s">
        <v>54</v>
      </c>
      <c r="V8" s="7" t="s">
        <v>53</v>
      </c>
      <c r="W8" s="7" t="s">
        <v>54</v>
      </c>
      <c r="X8" s="7" t="s">
        <v>55</v>
      </c>
      <c r="Y8" s="7"/>
      <c r="Z8" s="7" t="s">
        <v>56</v>
      </c>
      <c r="AA8" s="7"/>
      <c r="AB8" s="8" t="s">
        <v>57</v>
      </c>
      <c r="AC8" s="8" t="s">
        <v>58</v>
      </c>
      <c r="AD8" s="7" t="s">
        <v>59</v>
      </c>
      <c r="AE8" s="7" t="s">
        <v>60</v>
      </c>
      <c r="AF8" s="7" t="s">
        <v>61</v>
      </c>
      <c r="AG8" s="7" t="s">
        <v>62</v>
      </c>
      <c r="AH8" s="7" t="s">
        <v>63</v>
      </c>
      <c r="AI8" s="7" t="s">
        <v>60</v>
      </c>
      <c r="AJ8" s="7" t="s">
        <v>61</v>
      </c>
      <c r="AK8" s="7" t="s">
        <v>62</v>
      </c>
      <c r="AL8" s="7" t="s">
        <v>63</v>
      </c>
    </row>
    <row r="9" spans="1:38" ht="132" customHeight="1">
      <c r="A9" s="1" t="s">
        <v>64</v>
      </c>
      <c r="B9" s="7" t="s">
        <v>65</v>
      </c>
      <c r="C9" s="8" t="s">
        <v>66</v>
      </c>
      <c r="D9" s="8" t="s">
        <v>269</v>
      </c>
      <c r="E9" s="8"/>
      <c r="F9" s="8"/>
      <c r="G9" s="8"/>
      <c r="H9" s="8"/>
      <c r="I9" s="7"/>
      <c r="J9" s="7" t="s">
        <v>67</v>
      </c>
      <c r="K9" s="7" t="s">
        <v>67</v>
      </c>
      <c r="L9" s="7"/>
      <c r="M9" s="8"/>
      <c r="N9" s="7"/>
      <c r="O9" s="7" t="s">
        <v>67</v>
      </c>
      <c r="P9" s="7" t="s">
        <v>67</v>
      </c>
      <c r="Q9" s="7"/>
      <c r="R9" s="8"/>
      <c r="S9" s="8"/>
      <c r="T9" s="8"/>
      <c r="U9" s="8"/>
      <c r="V9" s="8"/>
      <c r="W9" s="8"/>
      <c r="X9" s="8" t="s">
        <v>68</v>
      </c>
      <c r="Y9" s="8"/>
      <c r="Z9" s="7"/>
      <c r="AA9" s="7"/>
      <c r="AB9" s="8"/>
      <c r="AC9" s="8"/>
      <c r="AD9" s="8"/>
      <c r="AE9" s="8"/>
      <c r="AF9" s="8" t="s">
        <v>268</v>
      </c>
      <c r="AG9" s="8"/>
      <c r="AH9" s="8"/>
      <c r="AI9" s="8"/>
      <c r="AJ9" s="8" t="s">
        <v>69</v>
      </c>
      <c r="AK9" s="8"/>
      <c r="AL9" s="8"/>
    </row>
    <row r="10" spans="1:38" ht="18.75" customHeight="1">
      <c r="A10" s="9" t="s">
        <v>70</v>
      </c>
      <c r="B10" s="10">
        <v>100001</v>
      </c>
      <c r="C10" s="10">
        <v>1</v>
      </c>
      <c r="D10" s="10">
        <v>1</v>
      </c>
      <c r="E10" s="10" t="s">
        <v>71</v>
      </c>
      <c r="F10" s="10" t="s">
        <v>72</v>
      </c>
      <c r="G10" s="10">
        <v>1</v>
      </c>
      <c r="H10" s="10">
        <v>273</v>
      </c>
      <c r="I10" s="10">
        <v>306</v>
      </c>
      <c r="J10" s="10"/>
      <c r="K10" s="10"/>
      <c r="L10" s="10">
        <v>241</v>
      </c>
      <c r="M10" s="10">
        <v>0.09</v>
      </c>
      <c r="N10" s="10">
        <v>9.1200000000000003E-2</v>
      </c>
      <c r="O10" s="10"/>
      <c r="P10" s="10"/>
      <c r="Q10" s="10">
        <v>8.8800000000000004E-2</v>
      </c>
      <c r="R10" s="10"/>
      <c r="S10" s="10"/>
      <c r="T10" s="10"/>
      <c r="U10" s="10"/>
      <c r="V10" s="10"/>
      <c r="W10" s="10"/>
      <c r="X10" s="10">
        <v>1001</v>
      </c>
      <c r="Y10" s="10"/>
      <c r="Z10" s="10"/>
      <c r="AA10" s="10"/>
      <c r="AB10" s="10" t="b">
        <v>0</v>
      </c>
      <c r="AC10" s="10"/>
      <c r="AD10" s="10">
        <v>1</v>
      </c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100002</v>
      </c>
      <c r="C11" s="10">
        <v>1</v>
      </c>
      <c r="D11" s="10">
        <v>2</v>
      </c>
      <c r="E11" s="10" t="s">
        <v>73</v>
      </c>
      <c r="F11" s="10" t="s">
        <v>74</v>
      </c>
      <c r="G11" s="10">
        <v>1</v>
      </c>
      <c r="H11" s="10">
        <v>311</v>
      </c>
      <c r="I11" s="10">
        <v>270</v>
      </c>
      <c r="J11" s="10"/>
      <c r="K11" s="10"/>
      <c r="L11" s="10">
        <v>230</v>
      </c>
      <c r="M11" s="10">
        <v>9.1499999999999998E-2</v>
      </c>
      <c r="N11" s="10">
        <v>0.09</v>
      </c>
      <c r="O11" s="10"/>
      <c r="P11" s="10"/>
      <c r="Q11" s="10">
        <v>8.8499999999999995E-2</v>
      </c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 t="b">
        <v>0</v>
      </c>
      <c r="AC11" s="10"/>
      <c r="AD11" s="10">
        <v>2</v>
      </c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100003</v>
      </c>
      <c r="C12" s="10">
        <v>1</v>
      </c>
      <c r="D12" s="10">
        <v>4</v>
      </c>
      <c r="E12" s="10" t="s">
        <v>75</v>
      </c>
      <c r="F12" s="10" t="s">
        <v>76</v>
      </c>
      <c r="G12" s="10">
        <v>1</v>
      </c>
      <c r="H12" s="10">
        <v>257</v>
      </c>
      <c r="I12" s="10">
        <v>240</v>
      </c>
      <c r="J12" s="10"/>
      <c r="K12" s="10"/>
      <c r="L12" s="10">
        <v>313</v>
      </c>
      <c r="M12" s="10">
        <v>8.9499999999999996E-2</v>
      </c>
      <c r="N12" s="10">
        <v>8.8900000000000007E-2</v>
      </c>
      <c r="O12" s="10"/>
      <c r="P12" s="10"/>
      <c r="Q12" s="10">
        <v>9.1600000000000001E-2</v>
      </c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 t="b">
        <v>0</v>
      </c>
      <c r="AC12" s="10"/>
      <c r="AD12" s="10">
        <v>4</v>
      </c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100004</v>
      </c>
      <c r="C13" s="10">
        <v>1</v>
      </c>
      <c r="D13" s="10">
        <v>3</v>
      </c>
      <c r="E13" s="10" t="s">
        <v>77</v>
      </c>
      <c r="F13" s="10" t="s">
        <v>78</v>
      </c>
      <c r="G13" s="10">
        <v>1</v>
      </c>
      <c r="H13" s="10">
        <v>255</v>
      </c>
      <c r="I13" s="10">
        <v>330</v>
      </c>
      <c r="J13" s="10"/>
      <c r="K13" s="10"/>
      <c r="L13" s="10">
        <v>255</v>
      </c>
      <c r="M13" s="10">
        <v>8.9099999999999999E-2</v>
      </c>
      <c r="N13" s="10">
        <v>9.1799999999999993E-2</v>
      </c>
      <c r="O13" s="10"/>
      <c r="P13" s="10"/>
      <c r="Q13" s="10">
        <v>8.9099999999999999E-2</v>
      </c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 t="b">
        <v>0</v>
      </c>
      <c r="AC13" s="10"/>
      <c r="AD13" s="10">
        <v>3</v>
      </c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>
        <v>100005</v>
      </c>
      <c r="C14" s="10">
        <v>1</v>
      </c>
      <c r="D14" s="10">
        <v>4</v>
      </c>
      <c r="E14" s="10" t="s">
        <v>79</v>
      </c>
      <c r="F14" s="10" t="s">
        <v>80</v>
      </c>
      <c r="G14" s="10">
        <v>1</v>
      </c>
      <c r="H14" s="10">
        <v>246</v>
      </c>
      <c r="I14" s="10">
        <v>258</v>
      </c>
      <c r="J14" s="10"/>
      <c r="K14" s="10"/>
      <c r="L14" s="10">
        <v>336</v>
      </c>
      <c r="M14" s="10">
        <v>8.8800000000000004E-2</v>
      </c>
      <c r="N14" s="10">
        <v>8.9200000000000002E-2</v>
      </c>
      <c r="O14" s="10"/>
      <c r="P14" s="10"/>
      <c r="Q14" s="10">
        <v>9.1999999999999998E-2</v>
      </c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 t="b">
        <v>0</v>
      </c>
      <c r="AC14" s="10"/>
      <c r="AD14" s="10">
        <v>4</v>
      </c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100006</v>
      </c>
      <c r="C15" s="10">
        <v>1</v>
      </c>
      <c r="D15" s="10">
        <v>1</v>
      </c>
      <c r="E15" s="10" t="s">
        <v>81</v>
      </c>
      <c r="F15" s="10" t="s">
        <v>82</v>
      </c>
      <c r="G15" s="10">
        <v>1</v>
      </c>
      <c r="H15" s="10">
        <v>314</v>
      </c>
      <c r="I15" s="10">
        <v>232</v>
      </c>
      <c r="J15" s="10"/>
      <c r="K15" s="10"/>
      <c r="L15" s="10">
        <v>294</v>
      </c>
      <c r="M15" s="10">
        <v>9.1200000000000003E-2</v>
      </c>
      <c r="N15" s="10">
        <v>8.8300000000000003E-2</v>
      </c>
      <c r="O15" s="10"/>
      <c r="P15" s="10"/>
      <c r="Q15" s="10">
        <v>9.0499999999999997E-2</v>
      </c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 t="b">
        <v>0</v>
      </c>
      <c r="AC15" s="10"/>
      <c r="AD15" s="10">
        <v>1</v>
      </c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>
        <v>100007</v>
      </c>
      <c r="C16" s="10">
        <v>1</v>
      </c>
      <c r="D16" s="10">
        <v>3</v>
      </c>
      <c r="E16" s="10" t="s">
        <v>83</v>
      </c>
      <c r="F16" s="10" t="s">
        <v>84</v>
      </c>
      <c r="G16" s="10">
        <v>1</v>
      </c>
      <c r="H16" s="10">
        <v>289</v>
      </c>
      <c r="I16" s="10">
        <v>244</v>
      </c>
      <c r="J16" s="10"/>
      <c r="K16" s="10"/>
      <c r="L16" s="10">
        <v>317</v>
      </c>
      <c r="M16" s="10">
        <v>9.0200000000000002E-2</v>
      </c>
      <c r="N16" s="10">
        <v>8.8599999999999998E-2</v>
      </c>
      <c r="O16" s="10"/>
      <c r="P16" s="10"/>
      <c r="Q16" s="10">
        <v>9.1200000000000003E-2</v>
      </c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 t="b">
        <v>0</v>
      </c>
      <c r="AC16" s="10"/>
      <c r="AD16" s="10">
        <v>3</v>
      </c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100008</v>
      </c>
      <c r="C17" s="10">
        <v>1</v>
      </c>
      <c r="D17" s="10">
        <v>2</v>
      </c>
      <c r="E17" s="10" t="s">
        <v>85</v>
      </c>
      <c r="F17" s="10" t="s">
        <v>86</v>
      </c>
      <c r="G17" s="10">
        <v>1</v>
      </c>
      <c r="H17" s="10">
        <v>247</v>
      </c>
      <c r="I17" s="10">
        <v>363</v>
      </c>
      <c r="J17" s="10"/>
      <c r="K17" s="10"/>
      <c r="L17" s="10">
        <v>261</v>
      </c>
      <c r="M17" s="10">
        <v>8.8499999999999995E-2</v>
      </c>
      <c r="N17" s="10">
        <v>9.2499999999999999E-2</v>
      </c>
      <c r="O17" s="10"/>
      <c r="P17" s="10"/>
      <c r="Q17" s="10">
        <v>8.8999999999999996E-2</v>
      </c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 t="b">
        <v>0</v>
      </c>
      <c r="AC17" s="10"/>
      <c r="AD17" s="10">
        <v>2</v>
      </c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>
        <v>100009</v>
      </c>
      <c r="C18" s="10">
        <v>1</v>
      </c>
      <c r="D18" s="10">
        <v>1</v>
      </c>
      <c r="E18" s="10" t="s">
        <v>87</v>
      </c>
      <c r="F18" s="10" t="s">
        <v>88</v>
      </c>
      <c r="G18" s="10">
        <v>1</v>
      </c>
      <c r="H18" s="10">
        <v>357</v>
      </c>
      <c r="I18" s="10">
        <v>283</v>
      </c>
      <c r="J18" s="10"/>
      <c r="K18" s="10"/>
      <c r="L18" s="10">
        <v>210</v>
      </c>
      <c r="M18" s="10">
        <v>9.2600000000000002E-2</v>
      </c>
      <c r="N18" s="10">
        <v>0.09</v>
      </c>
      <c r="O18" s="10"/>
      <c r="P18" s="10"/>
      <c r="Q18" s="10">
        <v>8.7400000000000005E-2</v>
      </c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 t="b">
        <v>0</v>
      </c>
      <c r="AC18" s="10"/>
      <c r="AD18" s="10">
        <v>1</v>
      </c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200001</v>
      </c>
      <c r="C19" s="10">
        <v>1</v>
      </c>
      <c r="D19" s="10">
        <v>4</v>
      </c>
      <c r="E19" s="10" t="s">
        <v>89</v>
      </c>
      <c r="F19" s="10" t="s">
        <v>90</v>
      </c>
      <c r="G19" s="10">
        <v>1</v>
      </c>
      <c r="H19" s="10">
        <v>254</v>
      </c>
      <c r="I19" s="10">
        <v>316</v>
      </c>
      <c r="J19" s="10"/>
      <c r="K19" s="10"/>
      <c r="L19" s="10">
        <v>240</v>
      </c>
      <c r="M19" s="10">
        <v>8.9400000000000007E-2</v>
      </c>
      <c r="N19" s="10">
        <v>9.1700000000000004E-2</v>
      </c>
      <c r="O19" s="10"/>
      <c r="P19" s="10"/>
      <c r="Q19" s="10">
        <v>8.8900000000000007E-2</v>
      </c>
      <c r="R19" s="10"/>
      <c r="S19" s="10"/>
      <c r="T19" s="10"/>
      <c r="U19" s="10"/>
      <c r="V19" s="10"/>
      <c r="W19" s="10"/>
      <c r="X19" s="10">
        <v>2001</v>
      </c>
      <c r="Y19" s="10">
        <v>2002</v>
      </c>
      <c r="Z19" s="10"/>
      <c r="AA19" s="10"/>
      <c r="AB19" s="10" t="b">
        <v>0</v>
      </c>
      <c r="AC19" s="10"/>
      <c r="AD19" s="10">
        <v>4</v>
      </c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>
        <v>200002</v>
      </c>
      <c r="C20" s="10">
        <v>1</v>
      </c>
      <c r="D20" s="10">
        <v>3</v>
      </c>
      <c r="E20" s="10" t="s">
        <v>91</v>
      </c>
      <c r="F20" s="10" t="s">
        <v>92</v>
      </c>
      <c r="G20" s="10">
        <v>1</v>
      </c>
      <c r="H20" s="10">
        <v>322</v>
      </c>
      <c r="I20" s="10">
        <v>241</v>
      </c>
      <c r="J20" s="10"/>
      <c r="K20" s="10"/>
      <c r="L20" s="10">
        <v>277</v>
      </c>
      <c r="M20" s="10">
        <v>9.1499999999999998E-2</v>
      </c>
      <c r="N20" s="10">
        <v>8.8599999999999998E-2</v>
      </c>
      <c r="O20" s="10"/>
      <c r="P20" s="10"/>
      <c r="Q20" s="10">
        <v>8.9900000000000008E-2</v>
      </c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 t="b">
        <v>0</v>
      </c>
      <c r="AC20" s="10"/>
      <c r="AD20" s="10">
        <v>3</v>
      </c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200003</v>
      </c>
      <c r="C21" s="10">
        <v>1</v>
      </c>
      <c r="D21" s="10">
        <v>2</v>
      </c>
      <c r="E21" s="10" t="s">
        <v>93</v>
      </c>
      <c r="F21" s="10" t="s">
        <v>94</v>
      </c>
      <c r="G21" s="10">
        <v>1</v>
      </c>
      <c r="H21" s="10">
        <v>290</v>
      </c>
      <c r="I21" s="10">
        <v>238</v>
      </c>
      <c r="J21" s="10"/>
      <c r="K21" s="10"/>
      <c r="L21" s="10">
        <v>352</v>
      </c>
      <c r="M21" s="10">
        <v>8.9900000000000008E-2</v>
      </c>
      <c r="N21" s="10">
        <v>8.8099999999999998E-2</v>
      </c>
      <c r="O21" s="10"/>
      <c r="P21" s="10"/>
      <c r="Q21" s="10">
        <v>9.1999999999999998E-2</v>
      </c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 t="b">
        <v>0</v>
      </c>
      <c r="AC21" s="10"/>
      <c r="AD21" s="10">
        <v>2</v>
      </c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>
        <v>200004</v>
      </c>
      <c r="C22" s="10">
        <v>1</v>
      </c>
      <c r="D22" s="10">
        <v>1</v>
      </c>
      <c r="E22" s="10" t="s">
        <v>95</v>
      </c>
      <c r="F22" s="10" t="s">
        <v>96</v>
      </c>
      <c r="G22" s="10">
        <v>1</v>
      </c>
      <c r="H22" s="10">
        <v>249</v>
      </c>
      <c r="I22" s="10">
        <v>317</v>
      </c>
      <c r="J22" s="10"/>
      <c r="K22" s="10"/>
      <c r="L22" s="10">
        <v>283</v>
      </c>
      <c r="M22" s="10">
        <v>8.8800000000000004E-2</v>
      </c>
      <c r="N22" s="10">
        <v>9.1200000000000003E-2</v>
      </c>
      <c r="O22" s="10"/>
      <c r="P22" s="10"/>
      <c r="Q22" s="10">
        <v>0.09</v>
      </c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 t="b">
        <v>0</v>
      </c>
      <c r="AC22" s="10"/>
      <c r="AD22" s="10">
        <v>1</v>
      </c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200005</v>
      </c>
      <c r="C23" s="10">
        <v>1</v>
      </c>
      <c r="D23" s="10">
        <v>4</v>
      </c>
      <c r="E23" s="10" t="s">
        <v>97</v>
      </c>
      <c r="F23" s="10" t="s">
        <v>98</v>
      </c>
      <c r="G23" s="10">
        <v>1</v>
      </c>
      <c r="H23" s="10">
        <v>302</v>
      </c>
      <c r="I23" s="10">
        <v>258</v>
      </c>
      <c r="J23" s="10"/>
      <c r="K23" s="10"/>
      <c r="L23" s="10">
        <v>280</v>
      </c>
      <c r="M23" s="10">
        <v>9.0800000000000006E-2</v>
      </c>
      <c r="N23" s="10">
        <v>8.9200000000000002E-2</v>
      </c>
      <c r="O23" s="10"/>
      <c r="P23" s="10"/>
      <c r="Q23" s="10">
        <v>0.09</v>
      </c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 t="b">
        <v>0</v>
      </c>
      <c r="AC23" s="10"/>
      <c r="AD23" s="10">
        <v>4</v>
      </c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>
        <v>200006</v>
      </c>
      <c r="C24" s="10">
        <v>1</v>
      </c>
      <c r="D24" s="10">
        <v>2</v>
      </c>
      <c r="E24" s="10" t="s">
        <v>99</v>
      </c>
      <c r="F24" s="10" t="s">
        <v>100</v>
      </c>
      <c r="G24" s="10">
        <v>1</v>
      </c>
      <c r="H24" s="10">
        <v>290</v>
      </c>
      <c r="I24" s="10">
        <v>258</v>
      </c>
      <c r="J24" s="10"/>
      <c r="K24" s="10"/>
      <c r="L24" s="10">
        <v>322</v>
      </c>
      <c r="M24" s="10">
        <v>0.09</v>
      </c>
      <c r="N24" s="10">
        <v>8.8900000000000007E-2</v>
      </c>
      <c r="O24" s="10"/>
      <c r="P24" s="10"/>
      <c r="Q24" s="10">
        <v>9.11E-2</v>
      </c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 t="b">
        <v>0</v>
      </c>
      <c r="AC24" s="10"/>
      <c r="AD24" s="10">
        <v>2</v>
      </c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300002</v>
      </c>
      <c r="C25" s="10">
        <v>2</v>
      </c>
      <c r="D25" s="10">
        <v>4</v>
      </c>
      <c r="E25" s="10" t="s">
        <v>101</v>
      </c>
      <c r="F25" s="10" t="s">
        <v>102</v>
      </c>
      <c r="G25" s="10">
        <v>3</v>
      </c>
      <c r="H25" s="10">
        <v>447</v>
      </c>
      <c r="I25" s="10">
        <v>323</v>
      </c>
      <c r="J25" s="10"/>
      <c r="K25" s="10"/>
      <c r="L25" s="10">
        <v>330</v>
      </c>
      <c r="M25" s="10">
        <v>9.2200000000000004E-2</v>
      </c>
      <c r="N25" s="10">
        <v>8.8800000000000004E-2</v>
      </c>
      <c r="O25" s="10"/>
      <c r="P25" s="10"/>
      <c r="Q25" s="10">
        <v>8.8999999999999996E-2</v>
      </c>
      <c r="R25" s="10">
        <v>30000201</v>
      </c>
      <c r="S25" s="10">
        <v>3</v>
      </c>
      <c r="T25" s="10"/>
      <c r="U25" s="10"/>
      <c r="V25" s="10"/>
      <c r="W25" s="10"/>
      <c r="X25" s="10"/>
      <c r="Y25" s="10"/>
      <c r="Z25" s="10"/>
      <c r="AA25" s="10"/>
      <c r="AB25" s="10" t="b">
        <v>1</v>
      </c>
      <c r="AC25" s="10"/>
      <c r="AD25" s="10">
        <v>12</v>
      </c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>
        <v>300003</v>
      </c>
      <c r="C26" s="10">
        <v>2</v>
      </c>
      <c r="D26" s="10">
        <v>3</v>
      </c>
      <c r="E26" s="10" t="s">
        <v>103</v>
      </c>
      <c r="F26" s="10"/>
      <c r="G26" s="10">
        <v>2</v>
      </c>
      <c r="H26" s="10">
        <v>278</v>
      </c>
      <c r="I26" s="10">
        <v>278</v>
      </c>
      <c r="J26" s="10"/>
      <c r="K26" s="10"/>
      <c r="L26" s="10">
        <v>425</v>
      </c>
      <c r="M26" s="10">
        <v>8.8499999999999995E-2</v>
      </c>
      <c r="N26" s="10">
        <v>8.8499999999999995E-2</v>
      </c>
      <c r="O26" s="10"/>
      <c r="P26" s="10"/>
      <c r="Q26" s="10">
        <v>9.2999999999999999E-2</v>
      </c>
      <c r="R26" s="10">
        <v>30000301</v>
      </c>
      <c r="S26" s="10">
        <v>3</v>
      </c>
      <c r="T26" s="10"/>
      <c r="U26" s="10"/>
      <c r="V26" s="10"/>
      <c r="W26" s="10"/>
      <c r="X26" s="10"/>
      <c r="Y26" s="10"/>
      <c r="Z26" s="10"/>
      <c r="AA26" s="10"/>
      <c r="AB26" s="10" t="b">
        <v>1</v>
      </c>
      <c r="AC26" s="10"/>
      <c r="AD26" s="10">
        <v>7</v>
      </c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300004</v>
      </c>
      <c r="C27" s="10">
        <v>2</v>
      </c>
      <c r="D27" s="10">
        <v>3</v>
      </c>
      <c r="E27" s="10" t="s">
        <v>104</v>
      </c>
      <c r="F27" s="10"/>
      <c r="G27" s="10">
        <v>2</v>
      </c>
      <c r="H27" s="10">
        <v>285</v>
      </c>
      <c r="I27" s="10">
        <v>353</v>
      </c>
      <c r="J27" s="10"/>
      <c r="K27" s="10"/>
      <c r="L27" s="10">
        <v>282</v>
      </c>
      <c r="M27" s="10">
        <v>8.9300000000000004E-2</v>
      </c>
      <c r="N27" s="10">
        <v>9.1499999999999998E-2</v>
      </c>
      <c r="O27" s="10"/>
      <c r="P27" s="10"/>
      <c r="Q27" s="10">
        <v>8.9200000000000002E-2</v>
      </c>
      <c r="R27" s="10">
        <v>30000401</v>
      </c>
      <c r="S27" s="10">
        <v>3</v>
      </c>
      <c r="T27" s="10"/>
      <c r="U27" s="10"/>
      <c r="V27" s="10"/>
      <c r="W27" s="10"/>
      <c r="X27" s="10"/>
      <c r="Y27" s="10"/>
      <c r="Z27" s="10"/>
      <c r="AA27" s="10"/>
      <c r="AB27" s="10" t="b">
        <v>1</v>
      </c>
      <c r="AC27" s="10"/>
      <c r="AD27" s="10">
        <v>7</v>
      </c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>
        <v>300005</v>
      </c>
      <c r="C28" s="10">
        <v>2</v>
      </c>
      <c r="D28" s="10">
        <v>4</v>
      </c>
      <c r="E28" s="10" t="s">
        <v>105</v>
      </c>
      <c r="F28" s="10" t="s">
        <v>102</v>
      </c>
      <c r="G28" s="10">
        <v>3</v>
      </c>
      <c r="H28" s="10">
        <v>319</v>
      </c>
      <c r="I28" s="10">
        <v>458</v>
      </c>
      <c r="J28" s="10"/>
      <c r="K28" s="10"/>
      <c r="L28" s="10">
        <v>323</v>
      </c>
      <c r="M28" s="10">
        <v>8.8700000000000001E-2</v>
      </c>
      <c r="N28" s="10">
        <v>9.2499999999999999E-2</v>
      </c>
      <c r="O28" s="10"/>
      <c r="P28" s="10"/>
      <c r="Q28" s="10">
        <v>8.8800000000000004E-2</v>
      </c>
      <c r="R28" s="10">
        <v>30000501</v>
      </c>
      <c r="S28" s="10">
        <v>3</v>
      </c>
      <c r="T28" s="10"/>
      <c r="U28" s="10"/>
      <c r="V28" s="10"/>
      <c r="W28" s="10"/>
      <c r="X28" s="10"/>
      <c r="Y28" s="10"/>
      <c r="Z28" s="10"/>
      <c r="AA28" s="10"/>
      <c r="AB28" s="10" t="b">
        <v>1</v>
      </c>
      <c r="AC28" s="10"/>
      <c r="AD28" s="10">
        <v>12</v>
      </c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300006</v>
      </c>
      <c r="C29" s="10">
        <v>2</v>
      </c>
      <c r="D29" s="10">
        <v>1</v>
      </c>
      <c r="E29" s="10" t="s">
        <v>106</v>
      </c>
      <c r="F29" s="10"/>
      <c r="G29" s="10">
        <v>2</v>
      </c>
      <c r="H29" s="10">
        <v>339</v>
      </c>
      <c r="I29" s="10">
        <v>317</v>
      </c>
      <c r="J29" s="10"/>
      <c r="K29" s="10"/>
      <c r="L29" s="10">
        <v>304</v>
      </c>
      <c r="M29" s="10">
        <v>9.06E-2</v>
      </c>
      <c r="N29" s="10">
        <v>8.9899999999999994E-2</v>
      </c>
      <c r="O29" s="10"/>
      <c r="P29" s="10"/>
      <c r="Q29" s="10">
        <v>8.9499999999999996E-2</v>
      </c>
      <c r="R29" s="10">
        <v>30000601</v>
      </c>
      <c r="S29" s="10">
        <v>3</v>
      </c>
      <c r="T29" s="10"/>
      <c r="U29" s="10"/>
      <c r="V29" s="10"/>
      <c r="W29" s="10"/>
      <c r="X29" s="10"/>
      <c r="Y29" s="10"/>
      <c r="Z29" s="10"/>
      <c r="AA29" s="10"/>
      <c r="AB29" s="10" t="b">
        <v>1</v>
      </c>
      <c r="AC29" s="10"/>
      <c r="AD29" s="10">
        <v>5</v>
      </c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>
        <v>300007</v>
      </c>
      <c r="C30" s="10">
        <v>2</v>
      </c>
      <c r="D30" s="10">
        <v>4</v>
      </c>
      <c r="E30" s="10" t="s">
        <v>107</v>
      </c>
      <c r="F30" s="10"/>
      <c r="G30" s="10">
        <v>2</v>
      </c>
      <c r="H30" s="10">
        <v>282</v>
      </c>
      <c r="I30" s="10">
        <v>345</v>
      </c>
      <c r="J30" s="10"/>
      <c r="K30" s="10"/>
      <c r="L30" s="10">
        <v>313</v>
      </c>
      <c r="M30" s="10">
        <v>8.8999999999999996E-2</v>
      </c>
      <c r="N30" s="10">
        <v>9.0999999999999998E-2</v>
      </c>
      <c r="O30" s="10"/>
      <c r="P30" s="10"/>
      <c r="Q30" s="10">
        <v>0.09</v>
      </c>
      <c r="R30" s="10">
        <v>30000701</v>
      </c>
      <c r="S30" s="10">
        <v>3</v>
      </c>
      <c r="T30" s="10"/>
      <c r="U30" s="10"/>
      <c r="V30" s="10"/>
      <c r="W30" s="10"/>
      <c r="X30" s="10"/>
      <c r="Y30" s="10"/>
      <c r="Z30" s="10"/>
      <c r="AA30" s="10"/>
      <c r="AB30" s="10" t="b">
        <v>1</v>
      </c>
      <c r="AC30" s="10"/>
      <c r="AD30" s="10">
        <v>8</v>
      </c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300008</v>
      </c>
      <c r="C31" s="10">
        <v>2</v>
      </c>
      <c r="D31" s="10">
        <v>2</v>
      </c>
      <c r="E31" s="10" t="s">
        <v>108</v>
      </c>
      <c r="F31" s="10"/>
      <c r="G31" s="10">
        <v>2</v>
      </c>
      <c r="H31" s="10">
        <v>333</v>
      </c>
      <c r="I31" s="10">
        <v>291</v>
      </c>
      <c r="J31" s="10"/>
      <c r="K31" s="10"/>
      <c r="L31" s="10">
        <v>326</v>
      </c>
      <c r="M31" s="10">
        <v>9.0499999999999997E-2</v>
      </c>
      <c r="N31" s="10">
        <v>8.9200000000000002E-2</v>
      </c>
      <c r="O31" s="10"/>
      <c r="P31" s="10"/>
      <c r="Q31" s="10">
        <v>9.0300000000000005E-2</v>
      </c>
      <c r="R31" s="10">
        <v>30000801</v>
      </c>
      <c r="S31" s="10">
        <v>3</v>
      </c>
      <c r="T31" s="10"/>
      <c r="U31" s="10"/>
      <c r="V31" s="10"/>
      <c r="W31" s="10"/>
      <c r="X31" s="10"/>
      <c r="Y31" s="10"/>
      <c r="Z31" s="10"/>
      <c r="AA31" s="10"/>
      <c r="AB31" s="10" t="b">
        <v>1</v>
      </c>
      <c r="AC31" s="10"/>
      <c r="AD31" s="10">
        <v>6</v>
      </c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>
        <v>300009</v>
      </c>
      <c r="C32" s="10">
        <v>2</v>
      </c>
      <c r="D32" s="10">
        <v>1</v>
      </c>
      <c r="E32" s="10" t="s">
        <v>109</v>
      </c>
      <c r="F32" s="10" t="s">
        <v>102</v>
      </c>
      <c r="G32" s="10">
        <v>3</v>
      </c>
      <c r="H32" s="10">
        <v>275</v>
      </c>
      <c r="I32" s="10">
        <v>378</v>
      </c>
      <c r="J32" s="10"/>
      <c r="K32" s="10"/>
      <c r="L32" s="10">
        <v>447</v>
      </c>
      <c r="M32" s="10">
        <v>8.7500000000000008E-2</v>
      </c>
      <c r="N32" s="10">
        <v>9.0300000000000005E-2</v>
      </c>
      <c r="O32" s="10"/>
      <c r="P32" s="10"/>
      <c r="Q32" s="10">
        <v>9.2200000000000004E-2</v>
      </c>
      <c r="R32" s="10">
        <v>30000901</v>
      </c>
      <c r="S32" s="10">
        <v>3</v>
      </c>
      <c r="T32" s="10"/>
      <c r="U32" s="10"/>
      <c r="V32" s="10"/>
      <c r="W32" s="10"/>
      <c r="X32" s="10"/>
      <c r="Y32" s="10"/>
      <c r="Z32" s="10"/>
      <c r="AA32" s="10"/>
      <c r="AB32" s="10" t="b">
        <v>1</v>
      </c>
      <c r="AC32" s="10"/>
      <c r="AD32" s="10">
        <v>9</v>
      </c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300010</v>
      </c>
      <c r="C33" s="10">
        <v>2</v>
      </c>
      <c r="D33" s="10">
        <v>4</v>
      </c>
      <c r="E33" s="10" t="s">
        <v>110</v>
      </c>
      <c r="F33" s="10" t="s">
        <v>102</v>
      </c>
      <c r="G33" s="10">
        <v>3</v>
      </c>
      <c r="H33" s="10">
        <v>311</v>
      </c>
      <c r="I33" s="10">
        <v>428</v>
      </c>
      <c r="J33" s="10"/>
      <c r="K33" s="10"/>
      <c r="L33" s="10">
        <v>322</v>
      </c>
      <c r="M33" s="10">
        <v>8.8800000000000004E-2</v>
      </c>
      <c r="N33" s="10">
        <v>9.2100000000000001E-2</v>
      </c>
      <c r="O33" s="10"/>
      <c r="P33" s="10"/>
      <c r="Q33" s="10">
        <v>8.9099999999999999E-2</v>
      </c>
      <c r="R33" s="10">
        <v>30001001</v>
      </c>
      <c r="S33" s="10">
        <v>3</v>
      </c>
      <c r="T33" s="10"/>
      <c r="U33" s="10"/>
      <c r="V33" s="10"/>
      <c r="W33" s="10"/>
      <c r="X33" s="10"/>
      <c r="Y33" s="10"/>
      <c r="Z33" s="10"/>
      <c r="AA33" s="10"/>
      <c r="AB33" s="10" t="b">
        <v>1</v>
      </c>
      <c r="AC33" s="10"/>
      <c r="AD33" s="10">
        <v>12</v>
      </c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>
        <v>300012</v>
      </c>
      <c r="C34" s="10">
        <v>2</v>
      </c>
      <c r="D34" s="10">
        <v>3</v>
      </c>
      <c r="E34" s="10" t="s">
        <v>111</v>
      </c>
      <c r="F34" s="10" t="s">
        <v>102</v>
      </c>
      <c r="G34" s="10">
        <v>3</v>
      </c>
      <c r="H34" s="10">
        <v>374</v>
      </c>
      <c r="I34" s="10">
        <v>367</v>
      </c>
      <c r="J34" s="10"/>
      <c r="K34" s="10"/>
      <c r="L34" s="10">
        <v>359</v>
      </c>
      <c r="M34" s="10">
        <v>9.0200000000000002E-2</v>
      </c>
      <c r="N34" s="10">
        <v>0.09</v>
      </c>
      <c r="O34" s="10"/>
      <c r="P34" s="10"/>
      <c r="Q34" s="10">
        <v>8.9800000000000005E-2</v>
      </c>
      <c r="R34" s="10">
        <v>30001201</v>
      </c>
      <c r="S34" s="10">
        <v>3</v>
      </c>
      <c r="T34" s="10"/>
      <c r="U34" s="10"/>
      <c r="V34" s="10"/>
      <c r="W34" s="10"/>
      <c r="X34" s="10"/>
      <c r="Y34" s="10"/>
      <c r="Z34" s="10"/>
      <c r="AA34" s="10"/>
      <c r="AB34" s="10" t="b">
        <v>1</v>
      </c>
      <c r="AC34" s="10"/>
      <c r="AD34" s="10">
        <v>11</v>
      </c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300013</v>
      </c>
      <c r="C35" s="10">
        <v>2</v>
      </c>
      <c r="D35" s="10">
        <v>3</v>
      </c>
      <c r="E35" s="10" t="s">
        <v>112</v>
      </c>
      <c r="F35" s="10" t="s">
        <v>102</v>
      </c>
      <c r="G35" s="10">
        <v>3</v>
      </c>
      <c r="H35" s="10">
        <v>384</v>
      </c>
      <c r="I35" s="10">
        <v>362</v>
      </c>
      <c r="J35" s="10"/>
      <c r="K35" s="10"/>
      <c r="L35" s="10">
        <v>384</v>
      </c>
      <c r="M35" s="10">
        <v>9.0200000000000002E-2</v>
      </c>
      <c r="N35" s="10">
        <v>8.9599999999999999E-2</v>
      </c>
      <c r="O35" s="10"/>
      <c r="P35" s="10"/>
      <c r="Q35" s="10">
        <v>9.0200000000000002E-2</v>
      </c>
      <c r="R35" s="10">
        <v>30001301</v>
      </c>
      <c r="S35" s="10">
        <v>3</v>
      </c>
      <c r="T35" s="10"/>
      <c r="U35" s="10"/>
      <c r="V35" s="10"/>
      <c r="W35" s="10"/>
      <c r="X35" s="10"/>
      <c r="Y35" s="10"/>
      <c r="Z35" s="10"/>
      <c r="AA35" s="10"/>
      <c r="AB35" s="10" t="b">
        <v>1</v>
      </c>
      <c r="AC35" s="10"/>
      <c r="AD35" s="10">
        <v>11</v>
      </c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>
        <v>300014</v>
      </c>
      <c r="C36" s="10">
        <v>2</v>
      </c>
      <c r="D36" s="10">
        <v>1</v>
      </c>
      <c r="E36" s="10" t="s">
        <v>113</v>
      </c>
      <c r="F36" s="10"/>
      <c r="G36" s="10">
        <v>2</v>
      </c>
      <c r="H36" s="10">
        <v>294</v>
      </c>
      <c r="I36" s="10">
        <v>362</v>
      </c>
      <c r="J36" s="10"/>
      <c r="K36" s="10"/>
      <c r="L36" s="10">
        <v>304</v>
      </c>
      <c r="M36" s="10">
        <v>8.9200000000000002E-2</v>
      </c>
      <c r="N36" s="10">
        <v>9.1299999999999992E-2</v>
      </c>
      <c r="O36" s="10"/>
      <c r="P36" s="10"/>
      <c r="Q36" s="10">
        <v>8.9499999999999996E-2</v>
      </c>
      <c r="R36" s="10">
        <v>30001401</v>
      </c>
      <c r="S36" s="10">
        <v>3</v>
      </c>
      <c r="T36" s="10"/>
      <c r="U36" s="10"/>
      <c r="V36" s="10"/>
      <c r="W36" s="10"/>
      <c r="X36" s="10"/>
      <c r="Y36" s="10"/>
      <c r="Z36" s="10"/>
      <c r="AA36" s="10"/>
      <c r="AB36" s="10" t="b">
        <v>1</v>
      </c>
      <c r="AC36" s="10"/>
      <c r="AD36" s="10">
        <v>5</v>
      </c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300015</v>
      </c>
      <c r="C37" s="10">
        <v>2</v>
      </c>
      <c r="D37" s="10">
        <v>5</v>
      </c>
      <c r="E37" s="10" t="s">
        <v>114</v>
      </c>
      <c r="F37" s="10" t="s">
        <v>115</v>
      </c>
      <c r="G37" s="10">
        <v>3</v>
      </c>
      <c r="H37" s="10">
        <v>382</v>
      </c>
      <c r="I37" s="10">
        <v>382</v>
      </c>
      <c r="J37" s="10"/>
      <c r="K37" s="10"/>
      <c r="L37" s="10">
        <v>496</v>
      </c>
      <c r="M37" s="10">
        <v>8.9099999999999999E-2</v>
      </c>
      <c r="N37" s="10">
        <v>8.9099999999999999E-2</v>
      </c>
      <c r="O37" s="10"/>
      <c r="P37" s="10"/>
      <c r="Q37" s="10">
        <v>9.1799999999999993E-2</v>
      </c>
      <c r="R37" s="10">
        <v>30001501</v>
      </c>
      <c r="S37" s="10">
        <v>3</v>
      </c>
      <c r="T37" s="10"/>
      <c r="U37" s="10"/>
      <c r="V37" s="10"/>
      <c r="W37" s="10"/>
      <c r="X37" s="10"/>
      <c r="Y37" s="10"/>
      <c r="Z37" s="10"/>
      <c r="AA37" s="10"/>
      <c r="AB37" s="10" t="b">
        <v>1</v>
      </c>
      <c r="AC37" s="10"/>
      <c r="AD37" s="10">
        <v>13</v>
      </c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>
        <v>300016</v>
      </c>
      <c r="C38" s="10">
        <v>2</v>
      </c>
      <c r="D38" s="10">
        <v>3</v>
      </c>
      <c r="E38" s="10" t="s">
        <v>116</v>
      </c>
      <c r="F38" s="10" t="s">
        <v>102</v>
      </c>
      <c r="G38" s="10">
        <v>3</v>
      </c>
      <c r="H38" s="10">
        <v>400</v>
      </c>
      <c r="I38" s="10">
        <v>334</v>
      </c>
      <c r="J38" s="10"/>
      <c r="K38" s="10"/>
      <c r="L38" s="10">
        <v>367</v>
      </c>
      <c r="M38" s="10">
        <v>9.0900000000000009E-2</v>
      </c>
      <c r="N38" s="10">
        <v>8.9099999999999999E-2</v>
      </c>
      <c r="O38" s="10"/>
      <c r="P38" s="10"/>
      <c r="Q38" s="10">
        <v>0.09</v>
      </c>
      <c r="R38" s="10">
        <v>30001601</v>
      </c>
      <c r="S38" s="10">
        <v>3</v>
      </c>
      <c r="T38" s="10"/>
      <c r="U38" s="10"/>
      <c r="V38" s="10"/>
      <c r="W38" s="10"/>
      <c r="X38" s="10"/>
      <c r="Y38" s="10"/>
      <c r="Z38" s="10"/>
      <c r="AA38" s="10"/>
      <c r="AB38" s="10" t="b">
        <v>1</v>
      </c>
      <c r="AC38" s="10"/>
      <c r="AD38" s="10">
        <v>11</v>
      </c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300017</v>
      </c>
      <c r="C39" s="10">
        <v>2</v>
      </c>
      <c r="D39" s="10">
        <v>4</v>
      </c>
      <c r="E39" s="10" t="s">
        <v>117</v>
      </c>
      <c r="F39" s="10" t="s">
        <v>102</v>
      </c>
      <c r="G39" s="10">
        <v>3</v>
      </c>
      <c r="H39" s="10">
        <v>320</v>
      </c>
      <c r="I39" s="10">
        <v>447</v>
      </c>
      <c r="J39" s="10"/>
      <c r="K39" s="10"/>
      <c r="L39" s="10">
        <v>323</v>
      </c>
      <c r="M39" s="10">
        <v>8.8800000000000004E-2</v>
      </c>
      <c r="N39" s="10">
        <v>9.2299999999999993E-2</v>
      </c>
      <c r="O39" s="10"/>
      <c r="P39" s="10"/>
      <c r="Q39" s="10">
        <v>8.8900000000000007E-2</v>
      </c>
      <c r="R39" s="10">
        <v>30001701</v>
      </c>
      <c r="S39" s="10">
        <v>3</v>
      </c>
      <c r="T39" s="10"/>
      <c r="U39" s="10"/>
      <c r="V39" s="10"/>
      <c r="W39" s="10"/>
      <c r="X39" s="10"/>
      <c r="Y39" s="10"/>
      <c r="Z39" s="10"/>
      <c r="AA39" s="10"/>
      <c r="AB39" s="10" t="b">
        <v>1</v>
      </c>
      <c r="AC39" s="10"/>
      <c r="AD39" s="10">
        <v>12</v>
      </c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>
        <v>300018</v>
      </c>
      <c r="C40" s="10">
        <v>2</v>
      </c>
      <c r="D40" s="10">
        <v>3</v>
      </c>
      <c r="E40" s="10" t="s">
        <v>118</v>
      </c>
      <c r="F40" s="10" t="s">
        <v>102</v>
      </c>
      <c r="G40" s="10">
        <v>3</v>
      </c>
      <c r="H40" s="10">
        <v>477</v>
      </c>
      <c r="I40" s="10">
        <v>260</v>
      </c>
      <c r="J40" s="10"/>
      <c r="K40" s="10"/>
      <c r="L40" s="10">
        <v>363</v>
      </c>
      <c r="M40" s="10">
        <v>9.2999999999999999E-2</v>
      </c>
      <c r="N40" s="10">
        <v>8.7099999999999997E-2</v>
      </c>
      <c r="O40" s="10"/>
      <c r="P40" s="10"/>
      <c r="Q40" s="10">
        <v>8.9900000000000008E-2</v>
      </c>
      <c r="R40" s="10">
        <v>30001801</v>
      </c>
      <c r="S40" s="10">
        <v>3</v>
      </c>
      <c r="T40" s="10"/>
      <c r="U40" s="10"/>
      <c r="V40" s="10"/>
      <c r="W40" s="10"/>
      <c r="X40" s="10"/>
      <c r="Y40" s="10"/>
      <c r="Z40" s="10"/>
      <c r="AA40" s="10"/>
      <c r="AB40" s="10" t="b">
        <v>1</v>
      </c>
      <c r="AC40" s="10"/>
      <c r="AD40" s="10">
        <v>11</v>
      </c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300019</v>
      </c>
      <c r="C41" s="10">
        <v>2</v>
      </c>
      <c r="D41" s="10">
        <v>5</v>
      </c>
      <c r="E41" s="10" t="s">
        <v>119</v>
      </c>
      <c r="F41" s="10" t="s">
        <v>115</v>
      </c>
      <c r="G41" s="10">
        <v>3</v>
      </c>
      <c r="H41" s="10">
        <v>435</v>
      </c>
      <c r="I41" s="10">
        <v>418</v>
      </c>
      <c r="J41" s="10"/>
      <c r="K41" s="10"/>
      <c r="L41" s="10">
        <v>427</v>
      </c>
      <c r="M41" s="10">
        <v>9.0200000000000002E-2</v>
      </c>
      <c r="N41" s="10">
        <v>8.9800000000000005E-2</v>
      </c>
      <c r="O41" s="10"/>
      <c r="P41" s="10"/>
      <c r="Q41" s="10">
        <v>0.09</v>
      </c>
      <c r="R41" s="10">
        <v>30001901</v>
      </c>
      <c r="S41" s="10">
        <v>3</v>
      </c>
      <c r="T41" s="10"/>
      <c r="U41" s="10"/>
      <c r="V41" s="10"/>
      <c r="W41" s="10"/>
      <c r="X41" s="10"/>
      <c r="Y41" s="10"/>
      <c r="Z41" s="10"/>
      <c r="AA41" s="10"/>
      <c r="AB41" s="10" t="b">
        <v>1</v>
      </c>
      <c r="AC41" s="10"/>
      <c r="AD41" s="10">
        <v>13</v>
      </c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>
        <v>300020</v>
      </c>
      <c r="C42" s="10">
        <v>2</v>
      </c>
      <c r="D42" s="10">
        <v>5</v>
      </c>
      <c r="E42" s="10" t="s">
        <v>120</v>
      </c>
      <c r="F42" s="10" t="s">
        <v>115</v>
      </c>
      <c r="G42" s="10">
        <v>3</v>
      </c>
      <c r="H42" s="10">
        <v>342</v>
      </c>
      <c r="I42" s="10">
        <v>471</v>
      </c>
      <c r="J42" s="10"/>
      <c r="K42" s="10"/>
      <c r="L42" s="10">
        <v>438</v>
      </c>
      <c r="M42" s="10">
        <v>8.8200000000000001E-2</v>
      </c>
      <c r="N42" s="10">
        <v>9.1299999999999992E-2</v>
      </c>
      <c r="O42" s="10"/>
      <c r="P42" s="10"/>
      <c r="Q42" s="10">
        <v>9.0499999999999997E-2</v>
      </c>
      <c r="R42" s="10">
        <v>30002001</v>
      </c>
      <c r="S42" s="10">
        <v>3</v>
      </c>
      <c r="T42" s="10"/>
      <c r="U42" s="10"/>
      <c r="V42" s="10"/>
      <c r="W42" s="10"/>
      <c r="X42" s="10"/>
      <c r="Y42" s="10"/>
      <c r="Z42" s="10"/>
      <c r="AA42" s="10"/>
      <c r="AB42" s="10" t="b">
        <v>1</v>
      </c>
      <c r="AC42" s="10"/>
      <c r="AD42" s="10">
        <v>13</v>
      </c>
      <c r="AE42" s="10">
        <v>5</v>
      </c>
      <c r="AF42" s="10">
        <v>8</v>
      </c>
      <c r="AG42" s="10">
        <v>20111006</v>
      </c>
      <c r="AH42" s="10">
        <v>1</v>
      </c>
      <c r="AI42" s="10">
        <v>5</v>
      </c>
      <c r="AJ42" s="10">
        <v>8</v>
      </c>
      <c r="AK42" s="10">
        <v>30111007</v>
      </c>
      <c r="AL42" s="10">
        <v>1</v>
      </c>
    </row>
    <row r="43" spans="1:38" ht="18.75" customHeight="1">
      <c r="A43" s="11"/>
      <c r="B43" s="10">
        <v>300021</v>
      </c>
      <c r="C43" s="10">
        <v>2</v>
      </c>
      <c r="D43" s="10">
        <v>2</v>
      </c>
      <c r="E43" s="10" t="s">
        <v>121</v>
      </c>
      <c r="F43" s="10" t="s">
        <v>102</v>
      </c>
      <c r="G43" s="10">
        <v>3</v>
      </c>
      <c r="H43" s="10">
        <v>405</v>
      </c>
      <c r="I43" s="10">
        <v>389</v>
      </c>
      <c r="J43" s="10"/>
      <c r="K43" s="10"/>
      <c r="L43" s="10">
        <v>397</v>
      </c>
      <c r="M43" s="10">
        <v>9.0200000000000002E-2</v>
      </c>
      <c r="N43" s="10">
        <v>8.9800000000000005E-2</v>
      </c>
      <c r="O43" s="10"/>
      <c r="P43" s="10"/>
      <c r="Q43" s="10">
        <v>0.09</v>
      </c>
      <c r="R43" s="10">
        <v>30002101</v>
      </c>
      <c r="S43" s="10">
        <v>3</v>
      </c>
      <c r="T43" s="10"/>
      <c r="U43" s="10"/>
      <c r="V43" s="10"/>
      <c r="W43" s="10"/>
      <c r="X43" s="10"/>
      <c r="Y43" s="10"/>
      <c r="Z43" s="10"/>
      <c r="AA43" s="10"/>
      <c r="AB43" s="10" t="b">
        <v>1</v>
      </c>
      <c r="AC43" s="10"/>
      <c r="AD43" s="10">
        <v>10</v>
      </c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>
        <v>300022</v>
      </c>
      <c r="C44" s="10">
        <v>2</v>
      </c>
      <c r="D44" s="10">
        <v>4</v>
      </c>
      <c r="E44" s="10" t="s">
        <v>122</v>
      </c>
      <c r="F44" s="10" t="s">
        <v>102</v>
      </c>
      <c r="G44" s="10">
        <v>3</v>
      </c>
      <c r="H44" s="10">
        <v>286</v>
      </c>
      <c r="I44" s="10">
        <v>301</v>
      </c>
      <c r="J44" s="10"/>
      <c r="K44" s="10"/>
      <c r="L44" s="10">
        <v>513</v>
      </c>
      <c r="M44" s="10">
        <v>8.7800000000000003E-2</v>
      </c>
      <c r="N44" s="10">
        <v>8.8200000000000001E-2</v>
      </c>
      <c r="O44" s="10"/>
      <c r="P44" s="10"/>
      <c r="Q44" s="10">
        <v>9.4E-2</v>
      </c>
      <c r="R44" s="10">
        <v>30002201</v>
      </c>
      <c r="S44" s="10">
        <v>3</v>
      </c>
      <c r="T44" s="10"/>
      <c r="U44" s="10"/>
      <c r="V44" s="10"/>
      <c r="W44" s="10"/>
      <c r="X44" s="10"/>
      <c r="Y44" s="10"/>
      <c r="Z44" s="10"/>
      <c r="AA44" s="10"/>
      <c r="AB44" s="10" t="b">
        <v>1</v>
      </c>
      <c r="AC44" s="10"/>
      <c r="AD44" s="10">
        <v>12</v>
      </c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300023</v>
      </c>
      <c r="C45" s="10">
        <v>2</v>
      </c>
      <c r="D45" s="10">
        <v>5</v>
      </c>
      <c r="E45" s="10" t="s">
        <v>123</v>
      </c>
      <c r="F45" s="10" t="s">
        <v>115</v>
      </c>
      <c r="G45" s="10">
        <v>3</v>
      </c>
      <c r="H45" s="10">
        <v>496</v>
      </c>
      <c r="I45" s="10">
        <v>380</v>
      </c>
      <c r="J45" s="10"/>
      <c r="K45" s="10"/>
      <c r="L45" s="10">
        <v>364</v>
      </c>
      <c r="M45" s="10">
        <v>9.1999999999999998E-2</v>
      </c>
      <c r="N45" s="10">
        <v>8.9200000000000002E-2</v>
      </c>
      <c r="O45" s="10"/>
      <c r="P45" s="10"/>
      <c r="Q45" s="10">
        <v>8.8800000000000004E-2</v>
      </c>
      <c r="R45" s="10">
        <v>30002301</v>
      </c>
      <c r="S45" s="10">
        <v>3</v>
      </c>
      <c r="T45" s="10"/>
      <c r="U45" s="10"/>
      <c r="V45" s="10"/>
      <c r="W45" s="10"/>
      <c r="X45" s="10"/>
      <c r="Y45" s="10"/>
      <c r="Z45" s="10"/>
      <c r="AA45" s="10"/>
      <c r="AB45" s="10" t="b">
        <v>1</v>
      </c>
      <c r="AC45" s="10"/>
      <c r="AD45" s="10">
        <v>13</v>
      </c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>
        <v>300024</v>
      </c>
      <c r="C46" s="10">
        <v>2</v>
      </c>
      <c r="D46" s="10">
        <v>1</v>
      </c>
      <c r="E46" s="10" t="s">
        <v>124</v>
      </c>
      <c r="F46" s="10" t="s">
        <v>102</v>
      </c>
      <c r="G46" s="10">
        <v>3</v>
      </c>
      <c r="H46" s="10">
        <v>308</v>
      </c>
      <c r="I46" s="10">
        <v>466</v>
      </c>
      <c r="J46" s="10"/>
      <c r="K46" s="10"/>
      <c r="L46" s="10">
        <v>277</v>
      </c>
      <c r="M46" s="10">
        <v>8.8800000000000004E-2</v>
      </c>
      <c r="N46" s="10">
        <v>9.3299999999999994E-2</v>
      </c>
      <c r="O46" s="10"/>
      <c r="P46" s="10"/>
      <c r="Q46" s="10">
        <v>8.7900000000000006E-2</v>
      </c>
      <c r="R46" s="10">
        <v>30002401</v>
      </c>
      <c r="S46" s="10">
        <v>3</v>
      </c>
      <c r="T46" s="10"/>
      <c r="U46" s="10"/>
      <c r="V46" s="10"/>
      <c r="W46" s="10"/>
      <c r="X46" s="10"/>
      <c r="Y46" s="10"/>
      <c r="Z46" s="10"/>
      <c r="AA46" s="10"/>
      <c r="AB46" s="10" t="b">
        <v>1</v>
      </c>
      <c r="AC46" s="10"/>
      <c r="AD46" s="10">
        <v>9</v>
      </c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300025</v>
      </c>
      <c r="C47" s="10">
        <v>2</v>
      </c>
      <c r="D47" s="10">
        <v>5</v>
      </c>
      <c r="E47" s="10" t="s">
        <v>125</v>
      </c>
      <c r="F47" s="10" t="s">
        <v>115</v>
      </c>
      <c r="G47" s="10">
        <v>3</v>
      </c>
      <c r="H47" s="10">
        <v>496</v>
      </c>
      <c r="I47" s="10">
        <v>373</v>
      </c>
      <c r="J47" s="10"/>
      <c r="K47" s="10"/>
      <c r="L47" s="10">
        <v>361</v>
      </c>
      <c r="M47" s="10">
        <v>9.2100000000000001E-2</v>
      </c>
      <c r="N47" s="10">
        <v>8.9099999999999999E-2</v>
      </c>
      <c r="O47" s="10"/>
      <c r="P47" s="10"/>
      <c r="Q47" s="10">
        <v>8.8800000000000004E-2</v>
      </c>
      <c r="R47" s="10">
        <v>30002501</v>
      </c>
      <c r="S47" s="10">
        <v>3</v>
      </c>
      <c r="T47" s="10"/>
      <c r="U47" s="10"/>
      <c r="V47" s="10"/>
      <c r="W47" s="10"/>
      <c r="X47" s="10"/>
      <c r="Y47" s="10"/>
      <c r="Z47" s="10"/>
      <c r="AA47" s="10"/>
      <c r="AB47" s="10" t="b">
        <v>1</v>
      </c>
      <c r="AC47" s="10"/>
      <c r="AD47" s="10">
        <v>13</v>
      </c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>
        <v>300026</v>
      </c>
      <c r="C48" s="10">
        <v>2</v>
      </c>
      <c r="D48" s="10">
        <v>1</v>
      </c>
      <c r="E48" s="10" t="s">
        <v>126</v>
      </c>
      <c r="F48" s="10" t="s">
        <v>115</v>
      </c>
      <c r="G48" s="10">
        <v>3</v>
      </c>
      <c r="H48" s="10">
        <v>257</v>
      </c>
      <c r="I48" s="10">
        <v>422</v>
      </c>
      <c r="J48" s="10"/>
      <c r="K48" s="10"/>
      <c r="L48" s="10">
        <v>422</v>
      </c>
      <c r="M48" s="10">
        <v>8.7000000000000008E-2</v>
      </c>
      <c r="N48" s="10">
        <v>9.1499999999999998E-2</v>
      </c>
      <c r="O48" s="10"/>
      <c r="P48" s="10"/>
      <c r="Q48" s="10">
        <v>9.1499999999999998E-2</v>
      </c>
      <c r="R48" s="10">
        <v>30002601</v>
      </c>
      <c r="S48" s="10">
        <v>3</v>
      </c>
      <c r="T48" s="10"/>
      <c r="U48" s="10"/>
      <c r="V48" s="10"/>
      <c r="W48" s="10"/>
      <c r="X48" s="10"/>
      <c r="Y48" s="10"/>
      <c r="Z48" s="10"/>
      <c r="AA48" s="10"/>
      <c r="AB48" s="10" t="b">
        <v>1</v>
      </c>
      <c r="AC48" s="10"/>
      <c r="AD48" s="10">
        <v>9</v>
      </c>
      <c r="AE48" s="10">
        <v>5</v>
      </c>
      <c r="AF48" s="10">
        <v>8</v>
      </c>
      <c r="AG48" s="10">
        <v>20111001</v>
      </c>
      <c r="AH48" s="10">
        <v>1</v>
      </c>
      <c r="AI48" s="10">
        <v>5</v>
      </c>
      <c r="AJ48" s="10">
        <v>8</v>
      </c>
      <c r="AK48" s="10">
        <v>30111001</v>
      </c>
      <c r="AL48" s="10">
        <v>1</v>
      </c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5"/>
  <dataValidations count="1">
    <dataValidation type="list" allowBlank="1" showErrorMessage="1" sqref="B7:AL7" xr:uid="{00000000-0002-0000-0000-000000000000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355600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E5CE-3FBB-AA47-BF53-D492E12E241D}">
  <sheetPr codeName="Sheet2"/>
  <dimension ref="A1:AM1000"/>
  <sheetViews>
    <sheetView workbookViewId="0">
      <selection activeCell="D8" sqref="D8"/>
    </sheetView>
  </sheetViews>
  <sheetFormatPr baseColWidth="10" defaultColWidth="12.6640625" defaultRowHeight="15" customHeight="1"/>
  <cols>
    <col min="1" max="1" width="7.6640625" customWidth="1"/>
    <col min="2" max="2" width="17" customWidth="1"/>
    <col min="3" max="39" width="12.6640625" customWidth="1"/>
  </cols>
  <sheetData>
    <row r="1" spans="1:39" ht="12" customHeight="1"/>
    <row r="2" spans="1:39" ht="40.5" customHeight="1">
      <c r="A2" s="1" t="s">
        <v>0</v>
      </c>
      <c r="B2" s="2" t="s">
        <v>127</v>
      </c>
      <c r="J2" s="12"/>
    </row>
    <row r="3" spans="1:39" ht="18.75" customHeight="1">
      <c r="A3" s="3"/>
      <c r="B3" s="3" t="s">
        <v>2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</row>
    <row r="4" spans="1:39" ht="18.75" customHeight="1">
      <c r="A4" s="1" t="s">
        <v>3</v>
      </c>
      <c r="B4" s="5" t="s">
        <v>4</v>
      </c>
      <c r="C4" s="5" t="s">
        <v>128</v>
      </c>
      <c r="D4" s="5" t="s">
        <v>288</v>
      </c>
      <c r="E4" s="5" t="s">
        <v>129</v>
      </c>
      <c r="F4" s="5" t="s">
        <v>144</v>
      </c>
      <c r="G4" s="5"/>
      <c r="H4" s="5" t="s">
        <v>277</v>
      </c>
      <c r="I4" s="5" t="s">
        <v>276</v>
      </c>
      <c r="J4" s="5" t="s">
        <v>278</v>
      </c>
      <c r="K4" s="5" t="s">
        <v>279</v>
      </c>
      <c r="L4" s="5" t="s">
        <v>280</v>
      </c>
      <c r="M4" s="5" t="s">
        <v>281</v>
      </c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</row>
    <row r="5" spans="1:39" ht="18.75" customHeight="1">
      <c r="A5" s="1" t="s">
        <v>19</v>
      </c>
      <c r="B5" s="5"/>
      <c r="C5" s="5"/>
      <c r="D5" s="5"/>
      <c r="E5" s="5"/>
      <c r="F5" s="5">
        <v>1</v>
      </c>
      <c r="G5" s="5">
        <v>2</v>
      </c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</row>
    <row r="6" spans="1:39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</row>
    <row r="7" spans="1:39" ht="18.75" customHeight="1">
      <c r="A7" s="1" t="s">
        <v>32</v>
      </c>
      <c r="B7" s="6" t="s">
        <v>33</v>
      </c>
      <c r="C7" s="6" t="s">
        <v>34</v>
      </c>
      <c r="D7" s="6" t="s">
        <v>141</v>
      </c>
      <c r="E7" s="6" t="s">
        <v>33</v>
      </c>
      <c r="F7" s="6" t="s">
        <v>141</v>
      </c>
      <c r="G7" s="6" t="s">
        <v>33</v>
      </c>
      <c r="H7" s="6" t="s">
        <v>141</v>
      </c>
      <c r="I7" s="6" t="s">
        <v>141</v>
      </c>
      <c r="J7" s="6" t="s">
        <v>141</v>
      </c>
      <c r="K7" s="6" t="s">
        <v>141</v>
      </c>
      <c r="L7" s="6" t="s">
        <v>141</v>
      </c>
      <c r="M7" s="6" t="s">
        <v>141</v>
      </c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</row>
    <row r="8" spans="1:39" ht="76.5" customHeight="1">
      <c r="A8" s="1" t="s">
        <v>37</v>
      </c>
      <c r="B8" s="8" t="s">
        <v>38</v>
      </c>
      <c r="C8" s="8" t="s">
        <v>130</v>
      </c>
      <c r="D8" s="8" t="s">
        <v>289</v>
      </c>
      <c r="E8" s="8" t="s">
        <v>131</v>
      </c>
      <c r="F8" s="8" t="s">
        <v>142</v>
      </c>
      <c r="G8" s="8"/>
      <c r="H8" s="8" t="s">
        <v>283</v>
      </c>
      <c r="I8" s="8" t="s">
        <v>284</v>
      </c>
      <c r="J8" s="8" t="s">
        <v>285</v>
      </c>
      <c r="K8" s="8" t="s">
        <v>282</v>
      </c>
      <c r="L8" s="8" t="s">
        <v>286</v>
      </c>
      <c r="M8" s="8" t="s">
        <v>287</v>
      </c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8"/>
      <c r="AD8" s="8"/>
      <c r="AE8" s="7"/>
      <c r="AF8" s="7"/>
      <c r="AG8" s="7"/>
      <c r="AH8" s="7"/>
      <c r="AI8" s="7"/>
      <c r="AJ8" s="7"/>
      <c r="AK8" s="7"/>
      <c r="AL8" s="7"/>
      <c r="AM8" s="7"/>
    </row>
    <row r="9" spans="1:39" ht="132" customHeight="1">
      <c r="A9" s="1" t="s">
        <v>64</v>
      </c>
      <c r="B9" s="8"/>
      <c r="C9" s="8"/>
      <c r="D9" s="8"/>
      <c r="E9" s="8"/>
      <c r="F9" s="8" t="s">
        <v>145</v>
      </c>
      <c r="G9" s="8"/>
      <c r="H9" s="8"/>
      <c r="I9" s="8"/>
      <c r="J9" s="8"/>
      <c r="K9" s="8"/>
      <c r="L9" s="8"/>
      <c r="M9" s="7"/>
      <c r="N9" s="8"/>
      <c r="O9" s="7"/>
      <c r="P9" s="7"/>
      <c r="Q9" s="7"/>
      <c r="R9" s="7"/>
      <c r="S9" s="8"/>
      <c r="T9" s="8"/>
      <c r="U9" s="8"/>
      <c r="V9" s="8"/>
      <c r="W9" s="8"/>
      <c r="X9" s="8"/>
      <c r="Y9" s="8"/>
      <c r="Z9" s="8"/>
      <c r="AA9" s="7"/>
      <c r="AB9" s="7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</row>
    <row r="10" spans="1:39" ht="18.75" customHeight="1">
      <c r="A10" s="9" t="s">
        <v>70</v>
      </c>
      <c r="B10" s="10">
        <v>1</v>
      </c>
      <c r="C10" s="10" t="s">
        <v>132</v>
      </c>
      <c r="D10" s="10">
        <v>1</v>
      </c>
      <c r="E10" s="10">
        <v>3</v>
      </c>
      <c r="F10" s="10">
        <v>1</v>
      </c>
      <c r="G10" s="10"/>
      <c r="H10" s="10">
        <v>120</v>
      </c>
      <c r="I10" s="10">
        <v>180</v>
      </c>
      <c r="J10" s="10">
        <v>80</v>
      </c>
      <c r="K10" s="10">
        <v>2600</v>
      </c>
      <c r="L10" s="10">
        <v>3200</v>
      </c>
      <c r="M10" s="10">
        <v>1900</v>
      </c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</row>
    <row r="11" spans="1:39" ht="18.75" customHeight="1">
      <c r="A11" s="11"/>
      <c r="B11" s="10">
        <v>2</v>
      </c>
      <c r="C11" s="10" t="s">
        <v>133</v>
      </c>
      <c r="D11" s="10">
        <v>3</v>
      </c>
      <c r="E11" s="10">
        <v>3</v>
      </c>
      <c r="F11" s="10">
        <v>1</v>
      </c>
      <c r="G11" s="10"/>
      <c r="H11" s="10">
        <v>130</v>
      </c>
      <c r="I11" s="10">
        <v>120</v>
      </c>
      <c r="J11" s="10">
        <v>170</v>
      </c>
      <c r="K11" s="10">
        <v>2800</v>
      </c>
      <c r="L11" s="10">
        <v>2600</v>
      </c>
      <c r="M11" s="10">
        <v>3100</v>
      </c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</row>
    <row r="12" spans="1:39" ht="18.75" customHeight="1">
      <c r="A12" s="11"/>
      <c r="B12" s="10">
        <v>3</v>
      </c>
      <c r="C12" s="10" t="s">
        <v>134</v>
      </c>
      <c r="D12" s="10">
        <v>2</v>
      </c>
      <c r="E12" s="10">
        <v>3</v>
      </c>
      <c r="F12" s="10">
        <v>1</v>
      </c>
      <c r="G12" s="10"/>
      <c r="H12" s="10">
        <v>180</v>
      </c>
      <c r="I12" s="10">
        <v>140</v>
      </c>
      <c r="J12" s="10">
        <v>120</v>
      </c>
      <c r="K12" s="10">
        <v>3200</v>
      </c>
      <c r="L12" s="10">
        <v>2700</v>
      </c>
      <c r="M12" s="10">
        <v>2600</v>
      </c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</row>
    <row r="13" spans="1:39" ht="18.75" customHeight="1">
      <c r="A13" s="11"/>
      <c r="B13" s="10">
        <v>4</v>
      </c>
      <c r="C13" s="10" t="s">
        <v>135</v>
      </c>
      <c r="D13" s="10">
        <v>1</v>
      </c>
      <c r="E13" s="10">
        <v>3</v>
      </c>
      <c r="F13" s="10">
        <v>1</v>
      </c>
      <c r="G13" s="10"/>
      <c r="H13" s="10">
        <v>160</v>
      </c>
      <c r="I13" s="10">
        <v>180</v>
      </c>
      <c r="J13" s="10">
        <v>100</v>
      </c>
      <c r="K13" s="10">
        <v>3000</v>
      </c>
      <c r="L13" s="10">
        <v>3200</v>
      </c>
      <c r="M13" s="10">
        <v>2400</v>
      </c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</row>
    <row r="14" spans="1:39" ht="18.75" customHeight="1">
      <c r="A14" s="11"/>
      <c r="B14" s="10">
        <v>5</v>
      </c>
      <c r="C14" s="10" t="s">
        <v>136</v>
      </c>
      <c r="D14" s="10">
        <v>3</v>
      </c>
      <c r="E14" s="10">
        <v>3</v>
      </c>
      <c r="F14" s="10">
        <v>1</v>
      </c>
      <c r="G14" s="10"/>
      <c r="H14" s="10">
        <v>150</v>
      </c>
      <c r="I14" s="10">
        <v>140</v>
      </c>
      <c r="J14" s="10">
        <v>180</v>
      </c>
      <c r="K14" s="10">
        <v>2900</v>
      </c>
      <c r="L14" s="10">
        <v>2700</v>
      </c>
      <c r="M14" s="10">
        <v>3200</v>
      </c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</row>
    <row r="15" spans="1:39" ht="18.75" customHeight="1">
      <c r="A15" s="11"/>
      <c r="B15" s="10">
        <v>6</v>
      </c>
      <c r="C15" s="10" t="s">
        <v>137</v>
      </c>
      <c r="D15" s="10">
        <v>5</v>
      </c>
      <c r="E15" s="10">
        <v>4</v>
      </c>
      <c r="F15" s="10">
        <v>1</v>
      </c>
      <c r="G15" s="10"/>
      <c r="H15" s="10">
        <v>200</v>
      </c>
      <c r="I15" s="10">
        <v>180</v>
      </c>
      <c r="J15" s="10">
        <v>150</v>
      </c>
      <c r="K15" s="10">
        <v>3400</v>
      </c>
      <c r="L15" s="10">
        <v>3200</v>
      </c>
      <c r="M15" s="10">
        <v>2900</v>
      </c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</row>
    <row r="16" spans="1:39" ht="18.75" customHeight="1">
      <c r="A16" s="11"/>
      <c r="B16" s="10">
        <v>7</v>
      </c>
      <c r="C16" s="10" t="s">
        <v>290</v>
      </c>
      <c r="D16" s="10">
        <v>1</v>
      </c>
      <c r="E16" s="10">
        <v>3</v>
      </c>
      <c r="F16" s="10">
        <v>1</v>
      </c>
      <c r="G16" s="10"/>
      <c r="H16" s="10">
        <v>120</v>
      </c>
      <c r="I16" s="10">
        <v>180</v>
      </c>
      <c r="J16" s="10">
        <v>80</v>
      </c>
      <c r="K16" s="10">
        <v>2600</v>
      </c>
      <c r="L16" s="10">
        <v>3200</v>
      </c>
      <c r="M16" s="10">
        <v>1900</v>
      </c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</row>
    <row r="17" spans="1:39" ht="18.75" customHeight="1">
      <c r="A17" s="11"/>
      <c r="B17" s="10">
        <v>8</v>
      </c>
      <c r="C17" s="10" t="s">
        <v>292</v>
      </c>
      <c r="D17" s="10">
        <v>2</v>
      </c>
      <c r="E17" s="10">
        <v>3</v>
      </c>
      <c r="F17" s="10">
        <v>1</v>
      </c>
      <c r="G17" s="10"/>
      <c r="H17" s="10">
        <v>130</v>
      </c>
      <c r="I17" s="10">
        <v>120</v>
      </c>
      <c r="J17" s="10">
        <v>170</v>
      </c>
      <c r="K17" s="10">
        <v>2800</v>
      </c>
      <c r="L17" s="10">
        <v>2600</v>
      </c>
      <c r="M17" s="10">
        <v>3100</v>
      </c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</row>
    <row r="18" spans="1:39" ht="18.75" customHeight="1">
      <c r="A18" s="11"/>
      <c r="B18" s="10">
        <v>9</v>
      </c>
      <c r="C18" s="10" t="s">
        <v>291</v>
      </c>
      <c r="D18" s="10">
        <v>3</v>
      </c>
      <c r="E18" s="10">
        <v>3</v>
      </c>
      <c r="F18" s="10">
        <v>1</v>
      </c>
      <c r="G18" s="10"/>
      <c r="H18" s="10">
        <v>180</v>
      </c>
      <c r="I18" s="10">
        <v>140</v>
      </c>
      <c r="J18" s="10">
        <v>120</v>
      </c>
      <c r="K18" s="10">
        <v>3200</v>
      </c>
      <c r="L18" s="10">
        <v>2700</v>
      </c>
      <c r="M18" s="10">
        <v>2600</v>
      </c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</row>
    <row r="19" spans="1:39" ht="18.75" customHeight="1">
      <c r="A19" s="11"/>
      <c r="B19" s="10">
        <v>10</v>
      </c>
      <c r="C19" s="10" t="s">
        <v>293</v>
      </c>
      <c r="D19" s="15">
        <v>1</v>
      </c>
      <c r="E19" s="10">
        <v>3</v>
      </c>
      <c r="F19" s="10">
        <v>1</v>
      </c>
      <c r="G19" s="10"/>
      <c r="H19" s="10">
        <v>160</v>
      </c>
      <c r="I19" s="10">
        <v>180</v>
      </c>
      <c r="J19" s="10">
        <v>100</v>
      </c>
      <c r="K19" s="10">
        <v>3000</v>
      </c>
      <c r="L19" s="10">
        <v>3200</v>
      </c>
      <c r="M19" s="10">
        <v>2400</v>
      </c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</row>
    <row r="20" spans="1:39" ht="18.75" customHeight="1">
      <c r="A20" s="11"/>
      <c r="B20" s="10">
        <v>11</v>
      </c>
      <c r="C20" s="10" t="s">
        <v>294</v>
      </c>
      <c r="D20" s="10">
        <v>2</v>
      </c>
      <c r="E20" s="10">
        <v>3</v>
      </c>
      <c r="F20" s="10">
        <v>1</v>
      </c>
      <c r="G20" s="10"/>
      <c r="H20" s="10">
        <v>150</v>
      </c>
      <c r="I20" s="10">
        <v>140</v>
      </c>
      <c r="J20" s="10">
        <v>180</v>
      </c>
      <c r="K20" s="10">
        <v>2900</v>
      </c>
      <c r="L20" s="10">
        <v>2700</v>
      </c>
      <c r="M20" s="10">
        <v>3200</v>
      </c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</row>
    <row r="21" spans="1:39" ht="18.75" customHeight="1">
      <c r="A21" s="11"/>
      <c r="B21" s="10">
        <v>12</v>
      </c>
      <c r="C21" s="10" t="s">
        <v>295</v>
      </c>
      <c r="D21" s="10">
        <v>3</v>
      </c>
      <c r="E21" s="10">
        <v>3</v>
      </c>
      <c r="F21" s="10">
        <v>1</v>
      </c>
      <c r="G21" s="10"/>
      <c r="H21" s="10">
        <v>200</v>
      </c>
      <c r="I21" s="10">
        <v>180</v>
      </c>
      <c r="J21" s="10">
        <v>150</v>
      </c>
      <c r="K21" s="10">
        <v>3400</v>
      </c>
      <c r="L21" s="10">
        <v>3200</v>
      </c>
      <c r="M21" s="10">
        <v>2900</v>
      </c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</row>
    <row r="22" spans="1:39" ht="18.75" customHeight="1">
      <c r="A22" s="11"/>
      <c r="B22" s="10">
        <v>13</v>
      </c>
      <c r="C22" s="10" t="s">
        <v>296</v>
      </c>
      <c r="D22" s="10">
        <v>1</v>
      </c>
      <c r="E22" s="10">
        <v>3</v>
      </c>
      <c r="F22" s="10">
        <v>1</v>
      </c>
      <c r="G22" s="10"/>
      <c r="H22" s="10">
        <v>120</v>
      </c>
      <c r="I22" s="10">
        <v>180</v>
      </c>
      <c r="J22" s="10">
        <v>80</v>
      </c>
      <c r="K22" s="10">
        <v>2600</v>
      </c>
      <c r="L22" s="10">
        <v>3200</v>
      </c>
      <c r="M22" s="10">
        <v>1900</v>
      </c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</row>
    <row r="23" spans="1:39" ht="18.75" customHeight="1">
      <c r="A23" s="11"/>
      <c r="B23" s="10">
        <v>14</v>
      </c>
      <c r="C23" s="10" t="s">
        <v>297</v>
      </c>
      <c r="D23" s="10">
        <v>2</v>
      </c>
      <c r="E23" s="10">
        <v>3</v>
      </c>
      <c r="F23" s="10">
        <v>1</v>
      </c>
      <c r="G23" s="10"/>
      <c r="H23" s="10">
        <v>130</v>
      </c>
      <c r="I23" s="10">
        <v>120</v>
      </c>
      <c r="J23" s="10">
        <v>170</v>
      </c>
      <c r="K23" s="10">
        <v>2800</v>
      </c>
      <c r="L23" s="10">
        <v>2600</v>
      </c>
      <c r="M23" s="10">
        <v>3100</v>
      </c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</row>
    <row r="24" spans="1:39" ht="18.75" customHeight="1">
      <c r="A24" s="11"/>
      <c r="B24" s="10">
        <v>15</v>
      </c>
      <c r="C24" s="10" t="s">
        <v>298</v>
      </c>
      <c r="D24" s="10">
        <v>3</v>
      </c>
      <c r="E24" s="10">
        <v>3</v>
      </c>
      <c r="F24" s="10">
        <v>1</v>
      </c>
      <c r="G24" s="10"/>
      <c r="H24" s="10">
        <v>180</v>
      </c>
      <c r="I24" s="10">
        <v>140</v>
      </c>
      <c r="J24" s="10">
        <v>120</v>
      </c>
      <c r="K24" s="10">
        <v>3200</v>
      </c>
      <c r="L24" s="10">
        <v>2700</v>
      </c>
      <c r="M24" s="10">
        <v>2600</v>
      </c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</row>
    <row r="25" spans="1:39" ht="18.75" customHeight="1">
      <c r="A25" s="11"/>
      <c r="B25" s="10">
        <v>16</v>
      </c>
      <c r="C25" s="10" t="s">
        <v>299</v>
      </c>
      <c r="D25" s="10">
        <v>1</v>
      </c>
      <c r="E25" s="10">
        <v>3</v>
      </c>
      <c r="F25" s="10">
        <v>1</v>
      </c>
      <c r="G25" s="10"/>
      <c r="H25" s="10">
        <v>160</v>
      </c>
      <c r="I25" s="10">
        <v>180</v>
      </c>
      <c r="J25" s="10">
        <v>100</v>
      </c>
      <c r="K25" s="10">
        <v>3000</v>
      </c>
      <c r="L25" s="10">
        <v>3200</v>
      </c>
      <c r="M25" s="10">
        <v>2400</v>
      </c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</row>
    <row r="26" spans="1:39" ht="18.75" customHeight="1">
      <c r="A26" s="11"/>
      <c r="B26" s="10">
        <v>17</v>
      </c>
      <c r="C26" s="10" t="s">
        <v>300</v>
      </c>
      <c r="D26" s="10">
        <v>2</v>
      </c>
      <c r="E26" s="10">
        <v>3</v>
      </c>
      <c r="F26" s="10">
        <v>1</v>
      </c>
      <c r="G26" s="10"/>
      <c r="H26" s="10">
        <v>150</v>
      </c>
      <c r="I26" s="10">
        <v>140</v>
      </c>
      <c r="J26" s="10">
        <v>180</v>
      </c>
      <c r="K26" s="10">
        <v>2900</v>
      </c>
      <c r="L26" s="10">
        <v>2700</v>
      </c>
      <c r="M26" s="10">
        <v>3200</v>
      </c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</row>
    <row r="27" spans="1:39" ht="18.75" customHeight="1">
      <c r="A27" s="11"/>
      <c r="B27" s="10">
        <v>18</v>
      </c>
      <c r="C27" s="10" t="s">
        <v>301</v>
      </c>
      <c r="D27" s="10">
        <v>3</v>
      </c>
      <c r="E27" s="10">
        <v>3</v>
      </c>
      <c r="F27" s="10">
        <v>1</v>
      </c>
      <c r="G27" s="10"/>
      <c r="H27" s="10">
        <v>200</v>
      </c>
      <c r="I27" s="10">
        <v>180</v>
      </c>
      <c r="J27" s="10">
        <v>150</v>
      </c>
      <c r="K27" s="10">
        <v>3400</v>
      </c>
      <c r="L27" s="10">
        <v>3200</v>
      </c>
      <c r="M27" s="10">
        <v>2900</v>
      </c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</row>
    <row r="28" spans="1:39" ht="18.75" customHeight="1">
      <c r="A28" s="11"/>
      <c r="B28" s="10">
        <v>19</v>
      </c>
      <c r="C28" s="10" t="s">
        <v>302</v>
      </c>
      <c r="D28" s="10">
        <v>4</v>
      </c>
      <c r="E28" s="10">
        <v>4</v>
      </c>
      <c r="F28" s="10">
        <v>1</v>
      </c>
      <c r="G28" s="10"/>
      <c r="H28" s="10">
        <v>150</v>
      </c>
      <c r="I28" s="10">
        <v>140</v>
      </c>
      <c r="J28" s="10">
        <v>180</v>
      </c>
      <c r="K28" s="10">
        <v>2900</v>
      </c>
      <c r="L28" s="10">
        <v>2700</v>
      </c>
      <c r="M28" s="10">
        <v>3200</v>
      </c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</row>
    <row r="29" spans="1:39" ht="18.75" customHeight="1">
      <c r="A29" s="11"/>
      <c r="B29" s="10">
        <v>20</v>
      </c>
      <c r="C29" s="10" t="s">
        <v>303</v>
      </c>
      <c r="D29" s="10">
        <v>5</v>
      </c>
      <c r="E29" s="10">
        <v>4</v>
      </c>
      <c r="F29" s="10">
        <v>1</v>
      </c>
      <c r="G29" s="10"/>
      <c r="H29" s="10">
        <v>200</v>
      </c>
      <c r="I29" s="10">
        <v>180</v>
      </c>
      <c r="J29" s="10">
        <v>150</v>
      </c>
      <c r="K29" s="10">
        <v>3400</v>
      </c>
      <c r="L29" s="10">
        <v>3200</v>
      </c>
      <c r="M29" s="10">
        <v>2900</v>
      </c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</row>
    <row r="30" spans="1:39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</row>
    <row r="31" spans="1:39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</row>
    <row r="32" spans="1:39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</row>
    <row r="33" spans="1:39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</row>
    <row r="34" spans="1:39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</row>
    <row r="35" spans="1:39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</row>
    <row r="36" spans="1:39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</row>
    <row r="37" spans="1:39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</row>
    <row r="38" spans="1:39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</row>
    <row r="39" spans="1:39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</row>
    <row r="40" spans="1:39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</row>
    <row r="41" spans="1:39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</row>
    <row r="42" spans="1:39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</row>
    <row r="43" spans="1:39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</row>
    <row r="44" spans="1:39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</row>
    <row r="45" spans="1:39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</row>
    <row r="46" spans="1:39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</row>
    <row r="47" spans="1:39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</row>
    <row r="48" spans="1:39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M7" xr:uid="{B7BB8E16-47A5-384F-83B6-7EB44EDEBF9C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355600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3D70-D9A3-994F-838B-5917287B129D}">
  <sheetPr codeName="Sheet3"/>
  <dimension ref="A1:AL1000"/>
  <sheetViews>
    <sheetView workbookViewId="0">
      <selection activeCell="F10" sqref="F10"/>
    </sheetView>
  </sheetViews>
  <sheetFormatPr baseColWidth="10" defaultColWidth="12.6640625" defaultRowHeight="15" customHeight="1"/>
  <cols>
    <col min="1" max="1" width="7.6640625" customWidth="1"/>
    <col min="2" max="2" width="17" customWidth="1"/>
    <col min="3" max="3" width="12.6640625" customWidth="1"/>
    <col min="4" max="4" width="14.5" customWidth="1"/>
    <col min="5" max="38" width="12.6640625" customWidth="1"/>
  </cols>
  <sheetData>
    <row r="1" spans="1:38" ht="12" customHeight="1"/>
    <row r="2" spans="1:38" ht="40.5" customHeight="1">
      <c r="A2" s="1" t="s">
        <v>0</v>
      </c>
      <c r="B2" s="2" t="s">
        <v>138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139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140</v>
      </c>
      <c r="D8" s="7"/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</v>
      </c>
      <c r="C10" s="10" t="s">
        <v>143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B7AE9230-93DF-4447-A32F-272DDEBA5417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355600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173F-F2D8-7445-AADA-82D4546830F6}">
  <sheetPr codeName="Sheet4"/>
  <dimension ref="A1:AJ1000"/>
  <sheetViews>
    <sheetView workbookViewId="0">
      <selection activeCell="N11" sqref="N11"/>
    </sheetView>
  </sheetViews>
  <sheetFormatPr baseColWidth="10" defaultColWidth="12.6640625" defaultRowHeight="15" customHeight="1"/>
  <cols>
    <col min="1" max="1" width="7.6640625" customWidth="1"/>
    <col min="2" max="3" width="17" customWidth="1"/>
    <col min="4" max="13" width="12.6640625" customWidth="1"/>
    <col min="14" max="14" width="19" customWidth="1"/>
    <col min="15" max="36" width="12.6640625" customWidth="1"/>
  </cols>
  <sheetData>
    <row r="1" spans="1:36" ht="12" customHeight="1"/>
    <row r="2" spans="1:36" ht="40.5" customHeight="1">
      <c r="A2" s="1" t="s">
        <v>0</v>
      </c>
      <c r="B2" s="2" t="s">
        <v>146</v>
      </c>
      <c r="G2" s="12"/>
    </row>
    <row r="3" spans="1:36" ht="18.75" customHeight="1">
      <c r="A3" s="3"/>
      <c r="B3" s="3" t="s">
        <v>2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</row>
    <row r="4" spans="1:36" ht="18.75" customHeight="1">
      <c r="A4" s="1" t="s">
        <v>3</v>
      </c>
      <c r="B4" s="5" t="s">
        <v>4</v>
      </c>
      <c r="C4" s="5" t="s">
        <v>147</v>
      </c>
      <c r="D4" s="5" t="s">
        <v>261</v>
      </c>
      <c r="E4" s="5" t="s">
        <v>149</v>
      </c>
      <c r="F4" s="5"/>
      <c r="G4" s="5"/>
      <c r="H4" s="5"/>
      <c r="I4" s="5"/>
      <c r="J4" s="5"/>
      <c r="K4" s="5"/>
      <c r="L4" s="5"/>
      <c r="M4" s="5"/>
      <c r="N4" s="5" t="s">
        <v>157</v>
      </c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6" ht="18.75" customHeight="1">
      <c r="A5" s="1" t="s">
        <v>19</v>
      </c>
      <c r="B5" s="5"/>
      <c r="C5" s="5"/>
      <c r="D5" s="5"/>
      <c r="E5" s="5">
        <v>1</v>
      </c>
      <c r="F5" s="5"/>
      <c r="G5" s="5"/>
      <c r="H5" s="5">
        <v>2</v>
      </c>
      <c r="I5" s="5"/>
      <c r="J5" s="5"/>
      <c r="K5" s="5">
        <v>3</v>
      </c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</row>
    <row r="6" spans="1:36" ht="18.75" customHeight="1">
      <c r="A6" s="1" t="s">
        <v>25</v>
      </c>
      <c r="B6" s="5"/>
      <c r="C6" s="5"/>
      <c r="D6" s="5"/>
      <c r="E6" s="5" t="s">
        <v>150</v>
      </c>
      <c r="F6" s="5" t="s">
        <v>152</v>
      </c>
      <c r="G6" s="5" t="s">
        <v>154</v>
      </c>
      <c r="H6" s="5" t="s">
        <v>150</v>
      </c>
      <c r="I6" s="5" t="s">
        <v>152</v>
      </c>
      <c r="J6" s="5" t="s">
        <v>154</v>
      </c>
      <c r="K6" s="5" t="s">
        <v>150</v>
      </c>
      <c r="L6" s="5" t="s">
        <v>152</v>
      </c>
      <c r="M6" s="5" t="s">
        <v>154</v>
      </c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</row>
    <row r="7" spans="1:36" ht="18.75" customHeight="1">
      <c r="A7" s="1" t="s">
        <v>32</v>
      </c>
      <c r="B7" s="6" t="s">
        <v>33</v>
      </c>
      <c r="C7" s="6" t="s">
        <v>33</v>
      </c>
      <c r="D7" s="6" t="s">
        <v>262</v>
      </c>
      <c r="E7" s="6" t="s">
        <v>33</v>
      </c>
      <c r="F7" s="6" t="s">
        <v>33</v>
      </c>
      <c r="G7" s="6" t="s">
        <v>141</v>
      </c>
      <c r="H7" s="6" t="s">
        <v>33</v>
      </c>
      <c r="I7" s="6" t="s">
        <v>33</v>
      </c>
      <c r="J7" s="6" t="s">
        <v>141</v>
      </c>
      <c r="K7" s="6" t="s">
        <v>33</v>
      </c>
      <c r="L7" s="6" t="s">
        <v>33</v>
      </c>
      <c r="M7" s="6" t="s">
        <v>141</v>
      </c>
      <c r="N7" s="6" t="s">
        <v>33</v>
      </c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</row>
    <row r="8" spans="1:36" ht="76.5" customHeight="1">
      <c r="A8" s="1" t="s">
        <v>37</v>
      </c>
      <c r="B8" s="7" t="s">
        <v>38</v>
      </c>
      <c r="C8" s="7" t="s">
        <v>148</v>
      </c>
      <c r="D8" s="7" t="s">
        <v>263</v>
      </c>
      <c r="E8" s="7" t="s">
        <v>151</v>
      </c>
      <c r="F8" s="8" t="s">
        <v>153</v>
      </c>
      <c r="G8" s="8" t="s">
        <v>155</v>
      </c>
      <c r="H8" s="7" t="s">
        <v>156</v>
      </c>
      <c r="I8" s="8" t="s">
        <v>153</v>
      </c>
      <c r="J8" s="8" t="s">
        <v>155</v>
      </c>
      <c r="K8" s="7" t="s">
        <v>156</v>
      </c>
      <c r="L8" s="8" t="s">
        <v>153</v>
      </c>
      <c r="M8" s="8" t="s">
        <v>155</v>
      </c>
      <c r="N8" s="7" t="s">
        <v>158</v>
      </c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8"/>
      <c r="AA8" s="8"/>
      <c r="AB8" s="7"/>
      <c r="AC8" s="7"/>
      <c r="AD8" s="7"/>
      <c r="AE8" s="7"/>
      <c r="AF8" s="7"/>
      <c r="AG8" s="7"/>
      <c r="AH8" s="7"/>
      <c r="AI8" s="7"/>
      <c r="AJ8" s="7"/>
    </row>
    <row r="9" spans="1:36" ht="132" customHeight="1">
      <c r="A9" s="1" t="s">
        <v>64</v>
      </c>
      <c r="B9" s="7"/>
      <c r="C9" s="8"/>
      <c r="D9" s="8"/>
      <c r="E9" s="8"/>
      <c r="F9" s="8"/>
      <c r="G9" s="7"/>
      <c r="H9" s="7"/>
      <c r="I9" s="7"/>
      <c r="J9" s="7"/>
      <c r="K9" s="8"/>
      <c r="L9" s="7"/>
      <c r="M9" s="7"/>
      <c r="N9" s="7"/>
      <c r="O9" s="7"/>
      <c r="P9" s="8"/>
      <c r="Q9" s="8"/>
      <c r="R9" s="8"/>
      <c r="S9" s="8"/>
      <c r="T9" s="8"/>
      <c r="U9" s="8"/>
      <c r="V9" s="8"/>
      <c r="W9" s="8"/>
      <c r="X9" s="7"/>
      <c r="Y9" s="7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</row>
    <row r="10" spans="1:36" ht="18.75" customHeight="1">
      <c r="A10" s="9" t="s">
        <v>70</v>
      </c>
      <c r="B10" s="10">
        <v>1</v>
      </c>
      <c r="C10" s="10">
        <v>1</v>
      </c>
      <c r="D10" s="10" t="s">
        <v>264</v>
      </c>
      <c r="E10" s="10">
        <v>1</v>
      </c>
      <c r="F10" s="10">
        <v>1</v>
      </c>
      <c r="G10" s="10">
        <v>5</v>
      </c>
      <c r="H10" s="10"/>
      <c r="I10" s="10"/>
      <c r="J10" s="10"/>
      <c r="K10" s="10"/>
      <c r="L10" s="10"/>
      <c r="M10" s="10"/>
      <c r="N10" s="10">
        <v>1</v>
      </c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</row>
    <row r="11" spans="1:36" ht="18.75" customHeight="1">
      <c r="A11" s="9"/>
      <c r="B11" s="10">
        <v>2</v>
      </c>
      <c r="C11" s="10">
        <v>1</v>
      </c>
      <c r="D11" s="10" t="s">
        <v>264</v>
      </c>
      <c r="E11" s="10">
        <v>1</v>
      </c>
      <c r="F11" s="10">
        <v>1</v>
      </c>
      <c r="G11" s="10">
        <v>50</v>
      </c>
      <c r="H11" s="10"/>
      <c r="I11" s="10"/>
      <c r="J11" s="10"/>
      <c r="K11" s="10"/>
      <c r="L11" s="10"/>
      <c r="M11" s="10"/>
      <c r="N11" s="10">
        <v>10</v>
      </c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</row>
    <row r="12" spans="1:36" ht="18.75" customHeight="1">
      <c r="A12" s="11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</row>
    <row r="13" spans="1:36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</row>
    <row r="14" spans="1:36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</row>
    <row r="15" spans="1:36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</row>
    <row r="16" spans="1:36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</row>
    <row r="17" spans="1:36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</row>
    <row r="18" spans="1:36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</row>
    <row r="19" spans="1:36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</row>
    <row r="20" spans="1:36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</row>
    <row r="21" spans="1:36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</row>
    <row r="22" spans="1:36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</row>
    <row r="23" spans="1:36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</row>
    <row r="24" spans="1:36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</row>
    <row r="25" spans="1:36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</row>
    <row r="26" spans="1:36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</row>
    <row r="27" spans="1:36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</row>
    <row r="28" spans="1:36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</row>
    <row r="29" spans="1:36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</row>
    <row r="30" spans="1:36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</row>
    <row r="31" spans="1:36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</row>
    <row r="32" spans="1:36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</row>
    <row r="33" spans="1:36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</row>
    <row r="34" spans="1:36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</row>
    <row r="35" spans="1:36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</row>
    <row r="36" spans="1:36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</row>
    <row r="37" spans="1:36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</row>
    <row r="38" spans="1:36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</row>
    <row r="39" spans="1:36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</row>
    <row r="40" spans="1:36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</row>
    <row r="41" spans="1:36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</row>
    <row r="42" spans="1:36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</row>
    <row r="43" spans="1:36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</row>
    <row r="44" spans="1:36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</row>
    <row r="45" spans="1:36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</row>
    <row r="46" spans="1:36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</row>
    <row r="47" spans="1:36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</row>
    <row r="48" spans="1:36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J7" xr:uid="{E3C787D7-1CFB-BE47-9EC9-39D2E4F254B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3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CDAD-EBC7-F048-B3B5-E4E8EAEEE9CF}">
  <sheetPr codeName="Sheet5"/>
  <dimension ref="A1:AL1000"/>
  <sheetViews>
    <sheetView workbookViewId="0">
      <selection activeCell="F9" sqref="F9"/>
    </sheetView>
  </sheetViews>
  <sheetFormatPr baseColWidth="10" defaultColWidth="12.6640625" defaultRowHeight="15" customHeight="1"/>
  <cols>
    <col min="1" max="1" width="7.6640625" customWidth="1"/>
    <col min="2" max="2" width="17" customWidth="1"/>
    <col min="3" max="3" width="12.6640625" customWidth="1"/>
    <col min="4" max="4" width="20" customWidth="1"/>
    <col min="5" max="38" width="12.6640625" customWidth="1"/>
  </cols>
  <sheetData>
    <row r="1" spans="1:38" ht="12" customHeight="1"/>
    <row r="2" spans="1:38" ht="40.5" customHeight="1">
      <c r="A2" s="1" t="s">
        <v>0</v>
      </c>
      <c r="B2" s="2" t="s">
        <v>166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 t="s">
        <v>162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 t="s">
        <v>34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159</v>
      </c>
      <c r="D8" s="7" t="s">
        <v>163</v>
      </c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</v>
      </c>
      <c r="C10" s="10" t="s">
        <v>160</v>
      </c>
      <c r="D10" s="10" t="s">
        <v>164</v>
      </c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2</v>
      </c>
      <c r="C11" s="10" t="s">
        <v>161</v>
      </c>
      <c r="D11" s="10" t="s">
        <v>165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97D77F06-8E8E-6144-8E02-2D25B222DCC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355600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51B4-E5E3-E747-817B-709DE91ECD08}">
  <sheetPr codeName="Sheet6"/>
  <dimension ref="A1:AL1000"/>
  <sheetViews>
    <sheetView workbookViewId="0">
      <selection activeCell="H10" sqref="H10"/>
    </sheetView>
  </sheetViews>
  <sheetFormatPr baseColWidth="10" defaultColWidth="12.6640625" defaultRowHeight="15" customHeight="1"/>
  <cols>
    <col min="1" max="1" width="7.6640625" customWidth="1"/>
    <col min="2" max="2" width="17" customWidth="1"/>
    <col min="3" max="3" width="19" customWidth="1"/>
    <col min="4" max="4" width="14.5" customWidth="1"/>
    <col min="5" max="38" width="12.6640625" customWidth="1"/>
  </cols>
  <sheetData>
    <row r="1" spans="1:38" ht="12" customHeight="1"/>
    <row r="2" spans="1:38" ht="40.5" customHeight="1">
      <c r="A2" s="1" t="s">
        <v>0</v>
      </c>
      <c r="B2" s="2" t="s">
        <v>167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 t="s">
        <v>169</v>
      </c>
      <c r="E4" s="5" t="s">
        <v>177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>
        <v>1</v>
      </c>
      <c r="F5" s="5"/>
      <c r="G5" s="5"/>
      <c r="H5" s="5">
        <v>2</v>
      </c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 t="s">
        <v>150</v>
      </c>
      <c r="F6" s="5" t="s">
        <v>152</v>
      </c>
      <c r="G6" s="5" t="s">
        <v>154</v>
      </c>
      <c r="H6" s="5" t="s">
        <v>150</v>
      </c>
      <c r="I6" s="5" t="s">
        <v>152</v>
      </c>
      <c r="J6" s="5" t="s">
        <v>154</v>
      </c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 t="s">
        <v>141</v>
      </c>
      <c r="E7" s="6" t="s">
        <v>141</v>
      </c>
      <c r="F7" s="6" t="s">
        <v>141</v>
      </c>
      <c r="G7" s="6" t="s">
        <v>141</v>
      </c>
      <c r="H7" s="6" t="s">
        <v>141</v>
      </c>
      <c r="I7" s="6" t="s">
        <v>141</v>
      </c>
      <c r="J7" s="6" t="s">
        <v>141</v>
      </c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168</v>
      </c>
      <c r="D8" s="7" t="s">
        <v>170</v>
      </c>
      <c r="E8" s="8" t="s">
        <v>178</v>
      </c>
      <c r="F8" s="8" t="s">
        <v>153</v>
      </c>
      <c r="G8" s="8" t="s">
        <v>155</v>
      </c>
      <c r="H8" s="8" t="s">
        <v>178</v>
      </c>
      <c r="I8" s="8" t="s">
        <v>153</v>
      </c>
      <c r="J8" s="8" t="s">
        <v>155</v>
      </c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13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</v>
      </c>
      <c r="C10" s="10" t="s">
        <v>171</v>
      </c>
      <c r="D10" s="10">
        <v>1</v>
      </c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2</v>
      </c>
      <c r="C11" s="10" t="s">
        <v>172</v>
      </c>
      <c r="D11" s="10">
        <v>1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3</v>
      </c>
      <c r="C12" s="10" t="s">
        <v>173</v>
      </c>
      <c r="D12" s="10">
        <v>1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 t="s">
        <v>174</v>
      </c>
      <c r="D13" s="10">
        <v>1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>
        <v>5</v>
      </c>
      <c r="C14" s="10" t="s">
        <v>175</v>
      </c>
      <c r="D14" s="10">
        <v>1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 t="s">
        <v>176</v>
      </c>
      <c r="D15" s="10">
        <v>1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7091C0FF-2208-2A48-B37F-3EA90ED8FE1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355600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7490-75E6-C449-80C9-04E4E204B903}">
  <sheetPr codeName="Sheet7"/>
  <dimension ref="A1:AL1000"/>
  <sheetViews>
    <sheetView workbookViewId="0">
      <selection activeCell="A9" sqref="A9:XFD9"/>
    </sheetView>
  </sheetViews>
  <sheetFormatPr baseColWidth="10" defaultColWidth="12.6640625" defaultRowHeight="15" customHeight="1"/>
  <cols>
    <col min="1" max="1" width="7.6640625" customWidth="1"/>
    <col min="2" max="3" width="17" customWidth="1"/>
    <col min="4" max="4" width="19" customWidth="1"/>
    <col min="5" max="5" width="15.33203125" customWidth="1"/>
    <col min="6" max="10" width="12.6640625" customWidth="1"/>
    <col min="11" max="11" width="13.6640625" customWidth="1"/>
    <col min="12" max="38" width="12.6640625" customWidth="1"/>
  </cols>
  <sheetData>
    <row r="1" spans="1:38" ht="12" customHeight="1"/>
    <row r="2" spans="1:38" ht="40.5" customHeight="1">
      <c r="A2" s="1" t="s">
        <v>0</v>
      </c>
      <c r="B2" s="2" t="s">
        <v>179</v>
      </c>
      <c r="C2" s="14"/>
      <c r="I2" s="12"/>
      <c r="O2" s="12"/>
    </row>
    <row r="3" spans="1:38" ht="18.75" customHeight="1">
      <c r="A3" s="3"/>
      <c r="B3" s="3" t="s">
        <v>2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180</v>
      </c>
      <c r="D4" s="5" t="s">
        <v>128</v>
      </c>
      <c r="E4" s="5" t="s">
        <v>183</v>
      </c>
      <c r="F4" s="5"/>
      <c r="G4" s="5"/>
      <c r="H4" s="5"/>
      <c r="I4" s="5"/>
      <c r="J4" s="5"/>
      <c r="K4" s="5" t="s">
        <v>184</v>
      </c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>
        <v>1</v>
      </c>
      <c r="F5" s="5"/>
      <c r="G5" s="5"/>
      <c r="H5" s="5">
        <v>2</v>
      </c>
      <c r="I5" s="5"/>
      <c r="J5" s="5"/>
      <c r="K5" s="5">
        <v>1</v>
      </c>
      <c r="L5" s="5"/>
      <c r="M5" s="5"/>
      <c r="N5" s="5">
        <v>2</v>
      </c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 t="s">
        <v>150</v>
      </c>
      <c r="F6" s="5" t="s">
        <v>152</v>
      </c>
      <c r="G6" s="5" t="s">
        <v>154</v>
      </c>
      <c r="H6" s="5" t="s">
        <v>150</v>
      </c>
      <c r="I6" s="5" t="s">
        <v>152</v>
      </c>
      <c r="J6" s="5" t="s">
        <v>154</v>
      </c>
      <c r="K6" s="5" t="s">
        <v>150</v>
      </c>
      <c r="L6" s="5" t="s">
        <v>152</v>
      </c>
      <c r="M6" s="5" t="s">
        <v>154</v>
      </c>
      <c r="N6" s="5" t="s">
        <v>150</v>
      </c>
      <c r="O6" s="5" t="s">
        <v>152</v>
      </c>
      <c r="P6" s="5" t="s">
        <v>154</v>
      </c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34</v>
      </c>
      <c r="E7" s="6" t="s">
        <v>141</v>
      </c>
      <c r="F7" s="6" t="s">
        <v>141</v>
      </c>
      <c r="G7" s="6" t="s">
        <v>141</v>
      </c>
      <c r="H7" s="6" t="s">
        <v>141</v>
      </c>
      <c r="I7" s="6" t="s">
        <v>141</v>
      </c>
      <c r="J7" s="6" t="s">
        <v>141</v>
      </c>
      <c r="K7" s="6" t="s">
        <v>141</v>
      </c>
      <c r="L7" s="6" t="s">
        <v>141</v>
      </c>
      <c r="M7" s="6" t="s">
        <v>141</v>
      </c>
      <c r="N7" s="6" t="s">
        <v>141</v>
      </c>
      <c r="O7" s="6" t="s">
        <v>141</v>
      </c>
      <c r="P7" s="6" t="s">
        <v>141</v>
      </c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181</v>
      </c>
      <c r="D8" s="7" t="s">
        <v>182</v>
      </c>
      <c r="E8" s="8" t="s">
        <v>178</v>
      </c>
      <c r="F8" s="8" t="s">
        <v>153</v>
      </c>
      <c r="G8" s="8" t="s">
        <v>155</v>
      </c>
      <c r="H8" s="8" t="s">
        <v>178</v>
      </c>
      <c r="I8" s="8" t="s">
        <v>153</v>
      </c>
      <c r="J8" s="8" t="s">
        <v>155</v>
      </c>
      <c r="K8" s="8" t="s">
        <v>178</v>
      </c>
      <c r="L8" s="8" t="s">
        <v>153</v>
      </c>
      <c r="M8" s="8" t="s">
        <v>155</v>
      </c>
      <c r="N8" s="8" t="s">
        <v>178</v>
      </c>
      <c r="O8" s="8" t="s">
        <v>153</v>
      </c>
      <c r="P8" s="8" t="s">
        <v>155</v>
      </c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7"/>
      <c r="D9" s="8"/>
      <c r="E9" s="13"/>
      <c r="F9" s="8"/>
      <c r="G9" s="8"/>
      <c r="H9" s="8"/>
      <c r="I9" s="7"/>
      <c r="J9" s="7"/>
      <c r="K9" s="13"/>
      <c r="L9" s="8"/>
      <c r="M9" s="8"/>
      <c r="N9" s="8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</v>
      </c>
      <c r="C10" s="10">
        <v>1</v>
      </c>
      <c r="D10" s="10" t="s">
        <v>185</v>
      </c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2</v>
      </c>
      <c r="C11" s="10">
        <v>2</v>
      </c>
      <c r="D11" s="10" t="s">
        <v>186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3</v>
      </c>
      <c r="C12" s="10">
        <v>2</v>
      </c>
      <c r="D12" s="10" t="s">
        <v>187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2</v>
      </c>
      <c r="D13" s="10" t="s">
        <v>188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>
        <v>5</v>
      </c>
      <c r="C14" s="10">
        <v>2</v>
      </c>
      <c r="D14" s="10" t="s">
        <v>189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2</v>
      </c>
      <c r="D15" s="10" t="s">
        <v>190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>
        <v>7</v>
      </c>
      <c r="C16" s="10">
        <v>2</v>
      </c>
      <c r="D16" s="10" t="s">
        <v>191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2</v>
      </c>
      <c r="D17" s="10" t="s">
        <v>192</v>
      </c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>
        <v>9</v>
      </c>
      <c r="C18" s="10">
        <v>2</v>
      </c>
      <c r="D18" s="10" t="s">
        <v>193</v>
      </c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2</v>
      </c>
      <c r="D19" s="10" t="s">
        <v>194</v>
      </c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>
        <v>11</v>
      </c>
      <c r="C20" s="10">
        <v>2</v>
      </c>
      <c r="D20" s="10" t="s">
        <v>195</v>
      </c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2</v>
      </c>
      <c r="D21" s="10" t="s">
        <v>196</v>
      </c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>
        <v>13</v>
      </c>
      <c r="C22" s="10">
        <v>2</v>
      </c>
      <c r="D22" s="10" t="s">
        <v>197</v>
      </c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2</v>
      </c>
      <c r="D23" s="10" t="s">
        <v>198</v>
      </c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>
        <v>15</v>
      </c>
      <c r="C24" s="10">
        <v>2</v>
      </c>
      <c r="D24" s="10" t="s">
        <v>199</v>
      </c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2</v>
      </c>
      <c r="D25" s="10" t="s">
        <v>200</v>
      </c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>
        <v>17</v>
      </c>
      <c r="C26" s="10">
        <v>3</v>
      </c>
      <c r="D26" s="10" t="s">
        <v>201</v>
      </c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3</v>
      </c>
      <c r="D27" s="10" t="s">
        <v>202</v>
      </c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>
        <v>19</v>
      </c>
      <c r="C28" s="10">
        <v>3</v>
      </c>
      <c r="D28" s="10" t="s">
        <v>203</v>
      </c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3</v>
      </c>
      <c r="D29" s="10" t="s">
        <v>204</v>
      </c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>
        <v>21</v>
      </c>
      <c r="C30" s="10">
        <v>3</v>
      </c>
      <c r="D30" s="10" t="s">
        <v>205</v>
      </c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3</v>
      </c>
      <c r="D31" s="10" t="s">
        <v>206</v>
      </c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>
        <v>23</v>
      </c>
      <c r="C32" s="10">
        <v>3</v>
      </c>
      <c r="D32" s="10" t="s">
        <v>207</v>
      </c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3</v>
      </c>
      <c r="D33" s="10" t="s">
        <v>208</v>
      </c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>
        <v>25</v>
      </c>
      <c r="C34" s="10">
        <v>3</v>
      </c>
      <c r="D34" s="10" t="s">
        <v>209</v>
      </c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3</v>
      </c>
      <c r="D35" s="10" t="s">
        <v>210</v>
      </c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>
        <v>27</v>
      </c>
      <c r="C36" s="10">
        <v>3</v>
      </c>
      <c r="D36" s="10" t="s">
        <v>211</v>
      </c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3</v>
      </c>
      <c r="D37" s="10" t="s">
        <v>212</v>
      </c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>
        <v>29</v>
      </c>
      <c r="C38" s="10">
        <v>3</v>
      </c>
      <c r="D38" s="10" t="s">
        <v>213</v>
      </c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</v>
      </c>
      <c r="D39" s="10" t="s">
        <v>214</v>
      </c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>
        <v>31</v>
      </c>
      <c r="C40" s="10">
        <v>3</v>
      </c>
      <c r="D40" s="10" t="s">
        <v>215</v>
      </c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4</v>
      </c>
      <c r="D41" s="10" t="s">
        <v>216</v>
      </c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>
        <v>33</v>
      </c>
      <c r="C42" s="10">
        <v>4</v>
      </c>
      <c r="D42" s="10" t="s">
        <v>217</v>
      </c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4</v>
      </c>
      <c r="D43" s="10" t="s">
        <v>218</v>
      </c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>
        <v>35</v>
      </c>
      <c r="C44" s="10">
        <v>4</v>
      </c>
      <c r="D44" s="10" t="s">
        <v>219</v>
      </c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4</v>
      </c>
      <c r="D45" s="10" t="s">
        <v>220</v>
      </c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>
        <v>37</v>
      </c>
      <c r="C46" s="10">
        <v>4</v>
      </c>
      <c r="D46" s="10" t="s">
        <v>221</v>
      </c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4</v>
      </c>
      <c r="D47" s="10" t="s">
        <v>222</v>
      </c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>
        <v>39</v>
      </c>
      <c r="C48" s="10">
        <v>4</v>
      </c>
      <c r="D48" s="10" t="s">
        <v>223</v>
      </c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2:4" ht="18.75" customHeight="1">
      <c r="B49" s="10">
        <v>40</v>
      </c>
      <c r="C49" s="10">
        <v>4</v>
      </c>
      <c r="D49" s="10" t="s">
        <v>224</v>
      </c>
    </row>
    <row r="50" spans="2:4" ht="18.75" customHeight="1">
      <c r="B50" s="10">
        <v>41</v>
      </c>
      <c r="C50" s="10">
        <v>4</v>
      </c>
      <c r="D50" s="10" t="s">
        <v>225</v>
      </c>
    </row>
    <row r="51" spans="2:4" ht="18.75" customHeight="1">
      <c r="B51" s="10">
        <v>42</v>
      </c>
      <c r="C51" s="10">
        <v>4</v>
      </c>
      <c r="D51" s="10" t="s">
        <v>226</v>
      </c>
    </row>
    <row r="52" spans="2:4" ht="18.75" customHeight="1">
      <c r="B52" s="10">
        <v>43</v>
      </c>
      <c r="C52" s="10">
        <v>4</v>
      </c>
      <c r="D52" s="10" t="s">
        <v>227</v>
      </c>
    </row>
    <row r="53" spans="2:4" ht="18.75" customHeight="1">
      <c r="B53" s="10">
        <v>44</v>
      </c>
      <c r="C53" s="10">
        <v>4</v>
      </c>
      <c r="D53" s="10" t="s">
        <v>228</v>
      </c>
    </row>
    <row r="54" spans="2:4" ht="18.75" customHeight="1">
      <c r="B54" s="10">
        <v>45</v>
      </c>
      <c r="C54" s="10">
        <v>4</v>
      </c>
      <c r="D54" s="10" t="s">
        <v>229</v>
      </c>
    </row>
    <row r="55" spans="2:4" ht="18.75" customHeight="1">
      <c r="B55" s="10">
        <v>46</v>
      </c>
      <c r="C55" s="10">
        <v>4</v>
      </c>
      <c r="D55" s="10" t="s">
        <v>230</v>
      </c>
    </row>
    <row r="56" spans="2:4" ht="18.75" customHeight="1">
      <c r="B56" s="10">
        <v>47</v>
      </c>
      <c r="C56" s="10">
        <v>5</v>
      </c>
      <c r="D56" s="10" t="s">
        <v>231</v>
      </c>
    </row>
    <row r="57" spans="2:4" ht="18.75" customHeight="1">
      <c r="B57" s="10">
        <v>48</v>
      </c>
      <c r="C57" s="10">
        <v>5</v>
      </c>
      <c r="D57" s="10" t="s">
        <v>232</v>
      </c>
    </row>
    <row r="58" spans="2:4" ht="18.75" customHeight="1">
      <c r="B58" s="10">
        <v>49</v>
      </c>
      <c r="C58" s="10">
        <v>5</v>
      </c>
      <c r="D58" s="10" t="s">
        <v>233</v>
      </c>
    </row>
    <row r="59" spans="2:4" ht="18.75" customHeight="1">
      <c r="B59" s="10">
        <v>50</v>
      </c>
      <c r="C59" s="10">
        <v>5</v>
      </c>
      <c r="D59" s="10" t="s">
        <v>234</v>
      </c>
    </row>
    <row r="60" spans="2:4" ht="18.75" customHeight="1">
      <c r="B60" s="10">
        <v>51</v>
      </c>
      <c r="C60" s="10">
        <v>5</v>
      </c>
      <c r="D60" s="10" t="s">
        <v>235</v>
      </c>
    </row>
    <row r="61" spans="2:4" ht="18.75" customHeight="1">
      <c r="B61" s="10">
        <v>52</v>
      </c>
      <c r="C61" s="10">
        <v>5</v>
      </c>
      <c r="D61" s="10" t="s">
        <v>236</v>
      </c>
    </row>
    <row r="62" spans="2:4" ht="18.75" customHeight="1">
      <c r="B62" s="10">
        <v>53</v>
      </c>
      <c r="C62" s="10">
        <v>5</v>
      </c>
      <c r="D62" s="10" t="s">
        <v>237</v>
      </c>
    </row>
    <row r="63" spans="2:4" ht="18.75" customHeight="1">
      <c r="B63" s="10">
        <v>54</v>
      </c>
      <c r="C63" s="10">
        <v>5</v>
      </c>
      <c r="D63" s="10" t="s">
        <v>238</v>
      </c>
    </row>
    <row r="64" spans="2:4" ht="18.75" customHeight="1">
      <c r="B64" s="10">
        <v>55</v>
      </c>
      <c r="C64" s="10">
        <v>5</v>
      </c>
      <c r="D64" s="10" t="s">
        <v>239</v>
      </c>
    </row>
    <row r="65" spans="2:4" ht="18.75" customHeight="1">
      <c r="B65" s="10">
        <v>56</v>
      </c>
      <c r="C65" s="10">
        <v>5</v>
      </c>
      <c r="D65" s="10" t="s">
        <v>240</v>
      </c>
    </row>
    <row r="66" spans="2:4" ht="18.75" customHeight="1">
      <c r="B66" s="10">
        <v>57</v>
      </c>
      <c r="C66" s="10">
        <v>5</v>
      </c>
      <c r="D66" s="10" t="s">
        <v>241</v>
      </c>
    </row>
    <row r="67" spans="2:4" ht="18.75" customHeight="1">
      <c r="B67" s="10">
        <v>58</v>
      </c>
      <c r="C67" s="10">
        <v>5</v>
      </c>
      <c r="D67" s="10" t="s">
        <v>242</v>
      </c>
    </row>
    <row r="68" spans="2:4" ht="18.75" customHeight="1">
      <c r="B68" s="10">
        <v>59</v>
      </c>
      <c r="C68" s="10">
        <v>5</v>
      </c>
      <c r="D68" s="10" t="s">
        <v>243</v>
      </c>
    </row>
    <row r="69" spans="2:4" ht="18.75" customHeight="1">
      <c r="B69" s="10">
        <v>60</v>
      </c>
      <c r="C69" s="10">
        <v>5</v>
      </c>
      <c r="D69" s="10" t="s">
        <v>244</v>
      </c>
    </row>
    <row r="70" spans="2:4" ht="18.75" customHeight="1">
      <c r="B70" s="10">
        <v>61</v>
      </c>
      <c r="C70" s="10">
        <v>5</v>
      </c>
      <c r="D70" s="10" t="s">
        <v>245</v>
      </c>
    </row>
    <row r="71" spans="2:4" ht="18.75" customHeight="1">
      <c r="B71" s="10">
        <v>62</v>
      </c>
      <c r="C71" s="10">
        <v>6</v>
      </c>
      <c r="D71" s="10" t="s">
        <v>246</v>
      </c>
    </row>
    <row r="72" spans="2:4" ht="18.75" customHeight="1">
      <c r="B72" s="10">
        <v>63</v>
      </c>
      <c r="C72" s="10">
        <v>6</v>
      </c>
      <c r="D72" s="10" t="s">
        <v>247</v>
      </c>
    </row>
    <row r="73" spans="2:4" ht="18.75" customHeight="1">
      <c r="B73" s="10">
        <v>64</v>
      </c>
      <c r="C73" s="10">
        <v>6</v>
      </c>
      <c r="D73" s="10" t="s">
        <v>248</v>
      </c>
    </row>
    <row r="74" spans="2:4" ht="18.75" customHeight="1">
      <c r="B74" s="10">
        <v>65</v>
      </c>
      <c r="C74" s="10">
        <v>6</v>
      </c>
      <c r="D74" s="10" t="s">
        <v>249</v>
      </c>
    </row>
    <row r="75" spans="2:4" ht="18.75" customHeight="1">
      <c r="B75" s="10">
        <v>66</v>
      </c>
      <c r="C75" s="10">
        <v>6</v>
      </c>
      <c r="D75" s="10" t="s">
        <v>250</v>
      </c>
    </row>
    <row r="76" spans="2:4" ht="18.75" customHeight="1">
      <c r="B76" s="10">
        <v>67</v>
      </c>
      <c r="C76" s="10">
        <v>6</v>
      </c>
      <c r="D76" s="10" t="s">
        <v>251</v>
      </c>
    </row>
    <row r="77" spans="2:4" ht="18.75" customHeight="1">
      <c r="B77" s="10">
        <v>68</v>
      </c>
      <c r="C77" s="10">
        <v>6</v>
      </c>
      <c r="D77" s="10" t="s">
        <v>252</v>
      </c>
    </row>
    <row r="78" spans="2:4" ht="18.75" customHeight="1">
      <c r="B78" s="10">
        <v>69</v>
      </c>
      <c r="C78" s="10">
        <v>6</v>
      </c>
      <c r="D78" s="10" t="s">
        <v>253</v>
      </c>
    </row>
    <row r="79" spans="2:4" ht="18.75" customHeight="1">
      <c r="B79" s="10">
        <v>70</v>
      </c>
      <c r="C79" s="10">
        <v>6</v>
      </c>
      <c r="D79" s="10" t="s">
        <v>254</v>
      </c>
    </row>
    <row r="80" spans="2:4" ht="18.75" customHeight="1">
      <c r="B80" s="10">
        <v>71</v>
      </c>
      <c r="C80" s="10">
        <v>6</v>
      </c>
      <c r="D80" s="10" t="s">
        <v>255</v>
      </c>
    </row>
    <row r="81" spans="2:4" ht="18.75" customHeight="1">
      <c r="B81" s="10">
        <v>72</v>
      </c>
      <c r="C81" s="10">
        <v>6</v>
      </c>
      <c r="D81" s="10" t="s">
        <v>256</v>
      </c>
    </row>
    <row r="82" spans="2:4" ht="18.75" customHeight="1">
      <c r="B82" s="10">
        <v>73</v>
      </c>
      <c r="C82" s="10">
        <v>6</v>
      </c>
      <c r="D82" s="10" t="s">
        <v>257</v>
      </c>
    </row>
    <row r="83" spans="2:4" ht="18.75" customHeight="1">
      <c r="B83" s="10">
        <v>74</v>
      </c>
      <c r="C83" s="10">
        <v>6</v>
      </c>
      <c r="D83" s="10" t="s">
        <v>258</v>
      </c>
    </row>
    <row r="84" spans="2:4" ht="18.75" customHeight="1">
      <c r="B84" s="10">
        <v>75</v>
      </c>
      <c r="C84" s="10">
        <v>6</v>
      </c>
      <c r="D84" s="10" t="s">
        <v>259</v>
      </c>
    </row>
    <row r="85" spans="2:4" ht="18.75" customHeight="1">
      <c r="B85" s="10">
        <v>76</v>
      </c>
      <c r="C85" s="10">
        <v>6</v>
      </c>
      <c r="D85" s="10" t="s">
        <v>260</v>
      </c>
    </row>
    <row r="86" spans="2:4" ht="18.75" customHeight="1"/>
    <row r="87" spans="2:4" ht="18.75" customHeight="1"/>
    <row r="88" spans="2:4" ht="18.75" customHeight="1"/>
    <row r="89" spans="2:4" ht="18.75" customHeight="1"/>
    <row r="90" spans="2:4" ht="18.75" customHeight="1"/>
    <row r="91" spans="2:4" ht="18.75" customHeight="1"/>
    <row r="92" spans="2:4" ht="18.75" customHeight="1"/>
    <row r="93" spans="2:4" ht="18.75" customHeight="1"/>
    <row r="94" spans="2:4" ht="18.75" customHeight="1"/>
    <row r="95" spans="2:4" ht="18.75" customHeight="1"/>
    <row r="96" spans="2:4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B7C1DE16-701B-DF47-9375-8B89102448D4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5</xdr:col>
                    <xdr:colOff>355600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614A1-52D0-CC42-B673-BC797EBCB407}">
  <sheetPr codeName="Sheet8"/>
  <dimension ref="A1:AL1000"/>
  <sheetViews>
    <sheetView workbookViewId="0">
      <selection activeCell="F9" sqref="F9"/>
    </sheetView>
  </sheetViews>
  <sheetFormatPr baseColWidth="10" defaultColWidth="12.6640625" defaultRowHeight="15" customHeight="1"/>
  <cols>
    <col min="1" max="1" width="7.6640625" customWidth="1"/>
    <col min="2" max="2" width="17" customWidth="1"/>
    <col min="3" max="3" width="17.33203125" customWidth="1"/>
    <col min="4" max="4" width="20" customWidth="1"/>
    <col min="5" max="38" width="12.6640625" customWidth="1"/>
  </cols>
  <sheetData>
    <row r="1" spans="1:38" ht="12" customHeight="1"/>
    <row r="2" spans="1:38" ht="40.5" customHeight="1">
      <c r="A2" s="1" t="s">
        <v>0</v>
      </c>
      <c r="B2" s="2" t="s">
        <v>265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159</v>
      </c>
      <c r="D8" s="7"/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</v>
      </c>
      <c r="C10" s="10" t="s">
        <v>266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2</v>
      </c>
      <c r="C11" s="10" t="s">
        <v>267</v>
      </c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D18402CF-7D10-4C49-A771-1584D93B23D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355600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F08D7-5FF6-A245-B6A8-81EDB976E7E5}">
  <sheetPr codeName="Sheet11"/>
  <dimension ref="A1:AL1001"/>
  <sheetViews>
    <sheetView workbookViewId="0">
      <selection activeCell="B3" sqref="B3"/>
    </sheetView>
  </sheetViews>
  <sheetFormatPr baseColWidth="10" defaultColWidth="12.6640625" defaultRowHeight="15" customHeight="1"/>
  <cols>
    <col min="1" max="1" width="7.6640625" customWidth="1"/>
    <col min="2" max="2" width="17" customWidth="1"/>
    <col min="3" max="3" width="17.33203125" customWidth="1"/>
    <col min="4" max="4" width="20" customWidth="1"/>
    <col min="5" max="5" width="17.83203125" customWidth="1"/>
    <col min="6" max="38" width="12.6640625" customWidth="1"/>
  </cols>
  <sheetData>
    <row r="1" spans="1:38" ht="12" customHeight="1"/>
    <row r="2" spans="1:38" ht="40.5" customHeight="1">
      <c r="A2" s="1" t="s">
        <v>0</v>
      </c>
      <c r="B2" s="2" t="s">
        <v>309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270</v>
      </c>
      <c r="D4" s="5" t="s">
        <v>272</v>
      </c>
      <c r="E4" s="5" t="s">
        <v>274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141</v>
      </c>
      <c r="E7" s="6" t="s">
        <v>141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271</v>
      </c>
      <c r="D8" s="8" t="s">
        <v>273</v>
      </c>
      <c r="E8" s="8" t="s">
        <v>275</v>
      </c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" customHeight="1">
      <c r="A10" s="9" t="s">
        <v>304</v>
      </c>
      <c r="B10" s="7">
        <v>1</v>
      </c>
      <c r="C10" s="8">
        <v>1</v>
      </c>
      <c r="D10" s="8">
        <v>0</v>
      </c>
      <c r="E10" s="8">
        <v>0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10</v>
      </c>
      <c r="E11" s="10">
        <f>SUM(D11)</f>
        <v>10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f>B11 + D11</f>
        <v>12</v>
      </c>
      <c r="E12" s="10">
        <f>E11+D12</f>
        <v>22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f>B12 + D12</f>
        <v>15</v>
      </c>
      <c r="E13" s="10">
        <f>E12+D13</f>
        <v>37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10">
        <f t="shared" ref="D14:D77" si="0">B13 + D13</f>
        <v>19</v>
      </c>
      <c r="E14" s="10">
        <f t="shared" ref="E14:E77" si="1">E13+D14</f>
        <v>56</v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f t="shared" si="0"/>
        <v>24</v>
      </c>
      <c r="E15" s="10">
        <f t="shared" si="1"/>
        <v>80</v>
      </c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f t="shared" si="0"/>
        <v>30</v>
      </c>
      <c r="E16" s="10">
        <f t="shared" si="1"/>
        <v>110</v>
      </c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10">
        <f t="shared" si="0"/>
        <v>37</v>
      </c>
      <c r="E17" s="10">
        <f t="shared" si="1"/>
        <v>147</v>
      </c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f t="shared" si="0"/>
        <v>45</v>
      </c>
      <c r="E18" s="10">
        <f t="shared" si="1"/>
        <v>192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f t="shared" si="0"/>
        <v>54</v>
      </c>
      <c r="E19" s="10">
        <f t="shared" si="1"/>
        <v>246</v>
      </c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f t="shared" si="0"/>
        <v>64</v>
      </c>
      <c r="E20" s="10">
        <f t="shared" si="1"/>
        <v>310</v>
      </c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10">
        <f t="shared" si="0"/>
        <v>75</v>
      </c>
      <c r="E21" s="10">
        <f t="shared" si="1"/>
        <v>385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f t="shared" si="0"/>
        <v>87</v>
      </c>
      <c r="E22" s="10">
        <f t="shared" si="1"/>
        <v>472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f t="shared" si="0"/>
        <v>100</v>
      </c>
      <c r="E23" s="10">
        <f t="shared" si="1"/>
        <v>572</v>
      </c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10">
        <f t="shared" si="0"/>
        <v>114</v>
      </c>
      <c r="E24" s="10">
        <f t="shared" si="1"/>
        <v>686</v>
      </c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f t="shared" si="0"/>
        <v>129</v>
      </c>
      <c r="E25" s="10">
        <f t="shared" si="1"/>
        <v>815</v>
      </c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f t="shared" si="0"/>
        <v>145</v>
      </c>
      <c r="E26" s="10">
        <f t="shared" si="1"/>
        <v>960</v>
      </c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f t="shared" si="0"/>
        <v>162</v>
      </c>
      <c r="E27" s="10">
        <f t="shared" si="1"/>
        <v>1122</v>
      </c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10">
        <f t="shared" si="0"/>
        <v>180</v>
      </c>
      <c r="E28" s="10">
        <f t="shared" si="1"/>
        <v>1302</v>
      </c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f t="shared" si="0"/>
        <v>199</v>
      </c>
      <c r="E29" s="10">
        <f t="shared" si="1"/>
        <v>1501</v>
      </c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f t="shared" si="0"/>
        <v>219</v>
      </c>
      <c r="E30" s="10">
        <f t="shared" si="1"/>
        <v>1720</v>
      </c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10">
        <f t="shared" si="0"/>
        <v>240</v>
      </c>
      <c r="E31" s="10">
        <f t="shared" si="1"/>
        <v>1960</v>
      </c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f t="shared" si="0"/>
        <v>262</v>
      </c>
      <c r="E32" s="10">
        <f t="shared" si="1"/>
        <v>2222</v>
      </c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f t="shared" si="0"/>
        <v>285</v>
      </c>
      <c r="E33" s="10">
        <f t="shared" si="1"/>
        <v>2507</v>
      </c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f t="shared" si="0"/>
        <v>309</v>
      </c>
      <c r="E34" s="10">
        <f t="shared" si="1"/>
        <v>2816</v>
      </c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10">
        <f t="shared" si="0"/>
        <v>334</v>
      </c>
      <c r="E35" s="10">
        <f t="shared" si="1"/>
        <v>3150</v>
      </c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f t="shared" si="0"/>
        <v>360</v>
      </c>
      <c r="E36" s="10">
        <f t="shared" si="1"/>
        <v>3510</v>
      </c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f t="shared" si="0"/>
        <v>387</v>
      </c>
      <c r="E37" s="10">
        <f t="shared" si="1"/>
        <v>3897</v>
      </c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10">
        <f t="shared" si="0"/>
        <v>415</v>
      </c>
      <c r="E38" s="10">
        <f t="shared" si="1"/>
        <v>4312</v>
      </c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f t="shared" si="0"/>
        <v>444</v>
      </c>
      <c r="E39" s="10">
        <f t="shared" si="1"/>
        <v>4756</v>
      </c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f t="shared" si="0"/>
        <v>474</v>
      </c>
      <c r="E40" s="10">
        <f t="shared" si="1"/>
        <v>5230</v>
      </c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f t="shared" si="0"/>
        <v>505</v>
      </c>
      <c r="E41" s="10">
        <f t="shared" si="1"/>
        <v>5735</v>
      </c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10">
        <f t="shared" si="0"/>
        <v>537</v>
      </c>
      <c r="E42" s="10">
        <f t="shared" si="1"/>
        <v>6272</v>
      </c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f t="shared" si="0"/>
        <v>570</v>
      </c>
      <c r="E43" s="10">
        <f t="shared" si="1"/>
        <v>6842</v>
      </c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f t="shared" si="0"/>
        <v>604</v>
      </c>
      <c r="E44" s="10">
        <f t="shared" si="1"/>
        <v>7446</v>
      </c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10">
        <f t="shared" si="0"/>
        <v>639</v>
      </c>
      <c r="E45" s="10">
        <f t="shared" si="1"/>
        <v>8085</v>
      </c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f t="shared" si="0"/>
        <v>675</v>
      </c>
      <c r="E46" s="10">
        <f t="shared" si="1"/>
        <v>8760</v>
      </c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f t="shared" si="0"/>
        <v>712</v>
      </c>
      <c r="E47" s="10">
        <f t="shared" si="1"/>
        <v>9472</v>
      </c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f t="shared" si="0"/>
        <v>750</v>
      </c>
      <c r="E48" s="10">
        <f t="shared" si="1"/>
        <v>10222</v>
      </c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10">
        <f t="shared" si="0"/>
        <v>789</v>
      </c>
      <c r="E49" s="10">
        <f t="shared" si="1"/>
        <v>11011</v>
      </c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f t="shared" si="0"/>
        <v>829</v>
      </c>
      <c r="E50" s="10">
        <f t="shared" si="1"/>
        <v>11840</v>
      </c>
    </row>
    <row r="51" spans="1:38" ht="18.75" customHeight="1">
      <c r="B51" s="10">
        <v>42</v>
      </c>
      <c r="C51" s="10">
        <v>42</v>
      </c>
      <c r="D51" s="10">
        <f t="shared" si="0"/>
        <v>870</v>
      </c>
      <c r="E51" s="10">
        <f t="shared" si="1"/>
        <v>12710</v>
      </c>
    </row>
    <row r="52" spans="1:38" ht="18.75" customHeight="1">
      <c r="B52" s="7">
        <v>43</v>
      </c>
      <c r="C52" s="10">
        <v>43</v>
      </c>
      <c r="D52" s="10">
        <f t="shared" si="0"/>
        <v>912</v>
      </c>
      <c r="E52" s="10">
        <f t="shared" si="1"/>
        <v>13622</v>
      </c>
    </row>
    <row r="53" spans="1:38" ht="18.75" customHeight="1">
      <c r="B53" s="10">
        <v>44</v>
      </c>
      <c r="C53" s="10">
        <v>44</v>
      </c>
      <c r="D53" s="10">
        <f t="shared" si="0"/>
        <v>955</v>
      </c>
      <c r="E53" s="10">
        <f t="shared" si="1"/>
        <v>14577</v>
      </c>
    </row>
    <row r="54" spans="1:38" ht="18.75" customHeight="1">
      <c r="B54" s="7">
        <v>45</v>
      </c>
      <c r="C54" s="10">
        <v>45</v>
      </c>
      <c r="D54" s="10">
        <f t="shared" si="0"/>
        <v>999</v>
      </c>
      <c r="E54" s="10">
        <f t="shared" si="1"/>
        <v>15576</v>
      </c>
    </row>
    <row r="55" spans="1:38" ht="18.75" customHeight="1">
      <c r="B55" s="10">
        <v>46</v>
      </c>
      <c r="C55" s="10">
        <v>46</v>
      </c>
      <c r="D55" s="10">
        <f t="shared" si="0"/>
        <v>1044</v>
      </c>
      <c r="E55" s="10">
        <f t="shared" si="1"/>
        <v>16620</v>
      </c>
    </row>
    <row r="56" spans="1:38" ht="18.75" customHeight="1">
      <c r="B56" s="7">
        <v>47</v>
      </c>
      <c r="C56" s="10">
        <v>47</v>
      </c>
      <c r="D56" s="10">
        <f t="shared" si="0"/>
        <v>1090</v>
      </c>
      <c r="E56" s="10">
        <f t="shared" si="1"/>
        <v>17710</v>
      </c>
    </row>
    <row r="57" spans="1:38" ht="18.75" customHeight="1">
      <c r="B57" s="10">
        <v>48</v>
      </c>
      <c r="C57" s="10">
        <v>48</v>
      </c>
      <c r="D57" s="10">
        <f t="shared" si="0"/>
        <v>1137</v>
      </c>
      <c r="E57" s="10">
        <f t="shared" si="1"/>
        <v>18847</v>
      </c>
    </row>
    <row r="58" spans="1:38" ht="18.75" customHeight="1">
      <c r="B58" s="7">
        <v>49</v>
      </c>
      <c r="C58" s="10">
        <v>49</v>
      </c>
      <c r="D58" s="10">
        <f t="shared" si="0"/>
        <v>1185</v>
      </c>
      <c r="E58" s="10">
        <f t="shared" si="1"/>
        <v>20032</v>
      </c>
    </row>
    <row r="59" spans="1:38" ht="18.75" customHeight="1">
      <c r="B59" s="10">
        <v>50</v>
      </c>
      <c r="C59" s="10">
        <v>50</v>
      </c>
      <c r="D59" s="10">
        <f t="shared" si="0"/>
        <v>1234</v>
      </c>
      <c r="E59" s="10">
        <f t="shared" si="1"/>
        <v>21266</v>
      </c>
    </row>
    <row r="60" spans="1:38" ht="18.75" customHeight="1">
      <c r="B60" s="7">
        <v>51</v>
      </c>
      <c r="C60" s="10">
        <v>51</v>
      </c>
      <c r="D60" s="10">
        <f t="shared" si="0"/>
        <v>1284</v>
      </c>
      <c r="E60" s="10">
        <f t="shared" si="1"/>
        <v>22550</v>
      </c>
    </row>
    <row r="61" spans="1:38" ht="18.75" customHeight="1">
      <c r="B61" s="10">
        <v>52</v>
      </c>
      <c r="C61" s="10">
        <v>52</v>
      </c>
      <c r="D61" s="10">
        <f t="shared" si="0"/>
        <v>1335</v>
      </c>
      <c r="E61" s="10">
        <f t="shared" si="1"/>
        <v>23885</v>
      </c>
    </row>
    <row r="62" spans="1:38" ht="18.75" customHeight="1">
      <c r="B62" s="7">
        <v>53</v>
      </c>
      <c r="C62" s="10">
        <v>53</v>
      </c>
      <c r="D62" s="10">
        <f t="shared" si="0"/>
        <v>1387</v>
      </c>
      <c r="E62" s="10">
        <f t="shared" si="1"/>
        <v>25272</v>
      </c>
    </row>
    <row r="63" spans="1:38" ht="18.75" customHeight="1">
      <c r="B63" s="10">
        <v>54</v>
      </c>
      <c r="C63" s="10">
        <v>54</v>
      </c>
      <c r="D63" s="10">
        <f t="shared" si="0"/>
        <v>1440</v>
      </c>
      <c r="E63" s="10">
        <f t="shared" si="1"/>
        <v>26712</v>
      </c>
    </row>
    <row r="64" spans="1:38" ht="18.75" customHeight="1">
      <c r="B64" s="7">
        <v>55</v>
      </c>
      <c r="C64" s="10">
        <v>55</v>
      </c>
      <c r="D64" s="10">
        <f t="shared" si="0"/>
        <v>1494</v>
      </c>
      <c r="E64" s="10">
        <f t="shared" si="1"/>
        <v>28206</v>
      </c>
    </row>
    <row r="65" spans="2:5" ht="18.75" customHeight="1">
      <c r="B65" s="10">
        <v>56</v>
      </c>
      <c r="C65" s="10">
        <v>56</v>
      </c>
      <c r="D65" s="10">
        <f t="shared" si="0"/>
        <v>1549</v>
      </c>
      <c r="E65" s="10">
        <f t="shared" si="1"/>
        <v>29755</v>
      </c>
    </row>
    <row r="66" spans="2:5" ht="18.75" customHeight="1">
      <c r="B66" s="7">
        <v>57</v>
      </c>
      <c r="C66" s="10">
        <v>57</v>
      </c>
      <c r="D66" s="10">
        <f t="shared" si="0"/>
        <v>1605</v>
      </c>
      <c r="E66" s="10">
        <f t="shared" si="1"/>
        <v>31360</v>
      </c>
    </row>
    <row r="67" spans="2:5" ht="18.75" customHeight="1">
      <c r="B67" s="10">
        <v>58</v>
      </c>
      <c r="C67" s="10">
        <v>58</v>
      </c>
      <c r="D67" s="10">
        <f t="shared" si="0"/>
        <v>1662</v>
      </c>
      <c r="E67" s="10">
        <f t="shared" si="1"/>
        <v>33022</v>
      </c>
    </row>
    <row r="68" spans="2:5" ht="18.75" customHeight="1">
      <c r="B68" s="7">
        <v>59</v>
      </c>
      <c r="C68" s="10">
        <v>59</v>
      </c>
      <c r="D68" s="10">
        <f t="shared" si="0"/>
        <v>1720</v>
      </c>
      <c r="E68" s="10">
        <f t="shared" si="1"/>
        <v>34742</v>
      </c>
    </row>
    <row r="69" spans="2:5" ht="18.75" customHeight="1">
      <c r="B69" s="10">
        <v>60</v>
      </c>
      <c r="C69" s="10">
        <v>60</v>
      </c>
      <c r="D69" s="10">
        <f t="shared" si="0"/>
        <v>1779</v>
      </c>
      <c r="E69" s="10">
        <f t="shared" si="1"/>
        <v>36521</v>
      </c>
    </row>
    <row r="70" spans="2:5" ht="18.75" customHeight="1">
      <c r="B70" s="7">
        <v>61</v>
      </c>
      <c r="C70" s="10">
        <v>61</v>
      </c>
      <c r="D70" s="10">
        <f t="shared" si="0"/>
        <v>1839</v>
      </c>
      <c r="E70" s="10">
        <f t="shared" si="1"/>
        <v>38360</v>
      </c>
    </row>
    <row r="71" spans="2:5" ht="18.75" customHeight="1">
      <c r="B71" s="10">
        <v>62</v>
      </c>
      <c r="C71" s="10">
        <v>62</v>
      </c>
      <c r="D71" s="10">
        <f t="shared" si="0"/>
        <v>1900</v>
      </c>
      <c r="E71" s="10">
        <f t="shared" si="1"/>
        <v>40260</v>
      </c>
    </row>
    <row r="72" spans="2:5" ht="18.75" customHeight="1">
      <c r="B72" s="7">
        <v>63</v>
      </c>
      <c r="C72" s="10">
        <v>63</v>
      </c>
      <c r="D72" s="10">
        <f t="shared" si="0"/>
        <v>1962</v>
      </c>
      <c r="E72" s="10">
        <f t="shared" si="1"/>
        <v>42222</v>
      </c>
    </row>
    <row r="73" spans="2:5" ht="18.75" customHeight="1">
      <c r="B73" s="10">
        <v>64</v>
      </c>
      <c r="C73" s="10">
        <v>64</v>
      </c>
      <c r="D73" s="10">
        <f t="shared" si="0"/>
        <v>2025</v>
      </c>
      <c r="E73" s="10">
        <f t="shared" si="1"/>
        <v>44247</v>
      </c>
    </row>
    <row r="74" spans="2:5" ht="18.75" customHeight="1">
      <c r="B74" s="7">
        <v>65</v>
      </c>
      <c r="C74" s="10">
        <v>65</v>
      </c>
      <c r="D74" s="10">
        <f t="shared" si="0"/>
        <v>2089</v>
      </c>
      <c r="E74" s="10">
        <f t="shared" si="1"/>
        <v>46336</v>
      </c>
    </row>
    <row r="75" spans="2:5" ht="18.75" customHeight="1">
      <c r="B75" s="10">
        <v>66</v>
      </c>
      <c r="C75" s="10">
        <v>66</v>
      </c>
      <c r="D75" s="10">
        <f t="shared" si="0"/>
        <v>2154</v>
      </c>
      <c r="E75" s="10">
        <f t="shared" si="1"/>
        <v>48490</v>
      </c>
    </row>
    <row r="76" spans="2:5" ht="18.75" customHeight="1">
      <c r="B76" s="7">
        <v>67</v>
      </c>
      <c r="C76" s="10">
        <v>67</v>
      </c>
      <c r="D76" s="10">
        <f t="shared" si="0"/>
        <v>2220</v>
      </c>
      <c r="E76" s="10">
        <f t="shared" si="1"/>
        <v>50710</v>
      </c>
    </row>
    <row r="77" spans="2:5" ht="18.75" customHeight="1">
      <c r="B77" s="10">
        <v>68</v>
      </c>
      <c r="C77" s="10">
        <v>68</v>
      </c>
      <c r="D77" s="10">
        <f t="shared" si="0"/>
        <v>2287</v>
      </c>
      <c r="E77" s="10">
        <f t="shared" si="1"/>
        <v>52997</v>
      </c>
    </row>
    <row r="78" spans="2:5" ht="18.75" customHeight="1">
      <c r="B78" s="7">
        <v>69</v>
      </c>
      <c r="C78" s="10">
        <v>69</v>
      </c>
      <c r="D78" s="10">
        <f t="shared" ref="D78:D109" si="2">B77 + D77</f>
        <v>2355</v>
      </c>
      <c r="E78" s="10">
        <f t="shared" ref="E78:E109" si="3">E77+D78</f>
        <v>55352</v>
      </c>
    </row>
    <row r="79" spans="2:5" ht="18.75" customHeight="1">
      <c r="B79" s="10">
        <v>70</v>
      </c>
      <c r="C79" s="10">
        <v>70</v>
      </c>
      <c r="D79" s="10">
        <f t="shared" si="2"/>
        <v>2424</v>
      </c>
      <c r="E79" s="10">
        <f t="shared" si="3"/>
        <v>57776</v>
      </c>
    </row>
    <row r="80" spans="2:5" ht="18.75" customHeight="1">
      <c r="B80" s="7">
        <v>71</v>
      </c>
      <c r="C80" s="10">
        <v>71</v>
      </c>
      <c r="D80" s="10">
        <f t="shared" si="2"/>
        <v>2494</v>
      </c>
      <c r="E80" s="10">
        <f t="shared" si="3"/>
        <v>60270</v>
      </c>
    </row>
    <row r="81" spans="2:5" ht="18.75" customHeight="1">
      <c r="B81" s="10">
        <v>72</v>
      </c>
      <c r="C81" s="10">
        <v>72</v>
      </c>
      <c r="D81" s="10">
        <f t="shared" si="2"/>
        <v>2565</v>
      </c>
      <c r="E81" s="10">
        <f t="shared" si="3"/>
        <v>62835</v>
      </c>
    </row>
    <row r="82" spans="2:5" ht="18.75" customHeight="1">
      <c r="B82" s="7">
        <v>73</v>
      </c>
      <c r="C82" s="10">
        <v>73</v>
      </c>
      <c r="D82" s="10">
        <f t="shared" si="2"/>
        <v>2637</v>
      </c>
      <c r="E82" s="10">
        <f t="shared" si="3"/>
        <v>65472</v>
      </c>
    </row>
    <row r="83" spans="2:5" ht="18.75" customHeight="1">
      <c r="B83" s="10">
        <v>74</v>
      </c>
      <c r="C83" s="10">
        <v>74</v>
      </c>
      <c r="D83" s="10">
        <f t="shared" si="2"/>
        <v>2710</v>
      </c>
      <c r="E83" s="10">
        <f t="shared" si="3"/>
        <v>68182</v>
      </c>
    </row>
    <row r="84" spans="2:5" ht="18.75" customHeight="1">
      <c r="B84" s="7">
        <v>75</v>
      </c>
      <c r="C84" s="10">
        <v>75</v>
      </c>
      <c r="D84" s="10">
        <f t="shared" si="2"/>
        <v>2784</v>
      </c>
      <c r="E84" s="10">
        <f t="shared" si="3"/>
        <v>70966</v>
      </c>
    </row>
    <row r="85" spans="2:5" ht="18.75" customHeight="1">
      <c r="B85" s="10">
        <v>76</v>
      </c>
      <c r="C85" s="10">
        <v>76</v>
      </c>
      <c r="D85" s="10">
        <f t="shared" si="2"/>
        <v>2859</v>
      </c>
      <c r="E85" s="10">
        <f t="shared" si="3"/>
        <v>73825</v>
      </c>
    </row>
    <row r="86" spans="2:5" ht="18.75" customHeight="1">
      <c r="B86" s="7">
        <v>77</v>
      </c>
      <c r="C86" s="10">
        <v>77</v>
      </c>
      <c r="D86" s="10">
        <f t="shared" si="2"/>
        <v>2935</v>
      </c>
      <c r="E86" s="10">
        <f t="shared" si="3"/>
        <v>76760</v>
      </c>
    </row>
    <row r="87" spans="2:5" ht="18.75" customHeight="1">
      <c r="B87" s="10">
        <v>78</v>
      </c>
      <c r="C87" s="10">
        <v>78</v>
      </c>
      <c r="D87" s="10">
        <f t="shared" si="2"/>
        <v>3012</v>
      </c>
      <c r="E87" s="10">
        <f t="shared" si="3"/>
        <v>79772</v>
      </c>
    </row>
    <row r="88" spans="2:5" ht="18.75" customHeight="1">
      <c r="B88" s="7">
        <v>79</v>
      </c>
      <c r="C88" s="10">
        <v>79</v>
      </c>
      <c r="D88" s="10">
        <f t="shared" si="2"/>
        <v>3090</v>
      </c>
      <c r="E88" s="10">
        <f t="shared" si="3"/>
        <v>82862</v>
      </c>
    </row>
    <row r="89" spans="2:5" ht="18.75" customHeight="1">
      <c r="B89" s="10">
        <v>80</v>
      </c>
      <c r="C89" s="10">
        <v>80</v>
      </c>
      <c r="D89" s="10">
        <f t="shared" si="2"/>
        <v>3169</v>
      </c>
      <c r="E89" s="10">
        <f t="shared" si="3"/>
        <v>86031</v>
      </c>
    </row>
    <row r="90" spans="2:5" ht="18.75" customHeight="1">
      <c r="B90" s="7">
        <v>81</v>
      </c>
      <c r="C90" s="10">
        <v>81</v>
      </c>
      <c r="D90" s="10">
        <f t="shared" si="2"/>
        <v>3249</v>
      </c>
      <c r="E90" s="10">
        <f t="shared" si="3"/>
        <v>89280</v>
      </c>
    </row>
    <row r="91" spans="2:5" ht="18.75" customHeight="1">
      <c r="B91" s="10">
        <v>82</v>
      </c>
      <c r="C91" s="10">
        <v>82</v>
      </c>
      <c r="D91" s="10">
        <f t="shared" si="2"/>
        <v>3330</v>
      </c>
      <c r="E91" s="10">
        <f t="shared" si="3"/>
        <v>92610</v>
      </c>
    </row>
    <row r="92" spans="2:5" ht="18.75" customHeight="1">
      <c r="B92" s="7">
        <v>83</v>
      </c>
      <c r="C92" s="10">
        <v>83</v>
      </c>
      <c r="D92" s="10">
        <f t="shared" si="2"/>
        <v>3412</v>
      </c>
      <c r="E92" s="10">
        <f t="shared" si="3"/>
        <v>96022</v>
      </c>
    </row>
    <row r="93" spans="2:5" ht="18.75" customHeight="1">
      <c r="B93" s="10">
        <v>84</v>
      </c>
      <c r="C93" s="10">
        <v>84</v>
      </c>
      <c r="D93" s="10">
        <f t="shared" si="2"/>
        <v>3495</v>
      </c>
      <c r="E93" s="10">
        <f t="shared" si="3"/>
        <v>99517</v>
      </c>
    </row>
    <row r="94" spans="2:5" ht="18.75" customHeight="1">
      <c r="B94" s="7">
        <v>85</v>
      </c>
      <c r="C94" s="10">
        <v>85</v>
      </c>
      <c r="D94" s="10">
        <f t="shared" si="2"/>
        <v>3579</v>
      </c>
      <c r="E94" s="10">
        <f t="shared" si="3"/>
        <v>103096</v>
      </c>
    </row>
    <row r="95" spans="2:5" ht="18.75" customHeight="1">
      <c r="B95" s="10">
        <v>86</v>
      </c>
      <c r="C95" s="10">
        <v>86</v>
      </c>
      <c r="D95" s="10">
        <f t="shared" si="2"/>
        <v>3664</v>
      </c>
      <c r="E95" s="10">
        <f t="shared" si="3"/>
        <v>106760</v>
      </c>
    </row>
    <row r="96" spans="2:5" ht="18.75" customHeight="1">
      <c r="B96" s="7">
        <v>87</v>
      </c>
      <c r="C96" s="10">
        <v>87</v>
      </c>
      <c r="D96" s="10">
        <f t="shared" si="2"/>
        <v>3750</v>
      </c>
      <c r="E96" s="10">
        <f t="shared" si="3"/>
        <v>110510</v>
      </c>
    </row>
    <row r="97" spans="2:5" ht="18.75" customHeight="1">
      <c r="B97" s="10">
        <v>88</v>
      </c>
      <c r="C97" s="10">
        <v>88</v>
      </c>
      <c r="D97" s="10">
        <f t="shared" si="2"/>
        <v>3837</v>
      </c>
      <c r="E97" s="10">
        <f t="shared" si="3"/>
        <v>114347</v>
      </c>
    </row>
    <row r="98" spans="2:5" ht="18.75" customHeight="1">
      <c r="B98" s="7">
        <v>89</v>
      </c>
      <c r="C98" s="10">
        <v>89</v>
      </c>
      <c r="D98" s="10">
        <f t="shared" si="2"/>
        <v>3925</v>
      </c>
      <c r="E98" s="10">
        <f t="shared" si="3"/>
        <v>118272</v>
      </c>
    </row>
    <row r="99" spans="2:5" ht="18.75" customHeight="1">
      <c r="B99" s="10">
        <v>90</v>
      </c>
      <c r="C99" s="10">
        <v>90</v>
      </c>
      <c r="D99" s="10">
        <f t="shared" si="2"/>
        <v>4014</v>
      </c>
      <c r="E99" s="10">
        <f t="shared" si="3"/>
        <v>122286</v>
      </c>
    </row>
    <row r="100" spans="2:5" ht="18.75" customHeight="1">
      <c r="B100" s="7">
        <v>91</v>
      </c>
      <c r="C100" s="10">
        <v>91</v>
      </c>
      <c r="D100" s="10">
        <f t="shared" si="2"/>
        <v>4104</v>
      </c>
      <c r="E100" s="10">
        <f t="shared" si="3"/>
        <v>126390</v>
      </c>
    </row>
    <row r="101" spans="2:5" ht="18.75" customHeight="1">
      <c r="B101" s="10">
        <v>92</v>
      </c>
      <c r="C101" s="10">
        <v>92</v>
      </c>
      <c r="D101" s="10">
        <f t="shared" si="2"/>
        <v>4195</v>
      </c>
      <c r="E101" s="10">
        <f t="shared" si="3"/>
        <v>130585</v>
      </c>
    </row>
    <row r="102" spans="2:5" ht="18.75" customHeight="1">
      <c r="B102" s="7">
        <v>93</v>
      </c>
      <c r="C102" s="10">
        <v>93</v>
      </c>
      <c r="D102" s="10">
        <f t="shared" si="2"/>
        <v>4287</v>
      </c>
      <c r="E102" s="10">
        <f t="shared" si="3"/>
        <v>134872</v>
      </c>
    </row>
    <row r="103" spans="2:5" ht="18.75" customHeight="1">
      <c r="B103" s="10">
        <v>94</v>
      </c>
      <c r="C103" s="10">
        <v>94</v>
      </c>
      <c r="D103" s="10">
        <f t="shared" si="2"/>
        <v>4380</v>
      </c>
      <c r="E103" s="10">
        <f t="shared" si="3"/>
        <v>139252</v>
      </c>
    </row>
    <row r="104" spans="2:5" ht="18.75" customHeight="1">
      <c r="B104" s="7">
        <v>95</v>
      </c>
      <c r="C104" s="10">
        <v>95</v>
      </c>
      <c r="D104" s="10">
        <f t="shared" si="2"/>
        <v>4474</v>
      </c>
      <c r="E104" s="10">
        <f t="shared" si="3"/>
        <v>143726</v>
      </c>
    </row>
    <row r="105" spans="2:5" ht="18.75" customHeight="1">
      <c r="B105" s="10">
        <v>96</v>
      </c>
      <c r="C105" s="10">
        <v>96</v>
      </c>
      <c r="D105" s="10">
        <f t="shared" si="2"/>
        <v>4569</v>
      </c>
      <c r="E105" s="10">
        <f t="shared" si="3"/>
        <v>148295</v>
      </c>
    </row>
    <row r="106" spans="2:5" ht="18.75" customHeight="1">
      <c r="B106" s="7">
        <v>97</v>
      </c>
      <c r="C106" s="10">
        <v>97</v>
      </c>
      <c r="D106" s="10">
        <f t="shared" si="2"/>
        <v>4665</v>
      </c>
      <c r="E106" s="10">
        <f t="shared" si="3"/>
        <v>152960</v>
      </c>
    </row>
    <row r="107" spans="2:5" ht="18.75" customHeight="1">
      <c r="B107" s="10">
        <v>98</v>
      </c>
      <c r="C107" s="10">
        <v>98</v>
      </c>
      <c r="D107" s="10">
        <f t="shared" si="2"/>
        <v>4762</v>
      </c>
      <c r="E107" s="10">
        <f t="shared" si="3"/>
        <v>157722</v>
      </c>
    </row>
    <row r="108" spans="2:5" ht="18.75" customHeight="1">
      <c r="B108" s="7">
        <v>99</v>
      </c>
      <c r="C108" s="10">
        <v>99</v>
      </c>
      <c r="D108" s="10">
        <f t="shared" si="2"/>
        <v>4860</v>
      </c>
      <c r="E108" s="10">
        <f t="shared" si="3"/>
        <v>162582</v>
      </c>
    </row>
    <row r="109" spans="2:5" ht="18.75" customHeight="1">
      <c r="B109" s="10">
        <v>100</v>
      </c>
      <c r="C109" s="10">
        <v>100</v>
      </c>
      <c r="D109" s="10">
        <f t="shared" si="2"/>
        <v>4959</v>
      </c>
      <c r="E109" s="10">
        <f t="shared" si="3"/>
        <v>167541</v>
      </c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FAAFDB4E-E092-4047-8192-55984355D76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355600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A766-2E7A-8F44-A5A1-5006A9471182}">
  <sheetPr codeName="Sheet10"/>
  <dimension ref="A1:AL1001"/>
  <sheetViews>
    <sheetView workbookViewId="0">
      <selection activeCell="B3" sqref="B3"/>
    </sheetView>
  </sheetViews>
  <sheetFormatPr baseColWidth="10" defaultColWidth="12.6640625" defaultRowHeight="15" customHeight="1"/>
  <cols>
    <col min="1" max="1" width="7.6640625" customWidth="1"/>
    <col min="2" max="2" width="17" customWidth="1"/>
    <col min="3" max="3" width="17.33203125" customWidth="1"/>
    <col min="4" max="4" width="20" customWidth="1"/>
    <col min="5" max="5" width="17.83203125" customWidth="1"/>
    <col min="6" max="38" width="12.6640625" customWidth="1"/>
  </cols>
  <sheetData>
    <row r="1" spans="1:38" ht="12" customHeight="1"/>
    <row r="2" spans="1:38" ht="40.5" customHeight="1">
      <c r="A2" s="1" t="s">
        <v>0</v>
      </c>
      <c r="B2" s="2" t="s">
        <v>310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305</v>
      </c>
      <c r="D4" s="5" t="s">
        <v>272</v>
      </c>
      <c r="E4" s="5" t="s">
        <v>274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141</v>
      </c>
      <c r="E7" s="6" t="s">
        <v>141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306</v>
      </c>
      <c r="D8" s="8" t="s">
        <v>308</v>
      </c>
      <c r="E8" s="8" t="s">
        <v>307</v>
      </c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" customHeight="1">
      <c r="A10" s="9" t="s">
        <v>304</v>
      </c>
      <c r="B10" s="7">
        <v>1</v>
      </c>
      <c r="C10" s="8">
        <v>1</v>
      </c>
      <c r="D10" s="8">
        <v>0</v>
      </c>
      <c r="E10" s="8">
        <v>0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10</v>
      </c>
      <c r="E11" s="10">
        <f>SUM(D11)</f>
        <v>10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f>B11 + D11</f>
        <v>12</v>
      </c>
      <c r="E12" s="10">
        <f>E11+D12</f>
        <v>22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f>B12 + D12</f>
        <v>15</v>
      </c>
      <c r="E13" s="10">
        <f>E12+D13</f>
        <v>37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10">
        <f t="shared" ref="D14:D77" si="0">B13 + D13</f>
        <v>19</v>
      </c>
      <c r="E14" s="10">
        <f t="shared" ref="E14:E77" si="1">E13+D14</f>
        <v>56</v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f t="shared" si="0"/>
        <v>24</v>
      </c>
      <c r="E15" s="10">
        <f t="shared" si="1"/>
        <v>80</v>
      </c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f t="shared" si="0"/>
        <v>30</v>
      </c>
      <c r="E16" s="10">
        <f t="shared" si="1"/>
        <v>110</v>
      </c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10">
        <f t="shared" si="0"/>
        <v>37</v>
      </c>
      <c r="E17" s="10">
        <f t="shared" si="1"/>
        <v>147</v>
      </c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f t="shared" si="0"/>
        <v>45</v>
      </c>
      <c r="E18" s="10">
        <f t="shared" si="1"/>
        <v>192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f t="shared" si="0"/>
        <v>54</v>
      </c>
      <c r="E19" s="10">
        <f t="shared" si="1"/>
        <v>246</v>
      </c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f t="shared" si="0"/>
        <v>64</v>
      </c>
      <c r="E20" s="10">
        <f t="shared" si="1"/>
        <v>310</v>
      </c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10">
        <f t="shared" si="0"/>
        <v>75</v>
      </c>
      <c r="E21" s="10">
        <f t="shared" si="1"/>
        <v>385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f t="shared" si="0"/>
        <v>87</v>
      </c>
      <c r="E22" s="10">
        <f t="shared" si="1"/>
        <v>472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f t="shared" si="0"/>
        <v>100</v>
      </c>
      <c r="E23" s="10">
        <f t="shared" si="1"/>
        <v>572</v>
      </c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10">
        <f t="shared" si="0"/>
        <v>114</v>
      </c>
      <c r="E24" s="10">
        <f t="shared" si="1"/>
        <v>686</v>
      </c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f t="shared" si="0"/>
        <v>129</v>
      </c>
      <c r="E25" s="10">
        <f t="shared" si="1"/>
        <v>815</v>
      </c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f t="shared" si="0"/>
        <v>145</v>
      </c>
      <c r="E26" s="10">
        <f t="shared" si="1"/>
        <v>960</v>
      </c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f t="shared" si="0"/>
        <v>162</v>
      </c>
      <c r="E27" s="10">
        <f t="shared" si="1"/>
        <v>1122</v>
      </c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10">
        <f t="shared" si="0"/>
        <v>180</v>
      </c>
      <c r="E28" s="10">
        <f t="shared" si="1"/>
        <v>1302</v>
      </c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f t="shared" si="0"/>
        <v>199</v>
      </c>
      <c r="E29" s="10">
        <f t="shared" si="1"/>
        <v>1501</v>
      </c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f t="shared" si="0"/>
        <v>219</v>
      </c>
      <c r="E30" s="10">
        <f t="shared" si="1"/>
        <v>1720</v>
      </c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10">
        <f t="shared" si="0"/>
        <v>240</v>
      </c>
      <c r="E31" s="10">
        <f t="shared" si="1"/>
        <v>1960</v>
      </c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f t="shared" si="0"/>
        <v>262</v>
      </c>
      <c r="E32" s="10">
        <f t="shared" si="1"/>
        <v>2222</v>
      </c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f t="shared" si="0"/>
        <v>285</v>
      </c>
      <c r="E33" s="10">
        <f t="shared" si="1"/>
        <v>2507</v>
      </c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f t="shared" si="0"/>
        <v>309</v>
      </c>
      <c r="E34" s="10">
        <f t="shared" si="1"/>
        <v>2816</v>
      </c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10">
        <f t="shared" si="0"/>
        <v>334</v>
      </c>
      <c r="E35" s="10">
        <f t="shared" si="1"/>
        <v>3150</v>
      </c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f t="shared" si="0"/>
        <v>360</v>
      </c>
      <c r="E36" s="10">
        <f t="shared" si="1"/>
        <v>3510</v>
      </c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f t="shared" si="0"/>
        <v>387</v>
      </c>
      <c r="E37" s="10">
        <f t="shared" si="1"/>
        <v>3897</v>
      </c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10">
        <f t="shared" si="0"/>
        <v>415</v>
      </c>
      <c r="E38" s="10">
        <f t="shared" si="1"/>
        <v>4312</v>
      </c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f t="shared" si="0"/>
        <v>444</v>
      </c>
      <c r="E39" s="10">
        <f t="shared" si="1"/>
        <v>4756</v>
      </c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f t="shared" si="0"/>
        <v>474</v>
      </c>
      <c r="E40" s="10">
        <f t="shared" si="1"/>
        <v>5230</v>
      </c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f t="shared" si="0"/>
        <v>505</v>
      </c>
      <c r="E41" s="10">
        <f t="shared" si="1"/>
        <v>5735</v>
      </c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10">
        <f t="shared" si="0"/>
        <v>537</v>
      </c>
      <c r="E42" s="10">
        <f t="shared" si="1"/>
        <v>6272</v>
      </c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f t="shared" si="0"/>
        <v>570</v>
      </c>
      <c r="E43" s="10">
        <f t="shared" si="1"/>
        <v>6842</v>
      </c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f t="shared" si="0"/>
        <v>604</v>
      </c>
      <c r="E44" s="10">
        <f t="shared" si="1"/>
        <v>7446</v>
      </c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10">
        <f t="shared" si="0"/>
        <v>639</v>
      </c>
      <c r="E45" s="10">
        <f t="shared" si="1"/>
        <v>8085</v>
      </c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f t="shared" si="0"/>
        <v>675</v>
      </c>
      <c r="E46" s="10">
        <f t="shared" si="1"/>
        <v>8760</v>
      </c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f t="shared" si="0"/>
        <v>712</v>
      </c>
      <c r="E47" s="10">
        <f t="shared" si="1"/>
        <v>9472</v>
      </c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f t="shared" si="0"/>
        <v>750</v>
      </c>
      <c r="E48" s="10">
        <f t="shared" si="1"/>
        <v>10222</v>
      </c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10">
        <f t="shared" si="0"/>
        <v>789</v>
      </c>
      <c r="E49" s="10">
        <f t="shared" si="1"/>
        <v>11011</v>
      </c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f t="shared" si="0"/>
        <v>829</v>
      </c>
      <c r="E50" s="10">
        <f t="shared" si="1"/>
        <v>11840</v>
      </c>
    </row>
    <row r="51" spans="1:38" ht="18.75" customHeight="1">
      <c r="B51" s="10">
        <v>42</v>
      </c>
      <c r="C51" s="10">
        <v>42</v>
      </c>
      <c r="D51" s="10">
        <f t="shared" si="0"/>
        <v>870</v>
      </c>
      <c r="E51" s="10">
        <f t="shared" si="1"/>
        <v>12710</v>
      </c>
    </row>
    <row r="52" spans="1:38" ht="18.75" customHeight="1">
      <c r="B52" s="7">
        <v>43</v>
      </c>
      <c r="C52" s="10">
        <v>43</v>
      </c>
      <c r="D52" s="10">
        <f t="shared" si="0"/>
        <v>912</v>
      </c>
      <c r="E52" s="10">
        <f t="shared" si="1"/>
        <v>13622</v>
      </c>
    </row>
    <row r="53" spans="1:38" ht="18.75" customHeight="1">
      <c r="B53" s="10">
        <v>44</v>
      </c>
      <c r="C53" s="10">
        <v>44</v>
      </c>
      <c r="D53" s="10">
        <f t="shared" si="0"/>
        <v>955</v>
      </c>
      <c r="E53" s="10">
        <f t="shared" si="1"/>
        <v>14577</v>
      </c>
    </row>
    <row r="54" spans="1:38" ht="18.75" customHeight="1">
      <c r="B54" s="7">
        <v>45</v>
      </c>
      <c r="C54" s="10">
        <v>45</v>
      </c>
      <c r="D54" s="10">
        <f t="shared" si="0"/>
        <v>999</v>
      </c>
      <c r="E54" s="10">
        <f t="shared" si="1"/>
        <v>15576</v>
      </c>
    </row>
    <row r="55" spans="1:38" ht="18.75" customHeight="1">
      <c r="B55" s="10">
        <v>46</v>
      </c>
      <c r="C55" s="10">
        <v>46</v>
      </c>
      <c r="D55" s="10">
        <f t="shared" si="0"/>
        <v>1044</v>
      </c>
      <c r="E55" s="10">
        <f t="shared" si="1"/>
        <v>16620</v>
      </c>
    </row>
    <row r="56" spans="1:38" ht="18.75" customHeight="1">
      <c r="B56" s="7">
        <v>47</v>
      </c>
      <c r="C56" s="10">
        <v>47</v>
      </c>
      <c r="D56" s="10">
        <f t="shared" si="0"/>
        <v>1090</v>
      </c>
      <c r="E56" s="10">
        <f t="shared" si="1"/>
        <v>17710</v>
      </c>
    </row>
    <row r="57" spans="1:38" ht="18.75" customHeight="1">
      <c r="B57" s="10">
        <v>48</v>
      </c>
      <c r="C57" s="10">
        <v>48</v>
      </c>
      <c r="D57" s="10">
        <f t="shared" si="0"/>
        <v>1137</v>
      </c>
      <c r="E57" s="10">
        <f t="shared" si="1"/>
        <v>18847</v>
      </c>
    </row>
    <row r="58" spans="1:38" ht="18.75" customHeight="1">
      <c r="B58" s="7">
        <v>49</v>
      </c>
      <c r="C58" s="10">
        <v>49</v>
      </c>
      <c r="D58" s="10">
        <f t="shared" si="0"/>
        <v>1185</v>
      </c>
      <c r="E58" s="10">
        <f t="shared" si="1"/>
        <v>20032</v>
      </c>
    </row>
    <row r="59" spans="1:38" ht="18.75" customHeight="1">
      <c r="B59" s="10">
        <v>50</v>
      </c>
      <c r="C59" s="10">
        <v>50</v>
      </c>
      <c r="D59" s="10">
        <f t="shared" si="0"/>
        <v>1234</v>
      </c>
      <c r="E59" s="10">
        <f t="shared" si="1"/>
        <v>21266</v>
      </c>
    </row>
    <row r="60" spans="1:38" ht="18.75" customHeight="1">
      <c r="B60" s="7">
        <v>51</v>
      </c>
      <c r="C60" s="10">
        <v>51</v>
      </c>
      <c r="D60" s="10">
        <f t="shared" si="0"/>
        <v>1284</v>
      </c>
      <c r="E60" s="10">
        <f t="shared" si="1"/>
        <v>22550</v>
      </c>
    </row>
    <row r="61" spans="1:38" ht="18.75" customHeight="1">
      <c r="B61" s="10">
        <v>52</v>
      </c>
      <c r="C61" s="10">
        <v>52</v>
      </c>
      <c r="D61" s="10">
        <f t="shared" si="0"/>
        <v>1335</v>
      </c>
      <c r="E61" s="10">
        <f t="shared" si="1"/>
        <v>23885</v>
      </c>
    </row>
    <row r="62" spans="1:38" ht="18.75" customHeight="1">
      <c r="B62" s="7">
        <v>53</v>
      </c>
      <c r="C62" s="10">
        <v>53</v>
      </c>
      <c r="D62" s="10">
        <f t="shared" si="0"/>
        <v>1387</v>
      </c>
      <c r="E62" s="10">
        <f t="shared" si="1"/>
        <v>25272</v>
      </c>
    </row>
    <row r="63" spans="1:38" ht="18.75" customHeight="1">
      <c r="B63" s="10">
        <v>54</v>
      </c>
      <c r="C63" s="10">
        <v>54</v>
      </c>
      <c r="D63" s="10">
        <f t="shared" si="0"/>
        <v>1440</v>
      </c>
      <c r="E63" s="10">
        <f t="shared" si="1"/>
        <v>26712</v>
      </c>
    </row>
    <row r="64" spans="1:38" ht="18.75" customHeight="1">
      <c r="B64" s="7">
        <v>55</v>
      </c>
      <c r="C64" s="10">
        <v>55</v>
      </c>
      <c r="D64" s="10">
        <f t="shared" si="0"/>
        <v>1494</v>
      </c>
      <c r="E64" s="10">
        <f t="shared" si="1"/>
        <v>28206</v>
      </c>
    </row>
    <row r="65" spans="2:5" ht="18.75" customHeight="1">
      <c r="B65" s="10">
        <v>56</v>
      </c>
      <c r="C65" s="10">
        <v>56</v>
      </c>
      <c r="D65" s="10">
        <f t="shared" si="0"/>
        <v>1549</v>
      </c>
      <c r="E65" s="10">
        <f t="shared" si="1"/>
        <v>29755</v>
      </c>
    </row>
    <row r="66" spans="2:5" ht="18.75" customHeight="1">
      <c r="B66" s="7">
        <v>57</v>
      </c>
      <c r="C66" s="10">
        <v>57</v>
      </c>
      <c r="D66" s="10">
        <f t="shared" si="0"/>
        <v>1605</v>
      </c>
      <c r="E66" s="10">
        <f t="shared" si="1"/>
        <v>31360</v>
      </c>
    </row>
    <row r="67" spans="2:5" ht="18.75" customHeight="1">
      <c r="B67" s="10">
        <v>58</v>
      </c>
      <c r="C67" s="10">
        <v>58</v>
      </c>
      <c r="D67" s="10">
        <f t="shared" si="0"/>
        <v>1662</v>
      </c>
      <c r="E67" s="10">
        <f t="shared" si="1"/>
        <v>33022</v>
      </c>
    </row>
    <row r="68" spans="2:5" ht="18.75" customHeight="1">
      <c r="B68" s="7">
        <v>59</v>
      </c>
      <c r="C68" s="10">
        <v>59</v>
      </c>
      <c r="D68" s="10">
        <f t="shared" si="0"/>
        <v>1720</v>
      </c>
      <c r="E68" s="10">
        <f t="shared" si="1"/>
        <v>34742</v>
      </c>
    </row>
    <row r="69" spans="2:5" ht="18.75" customHeight="1">
      <c r="B69" s="10">
        <v>60</v>
      </c>
      <c r="C69" s="10">
        <v>60</v>
      </c>
      <c r="D69" s="10">
        <f t="shared" si="0"/>
        <v>1779</v>
      </c>
      <c r="E69" s="10">
        <f t="shared" si="1"/>
        <v>36521</v>
      </c>
    </row>
    <row r="70" spans="2:5" ht="18.75" customHeight="1">
      <c r="B70" s="7">
        <v>61</v>
      </c>
      <c r="C70" s="10">
        <v>61</v>
      </c>
      <c r="D70" s="10">
        <f t="shared" si="0"/>
        <v>1839</v>
      </c>
      <c r="E70" s="10">
        <f t="shared" si="1"/>
        <v>38360</v>
      </c>
    </row>
    <row r="71" spans="2:5" ht="18.75" customHeight="1">
      <c r="B71" s="10">
        <v>62</v>
      </c>
      <c r="C71" s="10">
        <v>62</v>
      </c>
      <c r="D71" s="10">
        <f t="shared" si="0"/>
        <v>1900</v>
      </c>
      <c r="E71" s="10">
        <f t="shared" si="1"/>
        <v>40260</v>
      </c>
    </row>
    <row r="72" spans="2:5" ht="18.75" customHeight="1">
      <c r="B72" s="7">
        <v>63</v>
      </c>
      <c r="C72" s="10">
        <v>63</v>
      </c>
      <c r="D72" s="10">
        <f t="shared" si="0"/>
        <v>1962</v>
      </c>
      <c r="E72" s="10">
        <f t="shared" si="1"/>
        <v>42222</v>
      </c>
    </row>
    <row r="73" spans="2:5" ht="18.75" customHeight="1">
      <c r="B73" s="10">
        <v>64</v>
      </c>
      <c r="C73" s="10">
        <v>64</v>
      </c>
      <c r="D73" s="10">
        <f t="shared" si="0"/>
        <v>2025</v>
      </c>
      <c r="E73" s="10">
        <f t="shared" si="1"/>
        <v>44247</v>
      </c>
    </row>
    <row r="74" spans="2:5" ht="18.75" customHeight="1">
      <c r="B74" s="7">
        <v>65</v>
      </c>
      <c r="C74" s="10">
        <v>65</v>
      </c>
      <c r="D74" s="10">
        <f t="shared" si="0"/>
        <v>2089</v>
      </c>
      <c r="E74" s="10">
        <f t="shared" si="1"/>
        <v>46336</v>
      </c>
    </row>
    <row r="75" spans="2:5" ht="18.75" customHeight="1">
      <c r="B75" s="10">
        <v>66</v>
      </c>
      <c r="C75" s="10">
        <v>66</v>
      </c>
      <c r="D75" s="10">
        <f t="shared" si="0"/>
        <v>2154</v>
      </c>
      <c r="E75" s="10">
        <f t="shared" si="1"/>
        <v>48490</v>
      </c>
    </row>
    <row r="76" spans="2:5" ht="18.75" customHeight="1">
      <c r="B76" s="7">
        <v>67</v>
      </c>
      <c r="C76" s="10">
        <v>67</v>
      </c>
      <c r="D76" s="10">
        <f t="shared" si="0"/>
        <v>2220</v>
      </c>
      <c r="E76" s="10">
        <f t="shared" si="1"/>
        <v>50710</v>
      </c>
    </row>
    <row r="77" spans="2:5" ht="18.75" customHeight="1">
      <c r="B77" s="10">
        <v>68</v>
      </c>
      <c r="C77" s="10">
        <v>68</v>
      </c>
      <c r="D77" s="10">
        <f t="shared" si="0"/>
        <v>2287</v>
      </c>
      <c r="E77" s="10">
        <f t="shared" si="1"/>
        <v>52997</v>
      </c>
    </row>
    <row r="78" spans="2:5" ht="18.75" customHeight="1">
      <c r="B78" s="7">
        <v>69</v>
      </c>
      <c r="C78" s="10">
        <v>69</v>
      </c>
      <c r="D78" s="10">
        <f t="shared" ref="D78:D109" si="2">B77 + D77</f>
        <v>2355</v>
      </c>
      <c r="E78" s="10">
        <f t="shared" ref="E78:E109" si="3">E77+D78</f>
        <v>55352</v>
      </c>
    </row>
    <row r="79" spans="2:5" ht="18.75" customHeight="1">
      <c r="B79" s="10">
        <v>70</v>
      </c>
      <c r="C79" s="10">
        <v>70</v>
      </c>
      <c r="D79" s="10">
        <f t="shared" si="2"/>
        <v>2424</v>
      </c>
      <c r="E79" s="10">
        <f t="shared" si="3"/>
        <v>57776</v>
      </c>
    </row>
    <row r="80" spans="2:5" ht="18.75" customHeight="1">
      <c r="B80" s="7">
        <v>71</v>
      </c>
      <c r="C80" s="10">
        <v>71</v>
      </c>
      <c r="D80" s="10">
        <f t="shared" si="2"/>
        <v>2494</v>
      </c>
      <c r="E80" s="10">
        <f t="shared" si="3"/>
        <v>60270</v>
      </c>
    </row>
    <row r="81" spans="2:5" ht="18.75" customHeight="1">
      <c r="B81" s="10">
        <v>72</v>
      </c>
      <c r="C81" s="10">
        <v>72</v>
      </c>
      <c r="D81" s="10">
        <f t="shared" si="2"/>
        <v>2565</v>
      </c>
      <c r="E81" s="10">
        <f t="shared" si="3"/>
        <v>62835</v>
      </c>
    </row>
    <row r="82" spans="2:5" ht="18.75" customHeight="1">
      <c r="B82" s="7">
        <v>73</v>
      </c>
      <c r="C82" s="10">
        <v>73</v>
      </c>
      <c r="D82" s="10">
        <f t="shared" si="2"/>
        <v>2637</v>
      </c>
      <c r="E82" s="10">
        <f t="shared" si="3"/>
        <v>65472</v>
      </c>
    </row>
    <row r="83" spans="2:5" ht="18.75" customHeight="1">
      <c r="B83" s="10">
        <v>74</v>
      </c>
      <c r="C83" s="10">
        <v>74</v>
      </c>
      <c r="D83" s="10">
        <f t="shared" si="2"/>
        <v>2710</v>
      </c>
      <c r="E83" s="10">
        <f t="shared" si="3"/>
        <v>68182</v>
      </c>
    </row>
    <row r="84" spans="2:5" ht="18.75" customHeight="1">
      <c r="B84" s="7">
        <v>75</v>
      </c>
      <c r="C84" s="10">
        <v>75</v>
      </c>
      <c r="D84" s="10">
        <f t="shared" si="2"/>
        <v>2784</v>
      </c>
      <c r="E84" s="10">
        <f t="shared" si="3"/>
        <v>70966</v>
      </c>
    </row>
    <row r="85" spans="2:5" ht="18.75" customHeight="1">
      <c r="B85" s="10">
        <v>76</v>
      </c>
      <c r="C85" s="10">
        <v>76</v>
      </c>
      <c r="D85" s="10">
        <f t="shared" si="2"/>
        <v>2859</v>
      </c>
      <c r="E85" s="10">
        <f t="shared" si="3"/>
        <v>73825</v>
      </c>
    </row>
    <row r="86" spans="2:5" ht="18.75" customHeight="1">
      <c r="B86" s="7">
        <v>77</v>
      </c>
      <c r="C86" s="10">
        <v>77</v>
      </c>
      <c r="D86" s="10">
        <f t="shared" si="2"/>
        <v>2935</v>
      </c>
      <c r="E86" s="10">
        <f t="shared" si="3"/>
        <v>76760</v>
      </c>
    </row>
    <row r="87" spans="2:5" ht="18.75" customHeight="1">
      <c r="B87" s="10">
        <v>78</v>
      </c>
      <c r="C87" s="10">
        <v>78</v>
      </c>
      <c r="D87" s="10">
        <f t="shared" si="2"/>
        <v>3012</v>
      </c>
      <c r="E87" s="10">
        <f t="shared" si="3"/>
        <v>79772</v>
      </c>
    </row>
    <row r="88" spans="2:5" ht="18.75" customHeight="1">
      <c r="B88" s="7">
        <v>79</v>
      </c>
      <c r="C88" s="10">
        <v>79</v>
      </c>
      <c r="D88" s="10">
        <f t="shared" si="2"/>
        <v>3090</v>
      </c>
      <c r="E88" s="10">
        <f t="shared" si="3"/>
        <v>82862</v>
      </c>
    </row>
    <row r="89" spans="2:5" ht="18.75" customHeight="1">
      <c r="B89" s="10">
        <v>80</v>
      </c>
      <c r="C89" s="10">
        <v>80</v>
      </c>
      <c r="D89" s="10">
        <f t="shared" si="2"/>
        <v>3169</v>
      </c>
      <c r="E89" s="10">
        <f t="shared" si="3"/>
        <v>86031</v>
      </c>
    </row>
    <row r="90" spans="2:5" ht="18.75" customHeight="1">
      <c r="B90" s="7">
        <v>81</v>
      </c>
      <c r="C90" s="10">
        <v>81</v>
      </c>
      <c r="D90" s="10">
        <f t="shared" si="2"/>
        <v>3249</v>
      </c>
      <c r="E90" s="10">
        <f t="shared" si="3"/>
        <v>89280</v>
      </c>
    </row>
    <row r="91" spans="2:5" ht="18.75" customHeight="1">
      <c r="B91" s="10">
        <v>82</v>
      </c>
      <c r="C91" s="10">
        <v>82</v>
      </c>
      <c r="D91" s="10">
        <f t="shared" si="2"/>
        <v>3330</v>
      </c>
      <c r="E91" s="10">
        <f t="shared" si="3"/>
        <v>92610</v>
      </c>
    </row>
    <row r="92" spans="2:5" ht="18.75" customHeight="1">
      <c r="B92" s="7">
        <v>83</v>
      </c>
      <c r="C92" s="10">
        <v>83</v>
      </c>
      <c r="D92" s="10">
        <f t="shared" si="2"/>
        <v>3412</v>
      </c>
      <c r="E92" s="10">
        <f t="shared" si="3"/>
        <v>96022</v>
      </c>
    </row>
    <row r="93" spans="2:5" ht="18.75" customHeight="1">
      <c r="B93" s="10">
        <v>84</v>
      </c>
      <c r="C93" s="10">
        <v>84</v>
      </c>
      <c r="D93" s="10">
        <f t="shared" si="2"/>
        <v>3495</v>
      </c>
      <c r="E93" s="10">
        <f t="shared" si="3"/>
        <v>99517</v>
      </c>
    </row>
    <row r="94" spans="2:5" ht="18.75" customHeight="1">
      <c r="B94" s="7">
        <v>85</v>
      </c>
      <c r="C94" s="10">
        <v>85</v>
      </c>
      <c r="D94" s="10">
        <f t="shared" si="2"/>
        <v>3579</v>
      </c>
      <c r="E94" s="10">
        <f t="shared" si="3"/>
        <v>103096</v>
      </c>
    </row>
    <row r="95" spans="2:5" ht="18.75" customHeight="1">
      <c r="B95" s="10">
        <v>86</v>
      </c>
      <c r="C95" s="10">
        <v>86</v>
      </c>
      <c r="D95" s="10">
        <f t="shared" si="2"/>
        <v>3664</v>
      </c>
      <c r="E95" s="10">
        <f t="shared" si="3"/>
        <v>106760</v>
      </c>
    </row>
    <row r="96" spans="2:5" ht="18.75" customHeight="1">
      <c r="B96" s="7">
        <v>87</v>
      </c>
      <c r="C96" s="10">
        <v>87</v>
      </c>
      <c r="D96" s="10">
        <f t="shared" si="2"/>
        <v>3750</v>
      </c>
      <c r="E96" s="10">
        <f t="shared" si="3"/>
        <v>110510</v>
      </c>
    </row>
    <row r="97" spans="2:5" ht="18.75" customHeight="1">
      <c r="B97" s="10">
        <v>88</v>
      </c>
      <c r="C97" s="10">
        <v>88</v>
      </c>
      <c r="D97" s="10">
        <f t="shared" si="2"/>
        <v>3837</v>
      </c>
      <c r="E97" s="10">
        <f t="shared" si="3"/>
        <v>114347</v>
      </c>
    </row>
    <row r="98" spans="2:5" ht="18.75" customHeight="1">
      <c r="B98" s="7">
        <v>89</v>
      </c>
      <c r="C98" s="10">
        <v>89</v>
      </c>
      <c r="D98" s="10">
        <f t="shared" si="2"/>
        <v>3925</v>
      </c>
      <c r="E98" s="10">
        <f t="shared" si="3"/>
        <v>118272</v>
      </c>
    </row>
    <row r="99" spans="2:5" ht="18.75" customHeight="1">
      <c r="B99" s="10">
        <v>90</v>
      </c>
      <c r="C99" s="10">
        <v>90</v>
      </c>
      <c r="D99" s="10">
        <f t="shared" si="2"/>
        <v>4014</v>
      </c>
      <c r="E99" s="10">
        <f t="shared" si="3"/>
        <v>122286</v>
      </c>
    </row>
    <row r="100" spans="2:5" ht="18.75" customHeight="1">
      <c r="B100" s="7">
        <v>91</v>
      </c>
      <c r="C100" s="10">
        <v>91</v>
      </c>
      <c r="D100" s="10">
        <f t="shared" si="2"/>
        <v>4104</v>
      </c>
      <c r="E100" s="10">
        <f t="shared" si="3"/>
        <v>126390</v>
      </c>
    </row>
    <row r="101" spans="2:5" ht="18.75" customHeight="1">
      <c r="B101" s="10">
        <v>92</v>
      </c>
      <c r="C101" s="10">
        <v>92</v>
      </c>
      <c r="D101" s="10">
        <f t="shared" si="2"/>
        <v>4195</v>
      </c>
      <c r="E101" s="10">
        <f t="shared" si="3"/>
        <v>130585</v>
      </c>
    </row>
    <row r="102" spans="2:5" ht="18.75" customHeight="1">
      <c r="B102" s="7">
        <v>93</v>
      </c>
      <c r="C102" s="10">
        <v>93</v>
      </c>
      <c r="D102" s="10">
        <f t="shared" si="2"/>
        <v>4287</v>
      </c>
      <c r="E102" s="10">
        <f t="shared" si="3"/>
        <v>134872</v>
      </c>
    </row>
    <row r="103" spans="2:5" ht="18.75" customHeight="1">
      <c r="B103" s="10">
        <v>94</v>
      </c>
      <c r="C103" s="10">
        <v>94</v>
      </c>
      <c r="D103" s="10">
        <f t="shared" si="2"/>
        <v>4380</v>
      </c>
      <c r="E103" s="10">
        <f t="shared" si="3"/>
        <v>139252</v>
      </c>
    </row>
    <row r="104" spans="2:5" ht="18.75" customHeight="1">
      <c r="B104" s="7">
        <v>95</v>
      </c>
      <c r="C104" s="10">
        <v>95</v>
      </c>
      <c r="D104" s="10">
        <f t="shared" si="2"/>
        <v>4474</v>
      </c>
      <c r="E104" s="10">
        <f t="shared" si="3"/>
        <v>143726</v>
      </c>
    </row>
    <row r="105" spans="2:5" ht="18.75" customHeight="1">
      <c r="B105" s="10">
        <v>96</v>
      </c>
      <c r="C105" s="10">
        <v>96</v>
      </c>
      <c r="D105" s="10">
        <f t="shared" si="2"/>
        <v>4569</v>
      </c>
      <c r="E105" s="10">
        <f t="shared" si="3"/>
        <v>148295</v>
      </c>
    </row>
    <row r="106" spans="2:5" ht="18.75" customHeight="1">
      <c r="B106" s="7">
        <v>97</v>
      </c>
      <c r="C106" s="10">
        <v>97</v>
      </c>
      <c r="D106" s="10">
        <f t="shared" si="2"/>
        <v>4665</v>
      </c>
      <c r="E106" s="10">
        <f t="shared" si="3"/>
        <v>152960</v>
      </c>
    </row>
    <row r="107" spans="2:5" ht="18.75" customHeight="1">
      <c r="B107" s="10">
        <v>98</v>
      </c>
      <c r="C107" s="10">
        <v>98</v>
      </c>
      <c r="D107" s="10">
        <f t="shared" si="2"/>
        <v>4762</v>
      </c>
      <c r="E107" s="10">
        <f t="shared" si="3"/>
        <v>157722</v>
      </c>
    </row>
    <row r="108" spans="2:5" ht="18.75" customHeight="1">
      <c r="B108" s="7">
        <v>99</v>
      </c>
      <c r="C108" s="10">
        <v>99</v>
      </c>
      <c r="D108" s="10">
        <f t="shared" si="2"/>
        <v>4860</v>
      </c>
      <c r="E108" s="10">
        <f t="shared" si="3"/>
        <v>162582</v>
      </c>
    </row>
    <row r="109" spans="2:5" ht="18.75" customHeight="1">
      <c r="B109" s="10">
        <v>100</v>
      </c>
      <c r="C109" s="10">
        <v>100</v>
      </c>
      <c r="D109" s="10">
        <f t="shared" si="2"/>
        <v>4959</v>
      </c>
      <c r="E109" s="10">
        <f t="shared" si="3"/>
        <v>167541</v>
      </c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6A693364-4D34-BE4D-8C49-EA92145BEC1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355600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E518-DF09-0946-A906-191704C4CA9B}">
  <sheetPr codeName="Sheet12"/>
  <dimension ref="A1:AL1001"/>
  <sheetViews>
    <sheetView workbookViewId="0">
      <selection activeCell="K13" sqref="K13"/>
    </sheetView>
  </sheetViews>
  <sheetFormatPr baseColWidth="10" defaultColWidth="12.6640625" defaultRowHeight="15" customHeight="1"/>
  <cols>
    <col min="1" max="1" width="7.6640625" customWidth="1"/>
    <col min="2" max="2" width="17" customWidth="1"/>
    <col min="3" max="3" width="17.33203125" customWidth="1"/>
    <col min="4" max="4" width="20" customWidth="1"/>
    <col min="5" max="5" width="17.83203125" customWidth="1"/>
    <col min="6" max="38" width="12.6640625" customWidth="1"/>
  </cols>
  <sheetData>
    <row r="1" spans="1:38" ht="12" customHeight="1"/>
    <row r="2" spans="1:38" ht="40.5" customHeight="1">
      <c r="A2" s="1" t="s">
        <v>0</v>
      </c>
      <c r="B2" s="2" t="s">
        <v>311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305</v>
      </c>
      <c r="D4" s="5" t="s">
        <v>312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141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306</v>
      </c>
      <c r="D8" s="8" t="s">
        <v>313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" customHeight="1">
      <c r="A10" s="9" t="s">
        <v>304</v>
      </c>
      <c r="B10" s="7">
        <v>1</v>
      </c>
      <c r="C10" s="8">
        <v>1</v>
      </c>
      <c r="D10" s="8">
        <v>10</v>
      </c>
      <c r="E10" s="8"/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12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v>14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v>16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8">
        <v>18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v>20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v>22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8">
        <v>24</v>
      </c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v>26</v>
      </c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v>28</v>
      </c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v>30</v>
      </c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8">
        <v>32</v>
      </c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v>34</v>
      </c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v>36</v>
      </c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8">
        <v>38</v>
      </c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v>40</v>
      </c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v>42</v>
      </c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v>44</v>
      </c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8">
        <v>46</v>
      </c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v>48</v>
      </c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v>50</v>
      </c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8">
        <v>52</v>
      </c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v>54</v>
      </c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v>56</v>
      </c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v>58</v>
      </c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8">
        <v>60</v>
      </c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v>62</v>
      </c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v>64</v>
      </c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8">
        <v>66</v>
      </c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v>68</v>
      </c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v>70</v>
      </c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v>72</v>
      </c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8">
        <v>74</v>
      </c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v>76</v>
      </c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v>78</v>
      </c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8">
        <v>80</v>
      </c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v>82</v>
      </c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v>84</v>
      </c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v>86</v>
      </c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8">
        <v>88</v>
      </c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v>90</v>
      </c>
      <c r="E50" s="10"/>
    </row>
    <row r="51" spans="1:38" ht="18.75" customHeight="1">
      <c r="B51" s="10">
        <v>42</v>
      </c>
      <c r="C51" s="10">
        <v>42</v>
      </c>
      <c r="D51" s="10">
        <v>92</v>
      </c>
      <c r="E51" s="10"/>
    </row>
    <row r="52" spans="1:38" ht="18.75" customHeight="1">
      <c r="B52" s="7">
        <v>43</v>
      </c>
      <c r="C52" s="10">
        <v>43</v>
      </c>
      <c r="D52" s="8">
        <v>94</v>
      </c>
      <c r="E52" s="10"/>
    </row>
    <row r="53" spans="1:38" ht="18.75" customHeight="1">
      <c r="B53" s="10">
        <v>44</v>
      </c>
      <c r="C53" s="10">
        <v>44</v>
      </c>
      <c r="D53" s="10">
        <v>96</v>
      </c>
      <c r="E53" s="10"/>
    </row>
    <row r="54" spans="1:38" ht="18.75" customHeight="1">
      <c r="B54" s="7">
        <v>45</v>
      </c>
      <c r="C54" s="10">
        <v>45</v>
      </c>
      <c r="D54" s="10">
        <v>98</v>
      </c>
      <c r="E54" s="10"/>
    </row>
    <row r="55" spans="1:38" ht="18.75" customHeight="1">
      <c r="B55" s="10">
        <v>46</v>
      </c>
      <c r="C55" s="10">
        <v>46</v>
      </c>
      <c r="D55" s="10">
        <v>100</v>
      </c>
      <c r="E55" s="10"/>
    </row>
    <row r="56" spans="1:38" ht="18.75" customHeight="1">
      <c r="B56" s="7">
        <v>47</v>
      </c>
      <c r="C56" s="10">
        <v>47</v>
      </c>
      <c r="D56" s="8">
        <v>102</v>
      </c>
      <c r="E56" s="10"/>
    </row>
    <row r="57" spans="1:38" ht="18.75" customHeight="1">
      <c r="B57" s="10">
        <v>48</v>
      </c>
      <c r="C57" s="10">
        <v>48</v>
      </c>
      <c r="D57" s="10">
        <v>104</v>
      </c>
      <c r="E57" s="10"/>
    </row>
    <row r="58" spans="1:38" ht="18.75" customHeight="1">
      <c r="B58" s="7">
        <v>49</v>
      </c>
      <c r="C58" s="10">
        <v>49</v>
      </c>
      <c r="D58" s="10">
        <v>106</v>
      </c>
      <c r="E58" s="10"/>
    </row>
    <row r="59" spans="1:38" ht="18.75" customHeight="1">
      <c r="B59" s="10">
        <v>50</v>
      </c>
      <c r="C59" s="10">
        <v>50</v>
      </c>
      <c r="D59" s="8">
        <v>108</v>
      </c>
      <c r="E59" s="10"/>
    </row>
    <row r="60" spans="1:38" ht="18.75" customHeight="1">
      <c r="B60" s="7">
        <v>51</v>
      </c>
      <c r="C60" s="10">
        <v>51</v>
      </c>
      <c r="D60" s="10">
        <v>110</v>
      </c>
      <c r="E60" s="10"/>
    </row>
    <row r="61" spans="1:38" ht="18.75" customHeight="1">
      <c r="B61" s="10">
        <v>52</v>
      </c>
      <c r="C61" s="10">
        <v>52</v>
      </c>
      <c r="D61" s="10">
        <v>112</v>
      </c>
      <c r="E61" s="10"/>
    </row>
    <row r="62" spans="1:38" ht="18.75" customHeight="1">
      <c r="B62" s="7">
        <v>53</v>
      </c>
      <c r="C62" s="10">
        <v>53</v>
      </c>
      <c r="D62" s="10">
        <v>114</v>
      </c>
      <c r="E62" s="10"/>
    </row>
    <row r="63" spans="1:38" ht="18.75" customHeight="1">
      <c r="B63" s="10">
        <v>54</v>
      </c>
      <c r="C63" s="10">
        <v>54</v>
      </c>
      <c r="D63" s="8">
        <v>116</v>
      </c>
      <c r="E63" s="10"/>
    </row>
    <row r="64" spans="1:38" ht="18.75" customHeight="1">
      <c r="B64" s="7">
        <v>55</v>
      </c>
      <c r="C64" s="10">
        <v>55</v>
      </c>
      <c r="D64" s="10">
        <v>118</v>
      </c>
      <c r="E64" s="10"/>
    </row>
    <row r="65" spans="2:5" ht="18.75" customHeight="1">
      <c r="B65" s="10">
        <v>56</v>
      </c>
      <c r="C65" s="10">
        <v>56</v>
      </c>
      <c r="D65" s="10">
        <v>120</v>
      </c>
      <c r="E65" s="10"/>
    </row>
    <row r="66" spans="2:5" ht="18.75" customHeight="1">
      <c r="B66" s="7">
        <v>57</v>
      </c>
      <c r="C66" s="10">
        <v>57</v>
      </c>
      <c r="D66" s="8">
        <v>122</v>
      </c>
      <c r="E66" s="10"/>
    </row>
    <row r="67" spans="2:5" ht="18.75" customHeight="1">
      <c r="B67" s="10">
        <v>58</v>
      </c>
      <c r="C67" s="10">
        <v>58</v>
      </c>
      <c r="D67" s="10">
        <v>124</v>
      </c>
      <c r="E67" s="10"/>
    </row>
    <row r="68" spans="2:5" ht="18.75" customHeight="1">
      <c r="B68" s="7">
        <v>59</v>
      </c>
      <c r="C68" s="10">
        <v>59</v>
      </c>
      <c r="D68" s="10">
        <v>126</v>
      </c>
      <c r="E68" s="10"/>
    </row>
    <row r="69" spans="2:5" ht="18.75" customHeight="1">
      <c r="B69" s="10">
        <v>60</v>
      </c>
      <c r="C69" s="10">
        <v>60</v>
      </c>
      <c r="D69" s="10">
        <v>128</v>
      </c>
      <c r="E69" s="10"/>
    </row>
    <row r="70" spans="2:5" ht="18.75" customHeight="1">
      <c r="B70" s="7">
        <v>61</v>
      </c>
      <c r="C70" s="10">
        <v>61</v>
      </c>
      <c r="D70" s="8">
        <v>130</v>
      </c>
      <c r="E70" s="10"/>
    </row>
    <row r="71" spans="2:5" ht="18.75" customHeight="1">
      <c r="B71" s="10">
        <v>62</v>
      </c>
      <c r="C71" s="10">
        <v>62</v>
      </c>
      <c r="D71" s="10">
        <v>132</v>
      </c>
      <c r="E71" s="10"/>
    </row>
    <row r="72" spans="2:5" ht="18.75" customHeight="1">
      <c r="B72" s="7">
        <v>63</v>
      </c>
      <c r="C72" s="10">
        <v>63</v>
      </c>
      <c r="D72" s="10">
        <v>134</v>
      </c>
      <c r="E72" s="10"/>
    </row>
    <row r="73" spans="2:5" ht="18.75" customHeight="1">
      <c r="B73" s="10">
        <v>64</v>
      </c>
      <c r="C73" s="10">
        <v>64</v>
      </c>
      <c r="D73" s="8">
        <v>136</v>
      </c>
      <c r="E73" s="10"/>
    </row>
    <row r="74" spans="2:5" ht="18.75" customHeight="1">
      <c r="B74" s="7">
        <v>65</v>
      </c>
      <c r="C74" s="10">
        <v>65</v>
      </c>
      <c r="D74" s="10">
        <v>138</v>
      </c>
      <c r="E74" s="10"/>
    </row>
    <row r="75" spans="2:5" ht="18.75" customHeight="1">
      <c r="B75" s="10">
        <v>66</v>
      </c>
      <c r="C75" s="10">
        <v>66</v>
      </c>
      <c r="D75" s="10">
        <v>140</v>
      </c>
      <c r="E75" s="10"/>
    </row>
    <row r="76" spans="2:5" ht="18.75" customHeight="1">
      <c r="B76" s="7">
        <v>67</v>
      </c>
      <c r="C76" s="10">
        <v>67</v>
      </c>
      <c r="D76" s="10">
        <v>142</v>
      </c>
      <c r="E76" s="10"/>
    </row>
    <row r="77" spans="2:5" ht="18.75" customHeight="1">
      <c r="B77" s="10">
        <v>68</v>
      </c>
      <c r="C77" s="10">
        <v>68</v>
      </c>
      <c r="D77" s="8">
        <v>144</v>
      </c>
      <c r="E77" s="10"/>
    </row>
    <row r="78" spans="2:5" ht="18.75" customHeight="1">
      <c r="B78" s="7">
        <v>69</v>
      </c>
      <c r="C78" s="10">
        <v>69</v>
      </c>
      <c r="D78" s="10">
        <v>146</v>
      </c>
      <c r="E78" s="10"/>
    </row>
    <row r="79" spans="2:5" ht="18.75" customHeight="1">
      <c r="B79" s="10">
        <v>70</v>
      </c>
      <c r="C79" s="10">
        <v>70</v>
      </c>
      <c r="D79" s="10">
        <v>148</v>
      </c>
      <c r="E79" s="10"/>
    </row>
    <row r="80" spans="2:5" ht="18.75" customHeight="1">
      <c r="B80" s="7">
        <v>71</v>
      </c>
      <c r="C80" s="10">
        <v>71</v>
      </c>
      <c r="D80" s="8">
        <v>150</v>
      </c>
      <c r="E80" s="10"/>
    </row>
    <row r="81" spans="2:5" ht="18.75" customHeight="1">
      <c r="B81" s="10">
        <v>72</v>
      </c>
      <c r="C81" s="10">
        <v>72</v>
      </c>
      <c r="D81" s="10">
        <v>152</v>
      </c>
      <c r="E81" s="10"/>
    </row>
    <row r="82" spans="2:5" ht="18.75" customHeight="1">
      <c r="B82" s="7">
        <v>73</v>
      </c>
      <c r="C82" s="10">
        <v>73</v>
      </c>
      <c r="D82" s="10">
        <v>154</v>
      </c>
      <c r="E82" s="10"/>
    </row>
    <row r="83" spans="2:5" ht="18.75" customHeight="1">
      <c r="B83" s="10">
        <v>74</v>
      </c>
      <c r="C83" s="10">
        <v>74</v>
      </c>
      <c r="D83" s="10">
        <v>156</v>
      </c>
      <c r="E83" s="10"/>
    </row>
    <row r="84" spans="2:5" ht="18.75" customHeight="1">
      <c r="B84" s="7">
        <v>75</v>
      </c>
      <c r="C84" s="10">
        <v>75</v>
      </c>
      <c r="D84" s="8">
        <v>158</v>
      </c>
      <c r="E84" s="10"/>
    </row>
    <row r="85" spans="2:5" ht="18.75" customHeight="1">
      <c r="B85" s="10">
        <v>76</v>
      </c>
      <c r="C85" s="10">
        <v>76</v>
      </c>
      <c r="D85" s="10">
        <v>160</v>
      </c>
      <c r="E85" s="10"/>
    </row>
    <row r="86" spans="2:5" ht="18.75" customHeight="1">
      <c r="B86" s="7">
        <v>77</v>
      </c>
      <c r="C86" s="10">
        <v>77</v>
      </c>
      <c r="D86" s="10">
        <v>162</v>
      </c>
      <c r="E86" s="10"/>
    </row>
    <row r="87" spans="2:5" ht="18.75" customHeight="1">
      <c r="B87" s="10">
        <v>78</v>
      </c>
      <c r="C87" s="10">
        <v>78</v>
      </c>
      <c r="D87" s="8">
        <v>164</v>
      </c>
      <c r="E87" s="10"/>
    </row>
    <row r="88" spans="2:5" ht="18.75" customHeight="1">
      <c r="B88" s="7">
        <v>79</v>
      </c>
      <c r="C88" s="10">
        <v>79</v>
      </c>
      <c r="D88" s="10">
        <v>166</v>
      </c>
      <c r="E88" s="10"/>
    </row>
    <row r="89" spans="2:5" ht="18.75" customHeight="1">
      <c r="B89" s="10">
        <v>80</v>
      </c>
      <c r="C89" s="10">
        <v>80</v>
      </c>
      <c r="D89" s="10">
        <v>168</v>
      </c>
      <c r="E89" s="10"/>
    </row>
    <row r="90" spans="2:5" ht="18.75" customHeight="1">
      <c r="B90" s="7">
        <v>81</v>
      </c>
      <c r="C90" s="10">
        <v>81</v>
      </c>
      <c r="D90" s="10">
        <v>170</v>
      </c>
      <c r="E90" s="10"/>
    </row>
    <row r="91" spans="2:5" ht="18.75" customHeight="1">
      <c r="B91" s="10">
        <v>82</v>
      </c>
      <c r="C91" s="10">
        <v>82</v>
      </c>
      <c r="D91" s="8">
        <v>172</v>
      </c>
      <c r="E91" s="10"/>
    </row>
    <row r="92" spans="2:5" ht="18.75" customHeight="1">
      <c r="B92" s="7">
        <v>83</v>
      </c>
      <c r="C92" s="10">
        <v>83</v>
      </c>
      <c r="D92" s="10">
        <v>174</v>
      </c>
      <c r="E92" s="10"/>
    </row>
    <row r="93" spans="2:5" ht="18.75" customHeight="1">
      <c r="B93" s="10">
        <v>84</v>
      </c>
      <c r="C93" s="10">
        <v>84</v>
      </c>
      <c r="D93" s="10">
        <v>176</v>
      </c>
      <c r="E93" s="10"/>
    </row>
    <row r="94" spans="2:5" ht="18.75" customHeight="1">
      <c r="B94" s="7">
        <v>85</v>
      </c>
      <c r="C94" s="10">
        <v>85</v>
      </c>
      <c r="D94" s="8">
        <v>178</v>
      </c>
      <c r="E94" s="10"/>
    </row>
    <row r="95" spans="2:5" ht="18.75" customHeight="1">
      <c r="B95" s="10">
        <v>86</v>
      </c>
      <c r="C95" s="10">
        <v>86</v>
      </c>
      <c r="D95" s="10">
        <v>180</v>
      </c>
      <c r="E95" s="10"/>
    </row>
    <row r="96" spans="2:5" ht="18.75" customHeight="1">
      <c r="B96" s="7">
        <v>87</v>
      </c>
      <c r="C96" s="10">
        <v>87</v>
      </c>
      <c r="D96" s="10">
        <v>182</v>
      </c>
      <c r="E96" s="10"/>
    </row>
    <row r="97" spans="2:5" ht="18.75" customHeight="1">
      <c r="B97" s="10">
        <v>88</v>
      </c>
      <c r="C97" s="10">
        <v>88</v>
      </c>
      <c r="D97" s="10">
        <v>184</v>
      </c>
      <c r="E97" s="10"/>
    </row>
    <row r="98" spans="2:5" ht="18.75" customHeight="1">
      <c r="B98" s="7">
        <v>89</v>
      </c>
      <c r="C98" s="10">
        <v>89</v>
      </c>
      <c r="D98" s="8">
        <v>186</v>
      </c>
      <c r="E98" s="10"/>
    </row>
    <row r="99" spans="2:5" ht="18.75" customHeight="1">
      <c r="B99" s="10">
        <v>90</v>
      </c>
      <c r="C99" s="10">
        <v>90</v>
      </c>
      <c r="D99" s="10">
        <v>188</v>
      </c>
      <c r="E99" s="10"/>
    </row>
    <row r="100" spans="2:5" ht="18.75" customHeight="1">
      <c r="B100" s="7">
        <v>91</v>
      </c>
      <c r="C100" s="10">
        <v>91</v>
      </c>
      <c r="D100" s="10">
        <v>190</v>
      </c>
      <c r="E100" s="10"/>
    </row>
    <row r="101" spans="2:5" ht="18.75" customHeight="1">
      <c r="B101" s="10">
        <v>92</v>
      </c>
      <c r="C101" s="10">
        <v>92</v>
      </c>
      <c r="D101" s="8">
        <v>192</v>
      </c>
      <c r="E101" s="10"/>
    </row>
    <row r="102" spans="2:5" ht="18.75" customHeight="1">
      <c r="B102" s="7">
        <v>93</v>
      </c>
      <c r="C102" s="10">
        <v>93</v>
      </c>
      <c r="D102" s="10">
        <v>194</v>
      </c>
      <c r="E102" s="10"/>
    </row>
    <row r="103" spans="2:5" ht="18.75" customHeight="1">
      <c r="B103" s="10">
        <v>94</v>
      </c>
      <c r="C103" s="10">
        <v>94</v>
      </c>
      <c r="D103" s="10">
        <v>196</v>
      </c>
      <c r="E103" s="10"/>
    </row>
    <row r="104" spans="2:5" ht="18.75" customHeight="1">
      <c r="B104" s="7">
        <v>95</v>
      </c>
      <c r="C104" s="10">
        <v>95</v>
      </c>
      <c r="D104" s="10">
        <v>198</v>
      </c>
      <c r="E104" s="10"/>
    </row>
    <row r="105" spans="2:5" ht="18.75" customHeight="1">
      <c r="B105" s="10">
        <v>96</v>
      </c>
      <c r="C105" s="10">
        <v>96</v>
      </c>
      <c r="D105" s="8">
        <v>200</v>
      </c>
      <c r="E105" s="10"/>
    </row>
    <row r="106" spans="2:5" ht="18.75" customHeight="1">
      <c r="B106" s="7">
        <v>97</v>
      </c>
      <c r="C106" s="10">
        <v>97</v>
      </c>
      <c r="D106" s="10">
        <v>202</v>
      </c>
      <c r="E106" s="10"/>
    </row>
    <row r="107" spans="2:5" ht="18.75" customHeight="1">
      <c r="B107" s="10">
        <v>98</v>
      </c>
      <c r="C107" s="10">
        <v>98</v>
      </c>
      <c r="D107" s="10">
        <v>204</v>
      </c>
      <c r="E107" s="10"/>
    </row>
    <row r="108" spans="2:5" ht="18.75" customHeight="1">
      <c r="B108" s="7">
        <v>99</v>
      </c>
      <c r="C108" s="10">
        <v>99</v>
      </c>
      <c r="D108" s="8">
        <v>206</v>
      </c>
      <c r="E108" s="10"/>
    </row>
    <row r="109" spans="2:5" ht="18.75" customHeight="1">
      <c r="B109" s="10">
        <v>100</v>
      </c>
      <c r="C109" s="10">
        <v>100</v>
      </c>
      <c r="D109" s="10">
        <v>208</v>
      </c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2F5D475B-B691-F241-A8D5-10635C2FEDCF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355600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B0F7A-512A-D54C-BABB-38B741AF1D6B}">
  <sheetPr codeName="Sheet13"/>
  <dimension ref="A1:AL1001"/>
  <sheetViews>
    <sheetView topLeftCell="A3" workbookViewId="0">
      <selection activeCell="G14" sqref="G14"/>
    </sheetView>
  </sheetViews>
  <sheetFormatPr baseColWidth="10" defaultColWidth="12.6640625" defaultRowHeight="15" customHeight="1"/>
  <cols>
    <col min="1" max="1" width="7.6640625" customWidth="1"/>
    <col min="2" max="2" width="29.6640625" customWidth="1"/>
    <col min="3" max="3" width="46.6640625" customWidth="1"/>
    <col min="4" max="18" width="10" customWidth="1"/>
    <col min="19" max="38" width="12.6640625" customWidth="1"/>
  </cols>
  <sheetData>
    <row r="1" spans="1:38" ht="12" customHeight="1"/>
    <row r="2" spans="1:38" ht="40.5" customHeight="1">
      <c r="A2" s="1" t="s">
        <v>0</v>
      </c>
      <c r="B2" s="2" t="s">
        <v>314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 t="s">
        <v>320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>
        <v>1</v>
      </c>
      <c r="E5" s="5"/>
      <c r="F5" s="5"/>
      <c r="G5" s="5">
        <v>2</v>
      </c>
      <c r="H5" s="5"/>
      <c r="I5" s="5"/>
      <c r="J5" s="5">
        <v>3</v>
      </c>
      <c r="K5" s="5"/>
      <c r="L5" s="5"/>
      <c r="M5" s="5">
        <v>4</v>
      </c>
      <c r="N5" s="5"/>
      <c r="O5" s="5"/>
      <c r="P5" s="5">
        <v>5</v>
      </c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 t="s">
        <v>150</v>
      </c>
      <c r="E6" s="5" t="s">
        <v>152</v>
      </c>
      <c r="F6" s="5" t="s">
        <v>154</v>
      </c>
      <c r="G6" s="5" t="s">
        <v>150</v>
      </c>
      <c r="H6" s="5" t="s">
        <v>152</v>
      </c>
      <c r="I6" s="5" t="s">
        <v>154</v>
      </c>
      <c r="J6" s="5" t="s">
        <v>150</v>
      </c>
      <c r="K6" s="5" t="s">
        <v>152</v>
      </c>
      <c r="L6" s="5" t="s">
        <v>154</v>
      </c>
      <c r="M6" s="5" t="s">
        <v>150</v>
      </c>
      <c r="N6" s="5" t="s">
        <v>152</v>
      </c>
      <c r="O6" s="5" t="s">
        <v>154</v>
      </c>
      <c r="P6" s="5" t="s">
        <v>150</v>
      </c>
      <c r="Q6" s="5" t="s">
        <v>152</v>
      </c>
      <c r="R6" s="5" t="s">
        <v>154</v>
      </c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 t="s">
        <v>141</v>
      </c>
      <c r="E7" s="6" t="s">
        <v>33</v>
      </c>
      <c r="F7" s="6" t="s">
        <v>33</v>
      </c>
      <c r="G7" s="6" t="s">
        <v>33</v>
      </c>
      <c r="H7" s="6" t="s">
        <v>33</v>
      </c>
      <c r="I7" s="6" t="s">
        <v>33</v>
      </c>
      <c r="J7" s="6" t="s">
        <v>33</v>
      </c>
      <c r="K7" s="6" t="s">
        <v>33</v>
      </c>
      <c r="L7" s="6" t="s">
        <v>33</v>
      </c>
      <c r="M7" s="6" t="s">
        <v>33</v>
      </c>
      <c r="N7" s="6" t="s">
        <v>33</v>
      </c>
      <c r="O7" s="6" t="s">
        <v>33</v>
      </c>
      <c r="P7" s="6" t="s">
        <v>33</v>
      </c>
      <c r="Q7" s="6" t="s">
        <v>33</v>
      </c>
      <c r="R7" s="6" t="s">
        <v>33</v>
      </c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159</v>
      </c>
      <c r="D8" s="8" t="s">
        <v>316</v>
      </c>
      <c r="E8" s="8" t="s">
        <v>315</v>
      </c>
      <c r="F8" s="7" t="s">
        <v>155</v>
      </c>
      <c r="G8" s="8" t="s">
        <v>316</v>
      </c>
      <c r="H8" s="8" t="s">
        <v>315</v>
      </c>
      <c r="I8" s="7" t="s">
        <v>155</v>
      </c>
      <c r="J8" s="8" t="s">
        <v>316</v>
      </c>
      <c r="K8" s="8" t="s">
        <v>315</v>
      </c>
      <c r="L8" s="7" t="s">
        <v>155</v>
      </c>
      <c r="M8" s="8" t="s">
        <v>316</v>
      </c>
      <c r="N8" s="8" t="s">
        <v>315</v>
      </c>
      <c r="O8" s="7" t="s">
        <v>155</v>
      </c>
      <c r="P8" s="8" t="s">
        <v>316</v>
      </c>
      <c r="Q8" s="8" t="s">
        <v>315</v>
      </c>
      <c r="R8" s="7" t="s">
        <v>155</v>
      </c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68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" customHeight="1">
      <c r="A10" s="9" t="s">
        <v>304</v>
      </c>
      <c r="B10" s="7">
        <v>100001001</v>
      </c>
      <c r="C10" s="8" t="s">
        <v>317</v>
      </c>
      <c r="D10" s="8">
        <v>1</v>
      </c>
      <c r="E10" s="8">
        <v>2</v>
      </c>
      <c r="F10" s="8">
        <v>100</v>
      </c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7">
        <v>100002001</v>
      </c>
      <c r="C11" s="8" t="s">
        <v>318</v>
      </c>
      <c r="D11" s="8">
        <v>2</v>
      </c>
      <c r="E11" s="8">
        <v>1</v>
      </c>
      <c r="F11" s="8">
        <v>1</v>
      </c>
      <c r="G11" s="8"/>
      <c r="H11" s="8"/>
      <c r="I11" s="7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6">
        <v>100002002</v>
      </c>
      <c r="C12" s="17" t="s">
        <v>319</v>
      </c>
      <c r="D12" s="17">
        <v>1</v>
      </c>
      <c r="E12" s="17">
        <v>2</v>
      </c>
      <c r="F12" s="17">
        <v>100</v>
      </c>
      <c r="G12" s="17">
        <v>2</v>
      </c>
      <c r="H12" s="17">
        <v>1</v>
      </c>
      <c r="I12" s="18">
        <v>1</v>
      </c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/>
      <c r="C14" s="10"/>
      <c r="D14" s="8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8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8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/>
      <c r="C24" s="10"/>
      <c r="D24" s="8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/>
      <c r="C28" s="10"/>
      <c r="D28" s="8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F82E2A4C-0B03-DB47-9082-5D87ADC69AB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355600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F3E73-6668-734D-8949-DA3E2699A0A9}">
  <sheetPr codeName="Sheet14"/>
  <dimension ref="A1:AP1001"/>
  <sheetViews>
    <sheetView tabSelected="1" workbookViewId="0">
      <selection activeCell="M13" sqref="M13"/>
    </sheetView>
  </sheetViews>
  <sheetFormatPr baseColWidth="10" defaultColWidth="12.6640625" defaultRowHeight="15" customHeight="1"/>
  <cols>
    <col min="1" max="1" width="7.6640625" customWidth="1"/>
    <col min="2" max="2" width="29.6640625" customWidth="1"/>
    <col min="3" max="3" width="46.6640625" customWidth="1"/>
    <col min="4" max="22" width="10" customWidth="1"/>
    <col min="23" max="42" width="12.6640625" customWidth="1"/>
  </cols>
  <sheetData>
    <row r="1" spans="1:42" ht="12" customHeight="1"/>
    <row r="2" spans="1:42" ht="40.5" customHeight="1">
      <c r="A2" s="1" t="s">
        <v>0</v>
      </c>
      <c r="B2" s="2" t="s">
        <v>321</v>
      </c>
      <c r="J2" s="12"/>
    </row>
    <row r="3" spans="1:42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</row>
    <row r="4" spans="1:42" ht="18.75" customHeight="1">
      <c r="A4" s="1" t="s">
        <v>3</v>
      </c>
      <c r="B4" s="5" t="s">
        <v>4</v>
      </c>
      <c r="C4" s="5" t="s">
        <v>128</v>
      </c>
      <c r="D4" s="5" t="s">
        <v>320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</row>
    <row r="5" spans="1:42" ht="18.75" customHeight="1">
      <c r="A5" s="1" t="s">
        <v>19</v>
      </c>
      <c r="B5" s="5"/>
      <c r="C5" s="5"/>
      <c r="D5" s="5">
        <v>1</v>
      </c>
      <c r="E5" s="5"/>
      <c r="F5" s="5"/>
      <c r="G5" s="5"/>
      <c r="H5" s="5">
        <v>2</v>
      </c>
      <c r="I5" s="5"/>
      <c r="J5" s="5"/>
      <c r="K5" s="5"/>
      <c r="L5" s="5">
        <v>3</v>
      </c>
      <c r="M5" s="5"/>
      <c r="N5" s="5"/>
      <c r="O5" s="5"/>
      <c r="P5" s="5">
        <v>4</v>
      </c>
      <c r="Q5" s="5"/>
      <c r="R5" s="5"/>
      <c r="S5" s="5">
        <v>5</v>
      </c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</row>
    <row r="6" spans="1:42" ht="18.75" customHeight="1">
      <c r="A6" s="1" t="s">
        <v>25</v>
      </c>
      <c r="B6" s="5"/>
      <c r="C6" s="5"/>
      <c r="D6" s="5" t="s">
        <v>150</v>
      </c>
      <c r="E6" s="5" t="s">
        <v>152</v>
      </c>
      <c r="F6" s="5" t="s">
        <v>154</v>
      </c>
      <c r="G6" s="5" t="s">
        <v>322</v>
      </c>
      <c r="H6" s="5" t="s">
        <v>150</v>
      </c>
      <c r="I6" s="5" t="s">
        <v>152</v>
      </c>
      <c r="J6" s="5" t="s">
        <v>154</v>
      </c>
      <c r="K6" s="5" t="s">
        <v>322</v>
      </c>
      <c r="L6" s="5" t="s">
        <v>150</v>
      </c>
      <c r="M6" s="5" t="s">
        <v>152</v>
      </c>
      <c r="N6" s="5" t="s">
        <v>154</v>
      </c>
      <c r="O6" s="5" t="s">
        <v>322</v>
      </c>
      <c r="P6" s="5" t="s">
        <v>150</v>
      </c>
      <c r="Q6" s="5" t="s">
        <v>152</v>
      </c>
      <c r="R6" s="5" t="s">
        <v>154</v>
      </c>
      <c r="S6" s="5" t="s">
        <v>150</v>
      </c>
      <c r="T6" s="5" t="s">
        <v>152</v>
      </c>
      <c r="U6" s="5" t="s">
        <v>154</v>
      </c>
      <c r="V6" s="5" t="s">
        <v>322</v>
      </c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</row>
    <row r="7" spans="1:42" ht="18.75" customHeight="1">
      <c r="A7" s="1" t="s">
        <v>32</v>
      </c>
      <c r="B7" s="6" t="s">
        <v>33</v>
      </c>
      <c r="C7" s="6" t="s">
        <v>34</v>
      </c>
      <c r="D7" s="6" t="s">
        <v>141</v>
      </c>
      <c r="E7" s="6" t="s">
        <v>33</v>
      </c>
      <c r="F7" s="6" t="s">
        <v>33</v>
      </c>
      <c r="G7" s="6" t="s">
        <v>141</v>
      </c>
      <c r="H7" s="6" t="s">
        <v>33</v>
      </c>
      <c r="I7" s="6" t="s">
        <v>33</v>
      </c>
      <c r="J7" s="6" t="s">
        <v>33</v>
      </c>
      <c r="K7" s="6" t="s">
        <v>141</v>
      </c>
      <c r="L7" s="6" t="s">
        <v>33</v>
      </c>
      <c r="M7" s="6" t="s">
        <v>33</v>
      </c>
      <c r="N7" s="6" t="s">
        <v>33</v>
      </c>
      <c r="O7" s="6" t="s">
        <v>141</v>
      </c>
      <c r="P7" s="6" t="s">
        <v>33</v>
      </c>
      <c r="Q7" s="6" t="s">
        <v>33</v>
      </c>
      <c r="R7" s="6" t="s">
        <v>33</v>
      </c>
      <c r="S7" s="6" t="s">
        <v>33</v>
      </c>
      <c r="T7" s="6" t="s">
        <v>33</v>
      </c>
      <c r="U7" s="6" t="s">
        <v>33</v>
      </c>
      <c r="V7" s="6" t="s">
        <v>141</v>
      </c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</row>
    <row r="8" spans="1:42" ht="76.5" customHeight="1">
      <c r="A8" s="1" t="s">
        <v>37</v>
      </c>
      <c r="B8" s="7" t="s">
        <v>38</v>
      </c>
      <c r="C8" s="7" t="s">
        <v>159</v>
      </c>
      <c r="D8" s="8" t="s">
        <v>316</v>
      </c>
      <c r="E8" s="8" t="s">
        <v>315</v>
      </c>
      <c r="F8" s="7" t="s">
        <v>155</v>
      </c>
      <c r="G8" s="7" t="s">
        <v>323</v>
      </c>
      <c r="H8" s="8" t="s">
        <v>316</v>
      </c>
      <c r="I8" s="8" t="s">
        <v>315</v>
      </c>
      <c r="J8" s="7" t="s">
        <v>155</v>
      </c>
      <c r="K8" s="7" t="s">
        <v>323</v>
      </c>
      <c r="L8" s="8" t="s">
        <v>316</v>
      </c>
      <c r="M8" s="8" t="s">
        <v>315</v>
      </c>
      <c r="N8" s="7" t="s">
        <v>155</v>
      </c>
      <c r="O8" s="7" t="s">
        <v>323</v>
      </c>
      <c r="P8" s="8" t="s">
        <v>316</v>
      </c>
      <c r="Q8" s="8" t="s">
        <v>315</v>
      </c>
      <c r="R8" s="7" t="s">
        <v>155</v>
      </c>
      <c r="S8" s="8" t="s">
        <v>316</v>
      </c>
      <c r="T8" s="8" t="s">
        <v>315</v>
      </c>
      <c r="U8" s="7" t="s">
        <v>155</v>
      </c>
      <c r="V8" s="7" t="s">
        <v>323</v>
      </c>
      <c r="W8" s="7"/>
      <c r="X8" s="7"/>
      <c r="Y8" s="7"/>
      <c r="Z8" s="7"/>
      <c r="AA8" s="7"/>
      <c r="AB8" s="7"/>
      <c r="AC8" s="7"/>
      <c r="AD8" s="7"/>
      <c r="AE8" s="7"/>
      <c r="AF8" s="8"/>
      <c r="AG8" s="8"/>
      <c r="AH8" s="7"/>
      <c r="AI8" s="7"/>
      <c r="AJ8" s="7"/>
      <c r="AK8" s="7"/>
      <c r="AL8" s="7"/>
      <c r="AM8" s="7"/>
      <c r="AN8" s="7"/>
      <c r="AO8" s="7"/>
      <c r="AP8" s="7"/>
    </row>
    <row r="9" spans="1:42" ht="68" customHeight="1">
      <c r="A9" s="1" t="s">
        <v>64</v>
      </c>
      <c r="B9" s="7"/>
      <c r="C9" s="8"/>
      <c r="D9" s="8"/>
      <c r="E9" s="8"/>
      <c r="F9" s="8"/>
      <c r="G9" s="8"/>
      <c r="H9" s="8"/>
      <c r="I9" s="8"/>
      <c r="J9" s="7"/>
      <c r="K9" s="8"/>
      <c r="L9" s="7"/>
      <c r="M9" s="7"/>
      <c r="N9" s="7"/>
      <c r="O9" s="8"/>
      <c r="P9" s="8"/>
      <c r="Q9" s="7"/>
      <c r="R9" s="7"/>
      <c r="S9" s="7"/>
      <c r="T9" s="7"/>
      <c r="U9" s="8"/>
      <c r="V9" s="8"/>
      <c r="W9" s="8"/>
      <c r="X9" s="8"/>
      <c r="Y9" s="8"/>
      <c r="Z9" s="8"/>
      <c r="AA9" s="8"/>
      <c r="AB9" s="8"/>
      <c r="AC9" s="8"/>
      <c r="AD9" s="7"/>
      <c r="AE9" s="7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</row>
    <row r="10" spans="1:42" ht="20" customHeight="1">
      <c r="A10" s="9" t="s">
        <v>304</v>
      </c>
      <c r="B10" s="7">
        <v>100001001</v>
      </c>
      <c r="C10" s="8" t="s">
        <v>317</v>
      </c>
      <c r="D10" s="8">
        <v>1</v>
      </c>
      <c r="E10" s="8">
        <v>2</v>
      </c>
      <c r="F10" s="8">
        <v>100</v>
      </c>
      <c r="G10" s="8">
        <v>1</v>
      </c>
      <c r="H10" s="8"/>
      <c r="I10" s="8"/>
      <c r="J10" s="7"/>
      <c r="K10" s="8"/>
      <c r="L10" s="7"/>
      <c r="M10" s="7"/>
      <c r="N10" s="7"/>
      <c r="O10" s="8"/>
      <c r="P10" s="8"/>
      <c r="Q10" s="7"/>
      <c r="R10" s="7"/>
      <c r="S10" s="7"/>
      <c r="T10" s="7"/>
      <c r="U10" s="8"/>
      <c r="V10" s="8"/>
      <c r="W10" s="8"/>
      <c r="X10" s="8"/>
      <c r="Y10" s="8"/>
      <c r="Z10" s="8"/>
      <c r="AA10" s="8"/>
      <c r="AB10" s="8"/>
      <c r="AC10" s="8"/>
      <c r="AD10" s="7"/>
      <c r="AE10" s="7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</row>
    <row r="11" spans="1:42" ht="18.75" customHeight="1">
      <c r="A11" s="9"/>
      <c r="B11" s="7">
        <v>100002001</v>
      </c>
      <c r="C11" s="8" t="s">
        <v>318</v>
      </c>
      <c r="D11" s="8">
        <v>2</v>
      </c>
      <c r="E11" s="8">
        <v>1</v>
      </c>
      <c r="F11" s="8">
        <v>1</v>
      </c>
      <c r="G11" s="8">
        <v>1</v>
      </c>
      <c r="H11" s="8"/>
      <c r="I11" s="8"/>
      <c r="J11" s="7"/>
      <c r="K11" s="8"/>
      <c r="L11" s="10"/>
      <c r="M11" s="10"/>
      <c r="N11" s="10"/>
      <c r="O11" s="8"/>
      <c r="P11" s="10"/>
      <c r="Q11" s="10"/>
      <c r="R11" s="10"/>
      <c r="S11" s="10"/>
      <c r="T11" s="10"/>
      <c r="U11" s="10"/>
      <c r="V11" s="8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</row>
    <row r="12" spans="1:42" ht="18.75" customHeight="1">
      <c r="A12" s="11"/>
      <c r="B12" s="16">
        <v>100002002</v>
      </c>
      <c r="C12" s="17" t="s">
        <v>319</v>
      </c>
      <c r="D12" s="17">
        <v>1</v>
      </c>
      <c r="E12" s="17">
        <v>2</v>
      </c>
      <c r="F12" s="17">
        <v>100</v>
      </c>
      <c r="G12" s="17">
        <v>1</v>
      </c>
      <c r="H12" s="17">
        <v>2</v>
      </c>
      <c r="I12" s="17">
        <v>1</v>
      </c>
      <c r="J12" s="18">
        <v>1</v>
      </c>
      <c r="K12" s="17">
        <v>2</v>
      </c>
      <c r="L12" s="10"/>
      <c r="M12" s="10"/>
      <c r="N12" s="10"/>
      <c r="O12" s="17"/>
      <c r="P12" s="10"/>
      <c r="Q12" s="10"/>
      <c r="R12" s="10"/>
      <c r="S12" s="10"/>
      <c r="T12" s="10"/>
      <c r="U12" s="10"/>
      <c r="V12" s="17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</row>
    <row r="13" spans="1:42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</row>
    <row r="14" spans="1:42" ht="18.75" customHeight="1">
      <c r="A14" s="11"/>
      <c r="B14" s="7"/>
      <c r="C14" s="10"/>
      <c r="D14" s="8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</row>
    <row r="15" spans="1:42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</row>
    <row r="16" spans="1:42" ht="18.75" customHeight="1">
      <c r="A16" s="11"/>
      <c r="B16" s="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</row>
    <row r="17" spans="1:42" ht="18.75" customHeight="1">
      <c r="A17" s="11"/>
      <c r="B17" s="10"/>
      <c r="C17" s="10"/>
      <c r="D17" s="8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</row>
    <row r="18" spans="1:42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</row>
    <row r="19" spans="1:42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</row>
    <row r="20" spans="1:42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</row>
    <row r="21" spans="1:42" ht="18.75" customHeight="1">
      <c r="A21" s="11"/>
      <c r="B21" s="10"/>
      <c r="C21" s="10"/>
      <c r="D21" s="8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</row>
    <row r="22" spans="1:42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</row>
    <row r="23" spans="1:42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</row>
    <row r="24" spans="1:42" ht="18.75" customHeight="1">
      <c r="A24" s="11"/>
      <c r="B24" s="7"/>
      <c r="C24" s="10"/>
      <c r="D24" s="8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</row>
    <row r="25" spans="1:42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</row>
    <row r="26" spans="1:42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</row>
    <row r="27" spans="1:42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</row>
    <row r="28" spans="1:42" ht="18.75" customHeight="1">
      <c r="A28" s="11"/>
      <c r="B28" s="7"/>
      <c r="C28" s="10"/>
      <c r="D28" s="8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</row>
    <row r="29" spans="1:42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</row>
    <row r="30" spans="1:42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</row>
    <row r="31" spans="1:42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</row>
    <row r="32" spans="1:42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</row>
    <row r="33" spans="1:42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</row>
    <row r="34" spans="1:42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</row>
    <row r="35" spans="1:42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</row>
    <row r="36" spans="1:42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</row>
    <row r="37" spans="1:42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</row>
    <row r="38" spans="1:42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</row>
    <row r="39" spans="1:42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</row>
    <row r="40" spans="1:42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</row>
    <row r="41" spans="1:42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</row>
    <row r="42" spans="1:42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</row>
    <row r="43" spans="1:42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</row>
    <row r="44" spans="1:42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</row>
    <row r="45" spans="1:42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</row>
    <row r="46" spans="1:42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</row>
    <row r="47" spans="1:42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</row>
    <row r="48" spans="1:42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</row>
    <row r="49" spans="1:42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</row>
    <row r="50" spans="1:42" ht="18.75" customHeight="1">
      <c r="B50" s="7"/>
      <c r="C50" s="10"/>
      <c r="D50" s="10"/>
      <c r="E50" s="10"/>
    </row>
    <row r="51" spans="1:42" ht="18.75" customHeight="1">
      <c r="B51" s="10"/>
      <c r="C51" s="10"/>
      <c r="D51" s="10"/>
      <c r="E51" s="10"/>
    </row>
    <row r="52" spans="1:42" ht="18.75" customHeight="1">
      <c r="B52" s="7"/>
      <c r="C52" s="10"/>
      <c r="D52" s="8"/>
      <c r="E52" s="10"/>
    </row>
    <row r="53" spans="1:42" ht="18.75" customHeight="1">
      <c r="B53" s="10"/>
      <c r="C53" s="10"/>
      <c r="D53" s="10"/>
      <c r="E53" s="10"/>
    </row>
    <row r="54" spans="1:42" ht="18.75" customHeight="1">
      <c r="B54" s="7"/>
      <c r="C54" s="10"/>
      <c r="D54" s="10"/>
      <c r="E54" s="10"/>
    </row>
    <row r="55" spans="1:42" ht="18.75" customHeight="1">
      <c r="B55" s="10"/>
      <c r="C55" s="10"/>
      <c r="D55" s="10"/>
      <c r="E55" s="10"/>
    </row>
    <row r="56" spans="1:42" ht="18.75" customHeight="1">
      <c r="B56" s="7"/>
      <c r="C56" s="10"/>
      <c r="D56" s="8"/>
      <c r="E56" s="10"/>
    </row>
    <row r="57" spans="1:42" ht="18.75" customHeight="1">
      <c r="B57" s="10"/>
      <c r="C57" s="10"/>
      <c r="D57" s="10"/>
      <c r="E57" s="10"/>
    </row>
    <row r="58" spans="1:42" ht="18.75" customHeight="1">
      <c r="B58" s="7"/>
      <c r="C58" s="10"/>
      <c r="D58" s="10"/>
      <c r="E58" s="10"/>
    </row>
    <row r="59" spans="1:42" ht="18.75" customHeight="1">
      <c r="B59" s="10"/>
      <c r="C59" s="10"/>
      <c r="D59" s="8"/>
      <c r="E59" s="10"/>
    </row>
    <row r="60" spans="1:42" ht="18.75" customHeight="1">
      <c r="B60" s="7"/>
      <c r="C60" s="10"/>
      <c r="D60" s="10"/>
      <c r="E60" s="10"/>
    </row>
    <row r="61" spans="1:42" ht="18.75" customHeight="1">
      <c r="B61" s="10"/>
      <c r="C61" s="10"/>
      <c r="D61" s="10"/>
      <c r="E61" s="10"/>
    </row>
    <row r="62" spans="1:42" ht="18.75" customHeight="1">
      <c r="B62" s="7"/>
      <c r="C62" s="10"/>
      <c r="D62" s="10"/>
      <c r="E62" s="10"/>
    </row>
    <row r="63" spans="1:42" ht="18.75" customHeight="1">
      <c r="B63" s="10"/>
      <c r="C63" s="10"/>
      <c r="D63" s="8"/>
      <c r="E63" s="10"/>
    </row>
    <row r="64" spans="1:42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P7" xr:uid="{0CE6C500-093F-C94A-A350-EE8A2AF370E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355600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SampleMB</vt:lpstr>
      <vt:lpstr>MonsterMB</vt:lpstr>
      <vt:lpstr>GachaBoxMB</vt:lpstr>
      <vt:lpstr>GachaBoxDetailMB </vt:lpstr>
      <vt:lpstr>VirtualCurrencyMB</vt:lpstr>
      <vt:lpstr>QuestCategoryMB</vt:lpstr>
      <vt:lpstr>QuestMB</vt:lpstr>
      <vt:lpstr>PropertyMB</vt:lpstr>
      <vt:lpstr>MonsterLevelUpTable</vt:lpstr>
      <vt:lpstr>UserRankUpTableMB</vt:lpstr>
      <vt:lpstr>StaminaMB</vt:lpstr>
      <vt:lpstr>BundleMB</vt:lpstr>
      <vt:lpstr>DropTableMB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kim-sangwoo</dc:creator>
  <cp:lastModifiedBy>金相佑</cp:lastModifiedBy>
  <dcterms:created xsi:type="dcterms:W3CDTF">2015-06-05T18:19:34Z</dcterms:created>
  <dcterms:modified xsi:type="dcterms:W3CDTF">2021-07-28T12:31:46Z</dcterms:modified>
</cp:coreProperties>
</file>