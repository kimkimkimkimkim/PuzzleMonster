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drawings/drawing19.xml" ContentType="application/vnd.openxmlformats-officedocument.drawing+xml"/>
  <Override PartName="/xl/ctrlProps/ctrlProp19.xml" ContentType="application/vnd.ms-excel.controlproperties+xml"/>
  <Override PartName="/xl/drawings/drawing20.xml" ContentType="application/vnd.openxmlformats-officedocument.drawing+xml"/>
  <Override PartName="/xl/ctrlProps/ctrlProp20.xml" ContentType="application/vnd.ms-excel.controlproperties+xml"/>
  <Override PartName="/xl/drawings/drawing21.xml" ContentType="application/vnd.openxmlformats-officedocument.drawing+xml"/>
  <Override PartName="/xl/ctrlProps/ctrlProp2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12\Documents\workspace\PuzzleMonster\Assets\PlayFabData\Excel\"/>
    </mc:Choice>
  </mc:AlternateContent>
  <xr:revisionPtr revIDLastSave="0" documentId="13_ncr:1_{D7216344-0EBF-418D-AE7D-C6B22D876D2D}" xr6:coauthVersionLast="47" xr6:coauthVersionMax="47" xr10:uidLastSave="{00000000-0000-0000-0000-000000000000}"/>
  <bookViews>
    <workbookView xWindow="-28920" yWindow="-120" windowWidth="29040" windowHeight="15840" firstSheet="13" activeTab="20" xr2:uid="{00000000-000D-0000-FFFF-FFFF00000000}"/>
  </bookViews>
  <sheets>
    <sheet name="SampleMB" sheetId="1" r:id="rId1"/>
    <sheet name="MonsterMB" sheetId="2" r:id="rId2"/>
    <sheet name="GachaBoxMB" sheetId="3" r:id="rId3"/>
    <sheet name="GachaBoxDetailMB " sheetId="4" r:id="rId4"/>
    <sheet name="VirtualCurrencyMB" sheetId="5" r:id="rId5"/>
    <sheet name="PropertyMB" sheetId="8" r:id="rId6"/>
    <sheet name="MonsterLevelUpTable" sheetId="11" r:id="rId7"/>
    <sheet name="UserRankUpTableMB" sheetId="10" r:id="rId8"/>
    <sheet name="StaminaMB" sheetId="12" r:id="rId9"/>
    <sheet name="BundleMB" sheetId="13" r:id="rId10"/>
    <sheet name="DropTableMB" sheetId="14" r:id="rId11"/>
    <sheet name="QuestCategoryMB" sheetId="6" r:id="rId12"/>
    <sheet name="QuestMB" sheetId="7" r:id="rId13"/>
    <sheet name="QuestWaveMB" sheetId="17" r:id="rId14"/>
    <sheet name="QuestMonsterMB" sheetId="15" r:id="rId15"/>
    <sheet name="PieceMB" sheetId="16" r:id="rId16"/>
    <sheet name="PassiveSkillMB" sheetId="19" r:id="rId17"/>
    <sheet name="NormalSkillMB" sheetId="20" r:id="rId18"/>
    <sheet name="UltimateSkillMB" sheetId="21" r:id="rId19"/>
    <sheet name="SkillFxMB" sheetId="22" r:id="rId20"/>
    <sheet name="MissionMB" sheetId="24" r:id="rId2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22" roundtripDataSignature="AMtx7mi1iiCHMCpdZRORiJYO+zEEYvYOEw=="/>
    </ext>
  </extLst>
</workbook>
</file>

<file path=xl/calcChain.xml><?xml version="1.0" encoding="utf-8"?>
<calcChain xmlns="http://schemas.openxmlformats.org/spreadsheetml/2006/main">
  <c r="D12" i="11" l="1"/>
  <c r="D13" i="11" s="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D35" i="11" s="1"/>
  <c r="D36" i="11" s="1"/>
  <c r="D37" i="11" s="1"/>
  <c r="D38" i="11" s="1"/>
  <c r="D39" i="11" s="1"/>
  <c r="D40" i="11" s="1"/>
  <c r="D41" i="11" s="1"/>
  <c r="D42" i="11" s="1"/>
  <c r="D43" i="11" s="1"/>
  <c r="D44" i="11" s="1"/>
  <c r="D45" i="11" s="1"/>
  <c r="D46" i="11" s="1"/>
  <c r="D47" i="11" s="1"/>
  <c r="D48" i="11" s="1"/>
  <c r="D49" i="11" s="1"/>
  <c r="D50" i="11" s="1"/>
  <c r="D51" i="11" s="1"/>
  <c r="D52" i="11" s="1"/>
  <c r="D53" i="11" s="1"/>
  <c r="D54" i="11" s="1"/>
  <c r="D55" i="11" s="1"/>
  <c r="D56" i="11" s="1"/>
  <c r="D57" i="11" s="1"/>
  <c r="D58" i="11" s="1"/>
  <c r="D59" i="11" s="1"/>
  <c r="D60" i="11" s="1"/>
  <c r="D61" i="11" s="1"/>
  <c r="D62" i="11" s="1"/>
  <c r="D63" i="11" s="1"/>
  <c r="D64" i="11" s="1"/>
  <c r="D65" i="11" s="1"/>
  <c r="D66" i="11" s="1"/>
  <c r="D67" i="11" s="1"/>
  <c r="D68" i="11" s="1"/>
  <c r="D69" i="11" s="1"/>
  <c r="D70" i="11" s="1"/>
  <c r="D71" i="11" s="1"/>
  <c r="D72" i="11" s="1"/>
  <c r="D73" i="11" s="1"/>
  <c r="D74" i="11" s="1"/>
  <c r="D75" i="11" s="1"/>
  <c r="D76" i="11" s="1"/>
  <c r="D77" i="11" s="1"/>
  <c r="D78" i="11" s="1"/>
  <c r="D79" i="11" s="1"/>
  <c r="D80" i="11" s="1"/>
  <c r="D81" i="11" s="1"/>
  <c r="D82" i="11" s="1"/>
  <c r="D83" i="11" s="1"/>
  <c r="D84" i="11" s="1"/>
  <c r="D85" i="11" s="1"/>
  <c r="D86" i="11" s="1"/>
  <c r="D87" i="11" s="1"/>
  <c r="D88" i="11" s="1"/>
  <c r="D89" i="11" s="1"/>
  <c r="D90" i="11" s="1"/>
  <c r="D91" i="11" s="1"/>
  <c r="D92" i="11" s="1"/>
  <c r="D93" i="11" s="1"/>
  <c r="D94" i="11" s="1"/>
  <c r="D95" i="11" s="1"/>
  <c r="D96" i="11" s="1"/>
  <c r="D97" i="11" s="1"/>
  <c r="D98" i="11" s="1"/>
  <c r="D99" i="11" s="1"/>
  <c r="D100" i="11" s="1"/>
  <c r="D101" i="11" s="1"/>
  <c r="D102" i="11" s="1"/>
  <c r="D103" i="11" s="1"/>
  <c r="D104" i="11" s="1"/>
  <c r="D105" i="11" s="1"/>
  <c r="D106" i="11" s="1"/>
  <c r="D107" i="11" s="1"/>
  <c r="D108" i="11" s="1"/>
  <c r="D109" i="11" s="1"/>
  <c r="E11" i="11"/>
  <c r="D12" i="10"/>
  <c r="D13" i="10" s="1"/>
  <c r="D14" i="10" s="1"/>
  <c r="D15" i="10" s="1"/>
  <c r="D16" i="10" s="1"/>
  <c r="D17" i="10" s="1"/>
  <c r="D18" i="10" s="1"/>
  <c r="D19" i="10" s="1"/>
  <c r="D20" i="10" s="1"/>
  <c r="D21" i="10" s="1"/>
  <c r="D22" i="10" s="1"/>
  <c r="D23" i="10" s="1"/>
  <c r="D24" i="10" s="1"/>
  <c r="D25" i="10" s="1"/>
  <c r="D26" i="10" s="1"/>
  <c r="D27" i="10" s="1"/>
  <c r="D28" i="10" s="1"/>
  <c r="D29" i="10" s="1"/>
  <c r="D30" i="10" s="1"/>
  <c r="D31" i="10" s="1"/>
  <c r="D32" i="10" s="1"/>
  <c r="D33" i="10" s="1"/>
  <c r="D34" i="10" s="1"/>
  <c r="D35" i="10" s="1"/>
  <c r="D36" i="10" s="1"/>
  <c r="D37" i="10" s="1"/>
  <c r="D38" i="10" s="1"/>
  <c r="D39" i="10" s="1"/>
  <c r="D40" i="10" s="1"/>
  <c r="D41" i="10" s="1"/>
  <c r="D42" i="10" s="1"/>
  <c r="D43" i="10" s="1"/>
  <c r="D44" i="10" s="1"/>
  <c r="D45" i="10" s="1"/>
  <c r="D46" i="10" s="1"/>
  <c r="D47" i="10" s="1"/>
  <c r="D48" i="10" s="1"/>
  <c r="D49" i="10" s="1"/>
  <c r="D50" i="10" s="1"/>
  <c r="D51" i="10" s="1"/>
  <c r="D52" i="10" s="1"/>
  <c r="D53" i="10" s="1"/>
  <c r="D54" i="10" s="1"/>
  <c r="D55" i="10" s="1"/>
  <c r="D56" i="10" s="1"/>
  <c r="D57" i="10" s="1"/>
  <c r="D58" i="10" s="1"/>
  <c r="D59" i="10" s="1"/>
  <c r="D60" i="10" s="1"/>
  <c r="D61" i="10" s="1"/>
  <c r="D62" i="10" s="1"/>
  <c r="D63" i="10" s="1"/>
  <c r="D64" i="10" s="1"/>
  <c r="D65" i="10" s="1"/>
  <c r="D66" i="10" s="1"/>
  <c r="D67" i="10" s="1"/>
  <c r="D68" i="10" s="1"/>
  <c r="D69" i="10" s="1"/>
  <c r="D70" i="10" s="1"/>
  <c r="D71" i="10" s="1"/>
  <c r="D72" i="10" s="1"/>
  <c r="D73" i="10" s="1"/>
  <c r="D74" i="10" s="1"/>
  <c r="D75" i="10" s="1"/>
  <c r="D76" i="10" s="1"/>
  <c r="D77" i="10" s="1"/>
  <c r="D78" i="10" s="1"/>
  <c r="D79" i="10" s="1"/>
  <c r="D80" i="10" s="1"/>
  <c r="D81" i="10" s="1"/>
  <c r="D82" i="10" s="1"/>
  <c r="D83" i="10" s="1"/>
  <c r="D84" i="10" s="1"/>
  <c r="D85" i="10" s="1"/>
  <c r="D86" i="10" s="1"/>
  <c r="D87" i="10" s="1"/>
  <c r="D88" i="10" s="1"/>
  <c r="D89" i="10" s="1"/>
  <c r="D90" i="10" s="1"/>
  <c r="D91" i="10" s="1"/>
  <c r="D92" i="10" s="1"/>
  <c r="D93" i="10" s="1"/>
  <c r="D94" i="10" s="1"/>
  <c r="D95" i="10" s="1"/>
  <c r="D96" i="10" s="1"/>
  <c r="D97" i="10" s="1"/>
  <c r="D98" i="10" s="1"/>
  <c r="D99" i="10" s="1"/>
  <c r="D100" i="10" s="1"/>
  <c r="D101" i="10" s="1"/>
  <c r="D102" i="10" s="1"/>
  <c r="D103" i="10" s="1"/>
  <c r="D104" i="10" s="1"/>
  <c r="D105" i="10" s="1"/>
  <c r="D106" i="10" s="1"/>
  <c r="D107" i="10" s="1"/>
  <c r="D108" i="10" s="1"/>
  <c r="D109" i="10" s="1"/>
  <c r="E11" i="10"/>
  <c r="E12" i="11" l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</calcChain>
</file>

<file path=xl/sharedStrings.xml><?xml version="1.0" encoding="utf-8"?>
<sst xmlns="http://schemas.openxmlformats.org/spreadsheetml/2006/main" count="1528" uniqueCount="514">
  <si>
    <t>フォルダ名</t>
  </si>
  <si>
    <t>SampleMB</t>
  </si>
  <si>
    <t>※階層は3層まで設定できます　※型は必ず指定してください　※キーを数字に設定すると、配列として処理されます</t>
  </si>
  <si>
    <t>階層1</t>
  </si>
  <si>
    <t>id</t>
  </si>
  <si>
    <t>genre</t>
  </si>
  <si>
    <t>category</t>
  </si>
  <si>
    <t>name</t>
  </si>
  <si>
    <t>description</t>
  </si>
  <si>
    <t>initialGrade</t>
  </si>
  <si>
    <t>initialNatureSet</t>
  </si>
  <si>
    <t>growthCoefficientNatureset</t>
  </si>
  <si>
    <t>skillList</t>
  </si>
  <si>
    <t>farmOpenSlotNumberList</t>
  </si>
  <si>
    <t>mineOpenSlotNumberList</t>
  </si>
  <si>
    <t>isPermittedPresent</t>
  </si>
  <si>
    <t>presentCost</t>
  </si>
  <si>
    <t>buildType</t>
  </si>
  <si>
    <t>gradeUpRewardItemList</t>
  </si>
  <si>
    <t>階層2</t>
  </si>
  <si>
    <t>big</t>
  </si>
  <si>
    <t>fresh</t>
  </si>
  <si>
    <t>taste</t>
  </si>
  <si>
    <t>luck</t>
  </si>
  <si>
    <t>harvest</t>
  </si>
  <si>
    <t>階層3</t>
  </si>
  <si>
    <t>skillId</t>
  </si>
  <si>
    <t>rankToOpen</t>
  </si>
  <si>
    <t>grade</t>
  </si>
  <si>
    <t>itemType</t>
  </si>
  <si>
    <t>itemId</t>
  </si>
  <si>
    <t>num</t>
  </si>
  <si>
    <t>型</t>
  </si>
  <si>
    <t>int</t>
  </si>
  <si>
    <t>string</t>
  </si>
  <si>
    <t>float</t>
  </si>
  <si>
    <t>boolean</t>
  </si>
  <si>
    <t>説明</t>
  </si>
  <si>
    <t>ID</t>
  </si>
  <si>
    <t>ジャンル</t>
  </si>
  <si>
    <t>カテゴリ</t>
  </si>
  <si>
    <t>名前</t>
  </si>
  <si>
    <t>獲得時グレード</t>
  </si>
  <si>
    <t>初期大きさ力</t>
  </si>
  <si>
    <t>初期鮮度力</t>
  </si>
  <si>
    <t>初期おいしさ力</t>
  </si>
  <si>
    <t>初期ラック</t>
  </si>
  <si>
    <t>初期収穫力</t>
  </si>
  <si>
    <t>大きさ力成長係数</t>
  </si>
  <si>
    <t>鮮度成長係数</t>
  </si>
  <si>
    <t>おいしさ力成長係数</t>
  </si>
  <si>
    <t>ラック成長係数</t>
  </si>
  <si>
    <t>収穫力成長係数</t>
  </si>
  <si>
    <t>スキルID</t>
  </si>
  <si>
    <t>スキル解放に必要なランク</t>
  </si>
  <si>
    <t>解放される畑スロット番号</t>
  </si>
  <si>
    <t>解放される採掘場スロット番号</t>
  </si>
  <si>
    <t>プレゼント(もしくは還元)可能か否か</t>
  </si>
  <si>
    <t>プレゼント時必要価格</t>
  </si>
  <si>
    <t>ビルドタイプ</t>
  </si>
  <si>
    <t>到達グレード</t>
  </si>
  <si>
    <t>アイテムタイプ</t>
  </si>
  <si>
    <t>アイテムID</t>
  </si>
  <si>
    <t>個数</t>
  </si>
  <si>
    <t>補足</t>
  </si>
  <si>
    <t>#</t>
  </si>
  <si>
    <t>1:default
2:original</t>
  </si>
  <si>
    <t>※現状使わない</t>
  </si>
  <si>
    <t>※庭作成時に開放される畑スロットを、オブジェに紐付けて指定しています</t>
  </si>
  <si>
    <t>1:通貨
2:資産
3:種
4:作物
5:肥料
6:オブジェ
7:素材
8:アバターアイテム</t>
  </si>
  <si>
    <t>内容</t>
  </si>
  <si>
    <t>はじまりの畑小屋</t>
  </si>
  <si>
    <t>畑の横に建つ、レンガの美しい小屋。</t>
  </si>
  <si>
    <t>ふくすけショップ</t>
  </si>
  <si>
    <t>フクスケが運営する、フクスケ念願のお店。</t>
  </si>
  <si>
    <t>守り神の石像</t>
  </si>
  <si>
    <t>自然素材を生み出す不思議なモニュメント。</t>
  </si>
  <si>
    <t>穏やかな風車</t>
  </si>
  <si>
    <t>風格のある小さな風車。</t>
  </si>
  <si>
    <t>泉の休憩所</t>
  </si>
  <si>
    <t>石の素材を生み出す泉に設置された休憩所。</t>
  </si>
  <si>
    <t>素材研究所</t>
  </si>
  <si>
    <t>素材を研究するための設備。</t>
  </si>
  <si>
    <t>アトリエ溶鉱炉</t>
  </si>
  <si>
    <t>鉄製の素材をつくるための溶鉱炉。</t>
  </si>
  <si>
    <t>キャンピングカー</t>
  </si>
  <si>
    <t>くつろぐのにぴったりのおしゃれな車。</t>
  </si>
  <si>
    <t>ひまわり畑のボート</t>
  </si>
  <si>
    <t>ひまわり畑の泉に置きっぱなしのボート。</t>
  </si>
  <si>
    <t>日の当たるロッジ</t>
  </si>
  <si>
    <t>色々な畑道具がつまった小さな小屋。</t>
  </si>
  <si>
    <t>水辺の鳥小屋</t>
  </si>
  <si>
    <t>鳥がよく現れるという小屋。</t>
  </si>
  <si>
    <t>真空管の製鉄所</t>
  </si>
  <si>
    <t>24時間煙がモクモクしている製鉄所。</t>
  </si>
  <si>
    <t>ほとりの森小屋</t>
  </si>
  <si>
    <t>よく回る水車。</t>
  </si>
  <si>
    <t>鐘の音ひびく花園</t>
  </si>
  <si>
    <t>花がたくさんさいている庭。</t>
  </si>
  <si>
    <t>海に臨む展望台</t>
  </si>
  <si>
    <t>色々な石がとれる採石場。</t>
  </si>
  <si>
    <t>ブリキのロケット</t>
  </si>
  <si>
    <t>追加予定</t>
  </si>
  <si>
    <t>祈りの神社</t>
  </si>
  <si>
    <t>ランタンの街灯</t>
  </si>
  <si>
    <t>清流の女神</t>
  </si>
  <si>
    <t>木陰の恋ベンチ</t>
  </si>
  <si>
    <t>癒やしの鹿威し</t>
  </si>
  <si>
    <t>温和なロボット</t>
  </si>
  <si>
    <t>けなげな植物番犬</t>
  </si>
  <si>
    <t>熱帯のアクアリウム</t>
  </si>
  <si>
    <t>旅のハートバルーン</t>
  </si>
  <si>
    <t>茶屋のひととき</t>
  </si>
  <si>
    <t>隠れ家ツリーハウス</t>
  </si>
  <si>
    <t>ペガサスの陶器</t>
  </si>
  <si>
    <t>オブジェアバター有り</t>
  </si>
  <si>
    <t>夢見のサーカス</t>
  </si>
  <si>
    <t>バカンスプール</t>
  </si>
  <si>
    <t>パフェマウンテン</t>
  </si>
  <si>
    <t>永遠を計る砂時計</t>
  </si>
  <si>
    <t>海賊の宝箱</t>
  </si>
  <si>
    <t>きらめく星の模型</t>
  </si>
  <si>
    <t>豊穣の女神</t>
  </si>
  <si>
    <t>ブライダルテーブル</t>
  </si>
  <si>
    <t>果物がなる大樹</t>
  </si>
  <si>
    <t>もふもふのオブジェ</t>
  </si>
  <si>
    <t>草花の協奏曲</t>
  </si>
  <si>
    <t>MonsterMB</t>
    <phoneticPr fontId="8"/>
  </si>
  <si>
    <t>name</t>
    <phoneticPr fontId="8"/>
  </si>
  <si>
    <t>initialGrade</t>
    <phoneticPr fontId="8"/>
  </si>
  <si>
    <t>モンスター名</t>
    <rPh sb="0" eb="2">
      <t>ナマ</t>
    </rPh>
    <phoneticPr fontId="8"/>
  </si>
  <si>
    <t>初期グレード値</t>
    <rPh sb="0" eb="1">
      <t>アタ</t>
    </rPh>
    <phoneticPr fontId="8"/>
  </si>
  <si>
    <t>イヌ</t>
    <rPh sb="0" eb="1">
      <t>イn</t>
    </rPh>
    <phoneticPr fontId="8"/>
  </si>
  <si>
    <t>トリ</t>
    <phoneticPr fontId="8"/>
  </si>
  <si>
    <t>カエル</t>
    <phoneticPr fontId="8"/>
  </si>
  <si>
    <t>イノシシ</t>
    <phoneticPr fontId="8"/>
  </si>
  <si>
    <t>エルフ</t>
    <phoneticPr fontId="8"/>
  </si>
  <si>
    <t>オバケ</t>
    <phoneticPr fontId="8"/>
  </si>
  <si>
    <t>GachaBoxMB</t>
    <phoneticPr fontId="8"/>
  </si>
  <si>
    <t>title</t>
    <phoneticPr fontId="8"/>
  </si>
  <si>
    <t>ガチャ名</t>
    <rPh sb="0" eb="1">
      <t>メ</t>
    </rPh>
    <phoneticPr fontId="8"/>
  </si>
  <si>
    <t>int</t>
    <phoneticPr fontId="8"/>
  </si>
  <si>
    <t>1:恒常ガチャ</t>
    <rPh sb="0" eb="2">
      <t>コウジョ</t>
    </rPh>
    <phoneticPr fontId="8"/>
  </si>
  <si>
    <t>レア召喚</t>
    <rPh sb="0" eb="2">
      <t>ショウカn</t>
    </rPh>
    <phoneticPr fontId="8"/>
  </si>
  <si>
    <t>gachaBoxTypeList</t>
    <phoneticPr fontId="8"/>
  </si>
  <si>
    <t>排出されるガチャのガチャタイプ</t>
    <phoneticPr fontId="8"/>
  </si>
  <si>
    <t>GachaBoxDetailMB</t>
    <phoneticPr fontId="8"/>
  </si>
  <si>
    <t>gachaBoxId</t>
    <phoneticPr fontId="8"/>
  </si>
  <si>
    <t>ガチャボックスID</t>
    <phoneticPr fontId="8"/>
  </si>
  <si>
    <t>requiredItemList</t>
    <phoneticPr fontId="8"/>
  </si>
  <si>
    <t>itemType</t>
    <phoneticPr fontId="8"/>
  </si>
  <si>
    <t>itemId</t>
    <phoneticPr fontId="8"/>
  </si>
  <si>
    <t>アイテムID</t>
    <phoneticPr fontId="8"/>
  </si>
  <si>
    <t>num</t>
    <phoneticPr fontId="8"/>
  </si>
  <si>
    <t>個数</t>
    <rPh sb="0" eb="2">
      <t>コス</t>
    </rPh>
    <phoneticPr fontId="8"/>
  </si>
  <si>
    <t>名前</t>
    <rPh sb="0" eb="2">
      <t>ナマ</t>
    </rPh>
    <phoneticPr fontId="8"/>
  </si>
  <si>
    <t>オーブ</t>
    <phoneticPr fontId="8"/>
  </si>
  <si>
    <t>コイン</t>
    <phoneticPr fontId="8"/>
  </si>
  <si>
    <t>playFabCode</t>
    <phoneticPr fontId="8"/>
  </si>
  <si>
    <t>PlayFabで設定しているCode</t>
    <rPh sb="0" eb="2">
      <t>セッテ</t>
    </rPh>
    <phoneticPr fontId="8"/>
  </si>
  <si>
    <t>OB</t>
    <phoneticPr fontId="8"/>
  </si>
  <si>
    <t>CN</t>
    <phoneticPr fontId="8"/>
  </si>
  <si>
    <t>VirtualCurrencyMB</t>
    <phoneticPr fontId="8"/>
  </si>
  <si>
    <t>QuestCategoryMB</t>
    <phoneticPr fontId="8"/>
  </si>
  <si>
    <t>クエストカテゴリ名</t>
    <rPh sb="0" eb="1">
      <t>メイ</t>
    </rPh>
    <phoneticPr fontId="8"/>
  </si>
  <si>
    <t>questType</t>
    <phoneticPr fontId="8"/>
  </si>
  <si>
    <t>はじまりの森</t>
    <rPh sb="0" eb="1">
      <t>モr</t>
    </rPh>
    <phoneticPr fontId="8"/>
  </si>
  <si>
    <t>冒険クエスト（初級）</t>
    <rPh sb="0" eb="1">
      <t>sy</t>
    </rPh>
    <phoneticPr fontId="8"/>
  </si>
  <si>
    <t>冒険クエスト（中級）</t>
    <rPh sb="0" eb="1">
      <t>ボウケn</t>
    </rPh>
    <phoneticPr fontId="8"/>
  </si>
  <si>
    <t>冒険クエスト（上級）</t>
    <rPh sb="0" eb="2">
      <t>）</t>
    </rPh>
    <phoneticPr fontId="8"/>
  </si>
  <si>
    <t>冒険クエスト（超級）</t>
    <rPh sb="0" eb="1">
      <t>ボウケn</t>
    </rPh>
    <phoneticPr fontId="8"/>
  </si>
  <si>
    <t>QuestMB</t>
    <phoneticPr fontId="8"/>
  </si>
  <si>
    <t>questCategoryId</t>
    <phoneticPr fontId="8"/>
  </si>
  <si>
    <t>クエストカテゴリID</t>
    <phoneticPr fontId="8"/>
  </si>
  <si>
    <t>クエスト名</t>
    <rPh sb="0" eb="1">
      <t>メイ</t>
    </rPh>
    <phoneticPr fontId="8"/>
  </si>
  <si>
    <t>旅のはじまり</t>
    <rPh sb="0" eb="1">
      <t>タb</t>
    </rPh>
    <phoneticPr fontId="8"/>
  </si>
  <si>
    <t>マグママウンテン1</t>
    <phoneticPr fontId="8"/>
  </si>
  <si>
    <t>クジラ海岸1</t>
    <rPh sb="0" eb="2">
      <t>カイガn</t>
    </rPh>
    <phoneticPr fontId="8"/>
  </si>
  <si>
    <t>マヨイ森1</t>
    <rPh sb="0" eb="1">
      <t>モr</t>
    </rPh>
    <phoneticPr fontId="8"/>
  </si>
  <si>
    <t>カガヤキ神殿1</t>
    <rPh sb="0" eb="1">
      <t>シンd</t>
    </rPh>
    <phoneticPr fontId="8"/>
  </si>
  <si>
    <t>ドクロ峠1</t>
    <rPh sb="0" eb="1">
      <t>ト</t>
    </rPh>
    <phoneticPr fontId="8"/>
  </si>
  <si>
    <t>マグママウンテン2</t>
  </si>
  <si>
    <t>クジラ海岸2</t>
    <rPh sb="0" eb="2">
      <t>カイガn</t>
    </rPh>
    <phoneticPr fontId="8"/>
  </si>
  <si>
    <t>マヨイ森2</t>
    <rPh sb="0" eb="1">
      <t>モr</t>
    </rPh>
    <phoneticPr fontId="8"/>
  </si>
  <si>
    <t>カガヤキ神殿2</t>
    <rPh sb="0" eb="1">
      <t>シンd</t>
    </rPh>
    <phoneticPr fontId="8"/>
  </si>
  <si>
    <t>ドクロ峠2</t>
    <rPh sb="0" eb="1">
      <t>ト</t>
    </rPh>
    <phoneticPr fontId="8"/>
  </si>
  <si>
    <t>マグママウンテン3</t>
  </si>
  <si>
    <t>クジラ海岸3</t>
    <rPh sb="0" eb="2">
      <t>カイガn</t>
    </rPh>
    <phoneticPr fontId="8"/>
  </si>
  <si>
    <t>マヨイ森3</t>
    <rPh sb="0" eb="1">
      <t>モr</t>
    </rPh>
    <phoneticPr fontId="8"/>
  </si>
  <si>
    <t>カガヤキ神殿3</t>
    <rPh sb="0" eb="1">
      <t>シンd</t>
    </rPh>
    <phoneticPr fontId="8"/>
  </si>
  <si>
    <t>ドクロ峠3</t>
    <rPh sb="0" eb="1">
      <t>ト</t>
    </rPh>
    <phoneticPr fontId="8"/>
  </si>
  <si>
    <t>マグママウンテン4</t>
  </si>
  <si>
    <t>クジラ海岸4</t>
    <rPh sb="0" eb="2">
      <t>カイガn</t>
    </rPh>
    <phoneticPr fontId="8"/>
  </si>
  <si>
    <t>マヨイ森4</t>
    <rPh sb="0" eb="1">
      <t>モr</t>
    </rPh>
    <phoneticPr fontId="8"/>
  </si>
  <si>
    <t>カガヤキ神殿4</t>
    <rPh sb="0" eb="1">
      <t>シンd</t>
    </rPh>
    <phoneticPr fontId="8"/>
  </si>
  <si>
    <t>ドクロ峠4</t>
    <rPh sb="0" eb="1">
      <t>ト</t>
    </rPh>
    <phoneticPr fontId="8"/>
  </si>
  <si>
    <t>マグママウンテン5</t>
  </si>
  <si>
    <t>クジラ海岸5</t>
    <rPh sb="0" eb="2">
      <t>カイガn</t>
    </rPh>
    <phoneticPr fontId="8"/>
  </si>
  <si>
    <t>マヨイ森5</t>
    <rPh sb="0" eb="1">
      <t>モr</t>
    </rPh>
    <phoneticPr fontId="8"/>
  </si>
  <si>
    <t>カガヤキ神殿5</t>
    <rPh sb="0" eb="1">
      <t>シンd</t>
    </rPh>
    <phoneticPr fontId="8"/>
  </si>
  <si>
    <t>ドクロ峠5</t>
    <rPh sb="0" eb="1">
      <t>ト</t>
    </rPh>
    <phoneticPr fontId="8"/>
  </si>
  <si>
    <t>マグママウンテン6</t>
  </si>
  <si>
    <t>クジラ海岸6</t>
    <rPh sb="0" eb="2">
      <t>カイガn</t>
    </rPh>
    <phoneticPr fontId="8"/>
  </si>
  <si>
    <t>マヨイ森6</t>
    <rPh sb="0" eb="1">
      <t>モr</t>
    </rPh>
    <phoneticPr fontId="8"/>
  </si>
  <si>
    <t>カガヤキ神殿6</t>
    <rPh sb="0" eb="1">
      <t>シンd</t>
    </rPh>
    <phoneticPr fontId="8"/>
  </si>
  <si>
    <t>ドクロ峠6</t>
    <rPh sb="0" eb="1">
      <t>ト</t>
    </rPh>
    <phoneticPr fontId="8"/>
  </si>
  <si>
    <t>マグママウンテン7</t>
  </si>
  <si>
    <t>クジラ海岸7</t>
    <rPh sb="0" eb="2">
      <t>カイガn</t>
    </rPh>
    <phoneticPr fontId="8"/>
  </si>
  <si>
    <t>マヨイ森7</t>
    <rPh sb="0" eb="1">
      <t>モr</t>
    </rPh>
    <phoneticPr fontId="8"/>
  </si>
  <si>
    <t>カガヤキ神殿7</t>
    <rPh sb="0" eb="1">
      <t>シンd</t>
    </rPh>
    <phoneticPr fontId="8"/>
  </si>
  <si>
    <t>ドクロ峠7</t>
    <rPh sb="0" eb="1">
      <t>ト</t>
    </rPh>
    <phoneticPr fontId="8"/>
  </si>
  <si>
    <t>マグママウンテン8</t>
  </si>
  <si>
    <t>クジラ海岸8</t>
    <rPh sb="0" eb="2">
      <t>カイガn</t>
    </rPh>
    <phoneticPr fontId="8"/>
  </si>
  <si>
    <t>マヨイ森8</t>
    <rPh sb="0" eb="1">
      <t>モr</t>
    </rPh>
    <phoneticPr fontId="8"/>
  </si>
  <si>
    <t>カガヤキ神殿8</t>
    <rPh sb="0" eb="1">
      <t>シンd</t>
    </rPh>
    <phoneticPr fontId="8"/>
  </si>
  <si>
    <t>ドクロ峠8</t>
    <rPh sb="0" eb="1">
      <t>ト</t>
    </rPh>
    <phoneticPr fontId="8"/>
  </si>
  <si>
    <t>マグママウンテン9</t>
  </si>
  <si>
    <t>クジラ海岸9</t>
    <rPh sb="0" eb="2">
      <t>カイガn</t>
    </rPh>
    <phoneticPr fontId="8"/>
  </si>
  <si>
    <t>マヨイ森9</t>
    <rPh sb="0" eb="1">
      <t>モr</t>
    </rPh>
    <phoneticPr fontId="8"/>
  </si>
  <si>
    <t>カガヤキ神殿9</t>
    <rPh sb="0" eb="1">
      <t>シンd</t>
    </rPh>
    <phoneticPr fontId="8"/>
  </si>
  <si>
    <t>ドクロ峠9</t>
    <rPh sb="0" eb="1">
      <t>ト</t>
    </rPh>
    <phoneticPr fontId="8"/>
  </si>
  <si>
    <t>マグママウンテン10</t>
  </si>
  <si>
    <t>クジラ海岸10</t>
    <rPh sb="0" eb="2">
      <t>カイガn</t>
    </rPh>
    <phoneticPr fontId="8"/>
  </si>
  <si>
    <t>マヨイ森10</t>
    <rPh sb="0" eb="1">
      <t>モr</t>
    </rPh>
    <phoneticPr fontId="8"/>
  </si>
  <si>
    <t>カガヤキ神殿10</t>
    <rPh sb="0" eb="1">
      <t>シンd</t>
    </rPh>
    <phoneticPr fontId="8"/>
  </si>
  <si>
    <t>ドクロ峠10</t>
    <rPh sb="0" eb="1">
      <t>ト</t>
    </rPh>
    <phoneticPr fontId="8"/>
  </si>
  <si>
    <t>マグママウンテン11</t>
  </si>
  <si>
    <t>クジラ海岸11</t>
    <rPh sb="0" eb="2">
      <t>カイガn</t>
    </rPh>
    <phoneticPr fontId="8"/>
  </si>
  <si>
    <t>マヨイ森11</t>
    <rPh sb="0" eb="1">
      <t>モr</t>
    </rPh>
    <phoneticPr fontId="8"/>
  </si>
  <si>
    <t>カガヤキ神殿11</t>
    <rPh sb="0" eb="1">
      <t>シンd</t>
    </rPh>
    <phoneticPr fontId="8"/>
  </si>
  <si>
    <t>ドクロ峠11</t>
    <rPh sb="0" eb="1">
      <t>ト</t>
    </rPh>
    <phoneticPr fontId="8"/>
  </si>
  <si>
    <t>マグママウンテン12</t>
  </si>
  <si>
    <t>クジラ海岸12</t>
    <rPh sb="0" eb="2">
      <t>カイガn</t>
    </rPh>
    <phoneticPr fontId="8"/>
  </si>
  <si>
    <t>マヨイ森12</t>
    <rPh sb="0" eb="1">
      <t>モr</t>
    </rPh>
    <phoneticPr fontId="8"/>
  </si>
  <si>
    <t>カガヤキ神殿12</t>
    <rPh sb="0" eb="1">
      <t>シンd</t>
    </rPh>
    <phoneticPr fontId="8"/>
  </si>
  <si>
    <t>ドクロ峠12</t>
    <rPh sb="0" eb="1">
      <t>ト</t>
    </rPh>
    <phoneticPr fontId="8"/>
  </si>
  <si>
    <t>マグママウンテン13</t>
  </si>
  <si>
    <t>クジラ海岸13</t>
    <rPh sb="0" eb="2">
      <t>カイガn</t>
    </rPh>
    <phoneticPr fontId="8"/>
  </si>
  <si>
    <t>マヨイ森13</t>
    <rPh sb="0" eb="1">
      <t>モr</t>
    </rPh>
    <phoneticPr fontId="8"/>
  </si>
  <si>
    <t>カガヤキ神殿13</t>
    <rPh sb="0" eb="1">
      <t>シンd</t>
    </rPh>
    <phoneticPr fontId="8"/>
  </si>
  <si>
    <t>ドクロ峠13</t>
    <rPh sb="0" eb="1">
      <t>ト</t>
    </rPh>
    <phoneticPr fontId="8"/>
  </si>
  <si>
    <t>マグママウンテン14</t>
  </si>
  <si>
    <t>クジラ海岸14</t>
    <rPh sb="0" eb="2">
      <t>カイガn</t>
    </rPh>
    <phoneticPr fontId="8"/>
  </si>
  <si>
    <t>マヨイ森14</t>
    <rPh sb="0" eb="1">
      <t>モr</t>
    </rPh>
    <phoneticPr fontId="8"/>
  </si>
  <si>
    <t>カガヤキ神殿14</t>
    <rPh sb="0" eb="1">
      <t>シンd</t>
    </rPh>
    <phoneticPr fontId="8"/>
  </si>
  <si>
    <t>ドクロ峠14</t>
    <rPh sb="0" eb="1">
      <t>ト</t>
    </rPh>
    <phoneticPr fontId="8"/>
  </si>
  <si>
    <t>マグママウンテン15</t>
  </si>
  <si>
    <t>クジラ海岸15</t>
    <rPh sb="0" eb="2">
      <t>カイガn</t>
    </rPh>
    <phoneticPr fontId="8"/>
  </si>
  <si>
    <t>マヨイ森15</t>
    <rPh sb="0" eb="1">
      <t>モr</t>
    </rPh>
    <phoneticPr fontId="8"/>
  </si>
  <si>
    <t>カガヤキ神殿15</t>
    <rPh sb="0" eb="1">
      <t>シンd</t>
    </rPh>
    <phoneticPr fontId="8"/>
  </si>
  <si>
    <t>string</t>
    <phoneticPr fontId="8"/>
  </si>
  <si>
    <t>PropertyMB</t>
    <phoneticPr fontId="8"/>
  </si>
  <si>
    <t>1:通貨
2:資産
3:種
4:作物
5:肥料
6:オブジェ
7:素材
8:アバターアイテム</t>
    <phoneticPr fontId="5"/>
  </si>
  <si>
    <t>1:畑
2:採掘
3:空き地
4:特殊</t>
    <phoneticPr fontId="5"/>
  </si>
  <si>
    <t>level</t>
    <phoneticPr fontId="8"/>
  </si>
  <si>
    <t>レベル</t>
    <phoneticPr fontId="8"/>
  </si>
  <si>
    <t>requiredExp</t>
    <phoneticPr fontId="8"/>
  </si>
  <si>
    <t>１つ前のレベルからこのレベルに上がるために必要な経験値量</t>
    <rPh sb="0" eb="1">
      <t>マアガr</t>
    </rPh>
    <phoneticPr fontId="8"/>
  </si>
  <si>
    <t>totalRequiredExp</t>
    <phoneticPr fontId="8"/>
  </si>
  <si>
    <t>このレベルになるために必要な総経験値量</t>
    <rPh sb="0" eb="2">
      <t>ナルt</t>
    </rPh>
    <phoneticPr fontId="8"/>
  </si>
  <si>
    <t>level1Attack</t>
    <phoneticPr fontId="8"/>
  </si>
  <si>
    <t>level1Hp</t>
    <phoneticPr fontId="8"/>
  </si>
  <si>
    <t>level1Heal</t>
    <phoneticPr fontId="8"/>
  </si>
  <si>
    <t>level100Hp</t>
    <phoneticPr fontId="8"/>
  </si>
  <si>
    <t>level100Attack</t>
    <phoneticPr fontId="8"/>
  </si>
  <si>
    <t>level100Heal</t>
    <phoneticPr fontId="8"/>
  </si>
  <si>
    <t>レベル100での体力</t>
    <rPh sb="0" eb="2">
      <t>ジテn</t>
    </rPh>
    <phoneticPr fontId="8"/>
  </si>
  <si>
    <t>レベル1での体力</t>
    <rPh sb="0" eb="2">
      <t>ジテn</t>
    </rPh>
    <phoneticPr fontId="8"/>
  </si>
  <si>
    <t>レベル1での攻撃力</t>
    <rPh sb="0" eb="2">
      <t>ジテn</t>
    </rPh>
    <phoneticPr fontId="8"/>
  </si>
  <si>
    <t>レベル1での回復力</t>
    <rPh sb="0" eb="2">
      <t>ジテn</t>
    </rPh>
    <phoneticPr fontId="8"/>
  </si>
  <si>
    <t>レベル100での攻撃力</t>
    <rPh sb="0" eb="2">
      <t>ジテn</t>
    </rPh>
    <phoneticPr fontId="8"/>
  </si>
  <si>
    <t>レベル100での回復力</t>
    <rPh sb="0" eb="2">
      <t>ジテn</t>
    </rPh>
    <phoneticPr fontId="8"/>
  </si>
  <si>
    <t>attribute</t>
    <phoneticPr fontId="8"/>
  </si>
  <si>
    <t>1:赤
2:青
3:緑
4:黄
5:紫</t>
    <rPh sb="0" eb="1">
      <t>アk</t>
    </rPh>
    <phoneticPr fontId="8"/>
  </si>
  <si>
    <t>赤ずきん</t>
    <rPh sb="0" eb="1">
      <t>アカズキn</t>
    </rPh>
    <phoneticPr fontId="8"/>
  </si>
  <si>
    <t>クラゲ</t>
    <phoneticPr fontId="8"/>
  </si>
  <si>
    <t>タコ</t>
    <phoneticPr fontId="8"/>
  </si>
  <si>
    <t>ヒノぽん</t>
    <phoneticPr fontId="8"/>
  </si>
  <si>
    <t>ペガサス</t>
    <phoneticPr fontId="8"/>
  </si>
  <si>
    <t>ガンマン</t>
    <phoneticPr fontId="8"/>
  </si>
  <si>
    <t>ヒトカゲ</t>
    <rPh sb="0" eb="2">
      <t>ヒトカg</t>
    </rPh>
    <phoneticPr fontId="8"/>
  </si>
  <si>
    <t>フェンリル</t>
    <phoneticPr fontId="8"/>
  </si>
  <si>
    <t>セイレーン</t>
    <phoneticPr fontId="8"/>
  </si>
  <si>
    <t>ワンくろー</t>
    <phoneticPr fontId="8"/>
  </si>
  <si>
    <t>ナマズン</t>
    <phoneticPr fontId="8"/>
  </si>
  <si>
    <t>メタルリザード</t>
    <phoneticPr fontId="8"/>
  </si>
  <si>
    <t>ミカエル</t>
    <phoneticPr fontId="8"/>
  </si>
  <si>
    <t>暗黒騎士</t>
    <rPh sb="0" eb="1">
      <t>k</t>
    </rPh>
    <phoneticPr fontId="8"/>
  </si>
  <si>
    <t>内容</t>
    <rPh sb="0" eb="1">
      <t>ナイヨ</t>
    </rPh>
    <phoneticPr fontId="8"/>
  </si>
  <si>
    <t>rank</t>
    <phoneticPr fontId="8"/>
  </si>
  <si>
    <t>ランク</t>
    <phoneticPr fontId="8"/>
  </si>
  <si>
    <t>このランクになるために必要な総経験値量</t>
    <rPh sb="0" eb="2">
      <t>ナルt</t>
    </rPh>
    <phoneticPr fontId="8"/>
  </si>
  <si>
    <t>１つ前のランクからこのランクに上がるために必要な経験値量</t>
    <rPh sb="0" eb="1">
      <t>マアガr</t>
    </rPh>
    <phoneticPr fontId="8"/>
  </si>
  <si>
    <t>MonsterLevelUpTableMB</t>
    <phoneticPr fontId="8"/>
  </si>
  <si>
    <t>UserRankUpTableMB</t>
    <phoneticPr fontId="8"/>
  </si>
  <si>
    <t>StaminaMB</t>
    <phoneticPr fontId="8"/>
  </si>
  <si>
    <t>stamina</t>
    <phoneticPr fontId="8"/>
  </si>
  <si>
    <t>スタミナ</t>
    <phoneticPr fontId="8"/>
  </si>
  <si>
    <t>BundleMB</t>
    <phoneticPr fontId="8"/>
  </si>
  <si>
    <t>ID</t>
    <phoneticPr fontId="8"/>
  </si>
  <si>
    <t>itemList</t>
    <phoneticPr fontId="8"/>
  </si>
  <si>
    <t>DropTableMB</t>
    <phoneticPr fontId="8"/>
  </si>
  <si>
    <t>probability</t>
    <phoneticPr fontId="8"/>
  </si>
  <si>
    <t>重み</t>
    <rPh sb="0" eb="1">
      <t>オモm</t>
    </rPh>
    <phoneticPr fontId="8"/>
  </si>
  <si>
    <t>0:None
1:仮想通貨
2:モンスター
3:資産
4:ドロップテーブル
5:バンドル</t>
    <phoneticPr fontId="8"/>
  </si>
  <si>
    <t>firstRewardBundleId</t>
    <phoneticPr fontId="8"/>
  </si>
  <si>
    <t>dropBundleId</t>
    <phoneticPr fontId="8"/>
  </si>
  <si>
    <t>初回クリア報酬</t>
    <phoneticPr fontId="8"/>
  </si>
  <si>
    <t>ドロップバンドルID</t>
    <phoneticPr fontId="8"/>
  </si>
  <si>
    <t>QuestMonsterMB</t>
    <phoneticPr fontId="8"/>
  </si>
  <si>
    <t>monsterId</t>
    <phoneticPr fontId="8"/>
  </si>
  <si>
    <t>モンスターID</t>
    <phoneticPr fontId="8"/>
  </si>
  <si>
    <t>HP</t>
    <phoneticPr fontId="8"/>
  </si>
  <si>
    <t>PieceMB</t>
    <phoneticPr fontId="8"/>
  </si>
  <si>
    <t>horizontalConstraint</t>
    <phoneticPr fontId="8"/>
  </si>
  <si>
    <t>pieceList</t>
    <phoneticPr fontId="8"/>
  </si>
  <si>
    <t>水平方向の個数制限</t>
    <rPh sb="0" eb="2">
      <t>コス</t>
    </rPh>
    <phoneticPr fontId="8"/>
  </si>
  <si>
    <t>正方形1</t>
    <rPh sb="0" eb="3">
      <t>１</t>
    </rPh>
    <phoneticPr fontId="8"/>
  </si>
  <si>
    <t>正方形2</t>
    <rPh sb="0" eb="1">
      <t>セイホ</t>
    </rPh>
    <phoneticPr fontId="8"/>
  </si>
  <si>
    <t>正方形3</t>
    <rPh sb="0" eb="1">
      <t>セイホ</t>
    </rPh>
    <phoneticPr fontId="8"/>
  </si>
  <si>
    <t>左上三角2</t>
    <phoneticPr fontId="8"/>
  </si>
  <si>
    <t>左上三角3</t>
    <rPh sb="0" eb="1">
      <t>ヒダr</t>
    </rPh>
    <phoneticPr fontId="8"/>
  </si>
  <si>
    <t>右上三角2</t>
    <rPh sb="0" eb="2">
      <t>ミギウ</t>
    </rPh>
    <phoneticPr fontId="8"/>
  </si>
  <si>
    <t>右上三角3</t>
    <rPh sb="0" eb="1">
      <t>ミg</t>
    </rPh>
    <phoneticPr fontId="8"/>
  </si>
  <si>
    <t>左下三角2</t>
    <rPh sb="0" eb="1">
      <t>ヒダr</t>
    </rPh>
    <phoneticPr fontId="8"/>
  </si>
  <si>
    <t>左下三角3</t>
    <rPh sb="0" eb="2">
      <t>ヒダリシタサンカ</t>
    </rPh>
    <phoneticPr fontId="8"/>
  </si>
  <si>
    <t>右下三角2</t>
    <rPh sb="0" eb="2">
      <t>ミg</t>
    </rPh>
    <phoneticPr fontId="8"/>
  </si>
  <si>
    <t>右下三角3</t>
    <rPh sb="0" eb="2">
      <t>ミg</t>
    </rPh>
    <phoneticPr fontId="8"/>
  </si>
  <si>
    <t>横線2</t>
    <rPh sb="0" eb="2">
      <t>ヨk</t>
    </rPh>
    <phoneticPr fontId="8"/>
  </si>
  <si>
    <t>横線3</t>
    <rPh sb="0" eb="1">
      <t>ヨk</t>
    </rPh>
    <phoneticPr fontId="8"/>
  </si>
  <si>
    <t>横線4</t>
    <rPh sb="0" eb="2">
      <t>ヨコセn</t>
    </rPh>
    <phoneticPr fontId="8"/>
  </si>
  <si>
    <t>横線5</t>
    <rPh sb="0" eb="2">
      <t>ヨコセn</t>
    </rPh>
    <phoneticPr fontId="8"/>
  </si>
  <si>
    <t>縦線2</t>
    <rPh sb="0" eb="2">
      <t>タt</t>
    </rPh>
    <phoneticPr fontId="8"/>
  </si>
  <si>
    <t>縦線3</t>
    <rPh sb="0" eb="1">
      <t>タt</t>
    </rPh>
    <phoneticPr fontId="8"/>
  </si>
  <si>
    <t>縦線4</t>
    <rPh sb="0" eb="2">
      <t>タt</t>
    </rPh>
    <phoneticPr fontId="8"/>
  </si>
  <si>
    <t>縦線5</t>
    <rPh sb="0" eb="2">
      <t>タt</t>
    </rPh>
    <phoneticPr fontId="8"/>
  </si>
  <si>
    <t>0:None
1:仮想通貨
2:モンスター
3:資産
4:ドロップテーブル
5:バンドル</t>
  </si>
  <si>
    <t>1 001 001
1 カテゴリ
001 サブカテゴリ1
001 サブカテゴリ2</t>
    <phoneticPr fontId="8"/>
  </si>
  <si>
    <t>【クエスト】クエスト1-1のドロップ報酬</t>
    <rPh sb="6" eb="8">
      <t>ホウシュ</t>
    </rPh>
    <phoneticPr fontId="8"/>
  </si>
  <si>
    <t>【クエスト】クエスト2-1のドロップ報酬</t>
    <rPh sb="6" eb="8">
      <t>ホウシュ</t>
    </rPh>
    <phoneticPr fontId="8"/>
  </si>
  <si>
    <t>【クエスト】クエスト2-2のドロップ報酬</t>
    <phoneticPr fontId="8"/>
  </si>
  <si>
    <t>【ガチャ用】恒常星4キャラ</t>
    <rPh sb="4" eb="5">
      <t>ヨウ</t>
    </rPh>
    <rPh sb="6" eb="8">
      <t>コウジョウ</t>
    </rPh>
    <rPh sb="8" eb="9">
      <t>ホシ</t>
    </rPh>
    <phoneticPr fontId="8"/>
  </si>
  <si>
    <t>【ガチャ用】恒常星3キャラ</t>
    <rPh sb="4" eb="5">
      <t>ヨウ</t>
    </rPh>
    <rPh sb="6" eb="8">
      <t>コウジョウ</t>
    </rPh>
    <rPh sb="8" eb="9">
      <t>ホシ</t>
    </rPh>
    <phoneticPr fontId="8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</si>
  <si>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8"/>
  </si>
  <si>
    <t>1:仮想通貨
2:モンスター
3:資産
10:ドロップテーブル</t>
    <rPh sb="0" eb="1">
      <t>アk</t>
    </rPh>
    <phoneticPr fontId="8"/>
  </si>
  <si>
    <t>【ガチャ】恒常ガチャ</t>
    <rPh sb="5" eb="7">
      <t>コウジョウ</t>
    </rPh>
    <phoneticPr fontId="8"/>
  </si>
  <si>
    <t>【ガチャ】限定ガチャ</t>
    <rPh sb="5" eb="7">
      <t>ゲンテイ</t>
    </rPh>
    <phoneticPr fontId="8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</si>
  <si>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8"/>
  </si>
  <si>
    <t>【ガチャ】恒常ガチャ 単発</t>
    <rPh sb="5" eb="7">
      <t>コウジョウ</t>
    </rPh>
    <rPh sb="11" eb="13">
      <t>タンパツ</t>
    </rPh>
    <phoneticPr fontId="8"/>
  </si>
  <si>
    <t>【ガチャ】恒常ガチャ 10連</t>
    <rPh sb="5" eb="7">
      <t>コウジョウ</t>
    </rPh>
    <rPh sb="13" eb="14">
      <t>レン</t>
    </rPh>
    <phoneticPr fontId="8"/>
  </si>
  <si>
    <t>【ガチャ】限定ガチャ 単発</t>
    <rPh sb="5" eb="7">
      <t>ゲンテイ</t>
    </rPh>
    <rPh sb="11" eb="13">
      <t>タンパツ</t>
    </rPh>
    <phoneticPr fontId="8"/>
  </si>
  <si>
    <t>【ガチャ】限定ガチャ 10連</t>
    <rPh sb="5" eb="7">
      <t>ゲンテイ</t>
    </rPh>
    <rPh sb="13" eb="14">
      <t>レン</t>
    </rPh>
    <phoneticPr fontId="8"/>
  </si>
  <si>
    <t>【クエストドロップ報酬】クエスト1-1のドロップ報酬</t>
    <rPh sb="9" eb="11">
      <t>ホウシュウ</t>
    </rPh>
    <rPh sb="12" eb="14">
      <t>ホウシュ</t>
    </rPh>
    <phoneticPr fontId="8"/>
  </si>
  <si>
    <t>【クエストドロップ報酬】クエスト2-1のドロップ報酬</t>
    <rPh sb="12" eb="14">
      <t>ホウシュ</t>
    </rPh>
    <phoneticPr fontId="8"/>
  </si>
  <si>
    <t>【クエストドロップ報酬】クエスト2-2のドロップ報酬</t>
    <phoneticPr fontId="8"/>
  </si>
  <si>
    <t>【クエスト初回クリア報酬】クエスト1-1の初回クリア報酬</t>
    <rPh sb="5" eb="7">
      <t>ショカイ</t>
    </rPh>
    <rPh sb="13" eb="15">
      <t>ホウシュ</t>
    </rPh>
    <phoneticPr fontId="8"/>
  </si>
  <si>
    <t>【クエスト初回クリア報酬】クエスト2-1の初回クリア報酬</t>
    <rPh sb="13" eb="15">
      <t>ホウシュ</t>
    </rPh>
    <phoneticPr fontId="8"/>
  </si>
  <si>
    <t>【クエスト初回クリア報酬】クエスト2-2の初回クリア報酬</t>
    <rPh sb="13" eb="15">
      <t>ホウシュ</t>
    </rPh>
    <phoneticPr fontId="8"/>
  </si>
  <si>
    <t>限定召喚</t>
    <rPh sb="0" eb="2">
      <t>ゲンテイ</t>
    </rPh>
    <rPh sb="2" eb="4">
      <t>ショウカン</t>
    </rPh>
    <phoneticPr fontId="8"/>
  </si>
  <si>
    <t>bundleId</t>
    <phoneticPr fontId="8"/>
  </si>
  <si>
    <t>バンドルID</t>
    <phoneticPr fontId="8"/>
  </si>
  <si>
    <t>QuestWaveMB</t>
    <phoneticPr fontId="8"/>
  </si>
  <si>
    <t>int</t>
    <phoneticPr fontId="5"/>
  </si>
  <si>
    <t>冒険クエスト（超上級）</t>
    <rPh sb="0" eb="1">
      <t>ボウケn</t>
    </rPh>
    <phoneticPr fontId="8"/>
  </si>
  <si>
    <t>タイトル</t>
    <phoneticPr fontId="8"/>
  </si>
  <si>
    <t>シングルガチャ</t>
    <phoneticPr fontId="8"/>
  </si>
  <si>
    <t>10連ガチャ</t>
    <rPh sb="2" eb="3">
      <t>レン</t>
    </rPh>
    <phoneticPr fontId="8"/>
  </si>
  <si>
    <t>questWaveIdList</t>
  </si>
  <si>
    <t>クエストウェーブIDリスト</t>
    <phoneticPr fontId="8"/>
  </si>
  <si>
    <t>questMonsterIdList</t>
    <phoneticPr fontId="8"/>
  </si>
  <si>
    <t>level1Defense</t>
    <phoneticPr fontId="8"/>
  </si>
  <si>
    <t>level1Speed</t>
    <phoneticPr fontId="8"/>
  </si>
  <si>
    <t>レベル１での防御力</t>
    <rPh sb="6" eb="9">
      <t>ボウギョリョク</t>
    </rPh>
    <phoneticPr fontId="8"/>
  </si>
  <si>
    <t>レベル１でのスピード</t>
    <phoneticPr fontId="8"/>
  </si>
  <si>
    <t>level100Defense</t>
    <phoneticPr fontId="8"/>
  </si>
  <si>
    <t>level100Speed</t>
    <phoneticPr fontId="8"/>
  </si>
  <si>
    <t>レベル100での防御力</t>
    <rPh sb="8" eb="11">
      <t>ボウギョリョク</t>
    </rPh>
    <phoneticPr fontId="8"/>
  </si>
  <si>
    <t>レベル100でのスピード</t>
    <phoneticPr fontId="8"/>
  </si>
  <si>
    <t>displayConditionList</t>
  </si>
  <si>
    <t>type</t>
    <phoneticPr fontId="8"/>
  </si>
  <si>
    <t>valueInt</t>
    <phoneticPr fontId="8"/>
  </si>
  <si>
    <t>canExecuteConditionList</t>
  </si>
  <si>
    <t>条件タイプ</t>
    <rPh sb="0" eb="2">
      <t>ジョウケン</t>
    </rPh>
    <phoneticPr fontId="8"/>
  </si>
  <si>
    <t>値（整数）</t>
    <rPh sb="0" eb="1">
      <t>アタイ</t>
    </rPh>
    <rPh sb="2" eb="4">
      <t>セイスウ</t>
    </rPh>
    <phoneticPr fontId="8"/>
  </si>
  <si>
    <t>【デバッグ用】オーブ付与</t>
    <rPh sb="5" eb="6">
      <t>ヨウ</t>
    </rPh>
    <rPh sb="10" eb="12">
      <t>フヨ</t>
    </rPh>
    <phoneticPr fontId="8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</si>
  <si>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8"/>
  </si>
  <si>
    <t>【デバッグ用】コイン付与</t>
    <rPh sb="5" eb="6">
      <t>ヨウ</t>
    </rPh>
    <rPh sb="10" eb="12">
      <t>フヨ</t>
    </rPh>
    <phoneticPr fontId="8"/>
  </si>
  <si>
    <t>プレイヤー経験値</t>
    <rPh sb="5" eb="8">
      <t>ケイケンチ</t>
    </rPh>
    <phoneticPr fontId="8"/>
  </si>
  <si>
    <t>モンスター経験値</t>
    <rPh sb="5" eb="8">
      <t>ケイケンチ</t>
    </rPh>
    <phoneticPr fontId="8"/>
  </si>
  <si>
    <t>PE</t>
    <phoneticPr fontId="8"/>
  </si>
  <si>
    <t>ME</t>
    <phoneticPr fontId="8"/>
  </si>
  <si>
    <t>サンプルプロパティ</t>
    <phoneticPr fontId="8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</si>
  <si>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8"/>
  </si>
  <si>
    <t>PassiveSkillMB</t>
    <phoneticPr fontId="8"/>
  </si>
  <si>
    <t>description</t>
    <phoneticPr fontId="8"/>
  </si>
  <si>
    <t>effectList</t>
    <phoneticPr fontId="8"/>
  </si>
  <si>
    <t>skillTargetType</t>
    <phoneticPr fontId="5"/>
  </si>
  <si>
    <t>valueTargetType</t>
    <phoneticPr fontId="5"/>
  </si>
  <si>
    <t>type</t>
    <phoneticPr fontId="5"/>
  </si>
  <si>
    <t>value</t>
    <phoneticPr fontId="5"/>
  </si>
  <si>
    <t>battleConditionType</t>
    <phoneticPr fontId="5"/>
  </si>
  <si>
    <t>durationTurnNum</t>
    <phoneticPr fontId="5"/>
  </si>
  <si>
    <t>triggerType</t>
    <phoneticPr fontId="5"/>
  </si>
  <si>
    <t>名前</t>
    <rPh sb="0" eb="2">
      <t>ナマエ</t>
    </rPh>
    <phoneticPr fontId="8"/>
  </si>
  <si>
    <t>説明</t>
    <rPh sb="0" eb="2">
      <t>セツメイ</t>
    </rPh>
    <phoneticPr fontId="8"/>
  </si>
  <si>
    <t>トリガータイプ</t>
    <phoneticPr fontId="8"/>
  </si>
  <si>
    <t>スキル対象タイプ</t>
    <rPh sb="3" eb="5">
      <t>タイショウ</t>
    </rPh>
    <phoneticPr fontId="5"/>
  </si>
  <si>
    <t>効果量対象タイプ</t>
    <rPh sb="0" eb="2">
      <t>コウカ</t>
    </rPh>
    <rPh sb="2" eb="3">
      <t>リョウ</t>
    </rPh>
    <rPh sb="3" eb="5">
      <t>タイショウ</t>
    </rPh>
    <phoneticPr fontId="5"/>
  </si>
  <si>
    <t>スキルタイプ</t>
    <phoneticPr fontId="5"/>
  </si>
  <si>
    <t>効果量（％）</t>
    <rPh sb="0" eb="2">
      <t>コウカ</t>
    </rPh>
    <rPh sb="2" eb="3">
      <t>リョウ</t>
    </rPh>
    <phoneticPr fontId="5"/>
  </si>
  <si>
    <t>状態異常タイプ（状態異常用）</t>
    <rPh sb="0" eb="2">
      <t>ジョウタイ</t>
    </rPh>
    <rPh sb="2" eb="4">
      <t>イジョウ</t>
    </rPh>
    <rPh sb="8" eb="10">
      <t>ジョウタイ</t>
    </rPh>
    <rPh sb="10" eb="12">
      <t>イジョウ</t>
    </rPh>
    <rPh sb="12" eb="13">
      <t>ヨウ</t>
    </rPh>
    <phoneticPr fontId="5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</si>
  <si>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5"/>
  </si>
  <si>
    <t>自分のターン終了後に自身のHPを「自身の攻撃力の120%」分回復する。</t>
    <rPh sb="0" eb="2">
      <t>ジブン</t>
    </rPh>
    <rPh sb="6" eb="8">
      <t>シュウリョウ</t>
    </rPh>
    <rPh sb="8" eb="9">
      <t>ゴ</t>
    </rPh>
    <rPh sb="10" eb="12">
      <t>ジシン</t>
    </rPh>
    <rPh sb="17" eb="19">
      <t>ジシン</t>
    </rPh>
    <rPh sb="20" eb="23">
      <t>コウゲキリョク</t>
    </rPh>
    <rPh sb="29" eb="30">
      <t>ブン</t>
    </rPh>
    <rPh sb="30" eb="32">
      <t>カイフク</t>
    </rPh>
    <phoneticPr fontId="5"/>
  </si>
  <si>
    <t>通常攻撃後に自身のHPを「自身の攻撃力の150%」分回復する。</t>
    <rPh sb="0" eb="2">
      <t>ツウジョウ</t>
    </rPh>
    <rPh sb="2" eb="4">
      <t>コウゲキ</t>
    </rPh>
    <rPh sb="4" eb="5">
      <t>ゴ</t>
    </rPh>
    <rPh sb="6" eb="8">
      <t>ジシン</t>
    </rPh>
    <rPh sb="13" eb="15">
      <t>ジシン</t>
    </rPh>
    <rPh sb="16" eb="19">
      <t>コウゲキリョク</t>
    </rPh>
    <rPh sb="25" eb="26">
      <t>ブン</t>
    </rPh>
    <rPh sb="26" eb="28">
      <t>カイフク</t>
    </rPh>
    <phoneticPr fontId="5"/>
  </si>
  <si>
    <t>攻撃を受けるたびに100%の確率で「自身の攻撃力の200%」のダメージを与える。</t>
    <rPh sb="0" eb="2">
      <t>コウゲキ</t>
    </rPh>
    <rPh sb="3" eb="4">
      <t>ウ</t>
    </rPh>
    <rPh sb="14" eb="16">
      <t>カクリツ</t>
    </rPh>
    <rPh sb="18" eb="20">
      <t>ジシン</t>
    </rPh>
    <rPh sb="21" eb="24">
      <t>コウゲキリョク</t>
    </rPh>
    <rPh sb="36" eb="37">
      <t>アタ</t>
    </rPh>
    <phoneticPr fontId="5"/>
  </si>
  <si>
    <t>自身のHPが50%未満の間、防御力アップ（永続、25%アップ）を付与する。</t>
    <rPh sb="0" eb="2">
      <t>ジシン</t>
    </rPh>
    <rPh sb="9" eb="11">
      <t>ミマン</t>
    </rPh>
    <rPh sb="12" eb="13">
      <t>アイダ</t>
    </rPh>
    <rPh sb="14" eb="17">
      <t>ボウギョリョク</t>
    </rPh>
    <rPh sb="21" eb="23">
      <t>エイゾク</t>
    </rPh>
    <rPh sb="32" eb="34">
      <t>フヨ</t>
    </rPh>
    <phoneticPr fontId="5"/>
  </si>
  <si>
    <t>自身が倒された後、すべての味方にリジェネ（4ターン、400%分の回復量）を付与する。</t>
    <rPh sb="0" eb="2">
      <t>ジシン</t>
    </rPh>
    <rPh sb="3" eb="4">
      <t>タオ</t>
    </rPh>
    <rPh sb="7" eb="8">
      <t>アト</t>
    </rPh>
    <rPh sb="13" eb="15">
      <t>ミカタ</t>
    </rPh>
    <rPh sb="30" eb="31">
      <t>ブン</t>
    </rPh>
    <rPh sb="32" eb="34">
      <t>カイフク</t>
    </rPh>
    <rPh sb="34" eb="35">
      <t>リョウ</t>
    </rPh>
    <rPh sb="37" eb="39">
      <t>フヨ</t>
    </rPh>
    <phoneticPr fontId="5"/>
  </si>
  <si>
    <t>毎ターンヒール</t>
    <rPh sb="0" eb="1">
      <t>マイ</t>
    </rPh>
    <phoneticPr fontId="5"/>
  </si>
  <si>
    <t>攻撃後ヒール</t>
    <rPh sb="0" eb="2">
      <t>コウゲキ</t>
    </rPh>
    <rPh sb="2" eb="3">
      <t>ゴ</t>
    </rPh>
    <phoneticPr fontId="5"/>
  </si>
  <si>
    <t>カウンター</t>
    <phoneticPr fontId="5"/>
  </si>
  <si>
    <t>不屈の心</t>
    <rPh sb="0" eb="2">
      <t>フクツ</t>
    </rPh>
    <rPh sb="3" eb="4">
      <t>ココロ</t>
    </rPh>
    <phoneticPr fontId="5"/>
  </si>
  <si>
    <t>女神のリジェネ</t>
    <rPh sb="0" eb="2">
      <t>メガミ</t>
    </rPh>
    <phoneticPr fontId="5"/>
  </si>
  <si>
    <t>activateConditionType</t>
    <phoneticPr fontId="5"/>
  </si>
  <si>
    <t>発動条件タイプ</t>
    <rPh sb="0" eb="2">
      <t>ハツドウ</t>
    </rPh>
    <rPh sb="2" eb="4">
      <t>ジョウケン</t>
    </rPh>
    <phoneticPr fontId="5"/>
  </si>
  <si>
    <t>0: None
1: 毎アクション毎
2: バトル開始時
3: 自分のターン終了時
4: 自分の通常攻撃終了時
5: 自分のウルト終了時
6: 自分がダメージを受けたとき
7: 自分が倒れたとき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38" eb="40">
      <t>シュウリョウ</t>
    </rPh>
    <rPh sb="40" eb="41">
      <t>ジ</t>
    </rPh>
    <rPh sb="45" eb="47">
      <t>ジブン</t>
    </rPh>
    <rPh sb="48" eb="50">
      <t>ツウジョウ</t>
    </rPh>
    <rPh sb="50" eb="52">
      <t>コウゲキ</t>
    </rPh>
    <rPh sb="52" eb="54">
      <t>シュウリョウ</t>
    </rPh>
    <rPh sb="54" eb="55">
      <t>ジ</t>
    </rPh>
    <rPh sb="59" eb="61">
      <t>ジブン</t>
    </rPh>
    <rPh sb="65" eb="67">
      <t>シュウリョウ</t>
    </rPh>
    <rPh sb="67" eb="68">
      <t>ジ</t>
    </rPh>
    <rPh sb="72" eb="74">
      <t>ジブン</t>
    </rPh>
    <rPh sb="80" eb="81">
      <t>ウ</t>
    </rPh>
    <rPh sb="89" eb="91">
      <t>ジブン</t>
    </rPh>
    <rPh sb="92" eb="93">
      <t>タオ</t>
    </rPh>
    <phoneticPr fontId="5"/>
  </si>
  <si>
    <t>0: None
1: 自身の体力
2: 自身の攻撃力
3: 自身の防御力
4: 自身の防御力
5: 自身の回復力
6: 自身のスピード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ボウギョリョク</t>
    </rPh>
    <rPh sb="50" eb="52">
      <t>ジシン</t>
    </rPh>
    <rPh sb="53" eb="56">
      <t>カイフクリョク</t>
    </rPh>
    <rPh sb="60" eb="62">
      <t>ジシン</t>
    </rPh>
    <phoneticPr fontId="5"/>
  </si>
  <si>
    <t>0: None
1: 攻撃
2: 体力回復
3: 状態異常
4: エネルギー減少
5: エネルギー回復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38" eb="40">
      <t>ゲンショウ</t>
    </rPh>
    <rPh sb="49" eb="51">
      <t>カイフク</t>
    </rPh>
    <phoneticPr fontId="5"/>
  </si>
  <si>
    <t>0: None
1: 攻撃力上昇
2: 攻撃力減少
3: 防御力上昇
4: 防御力減少
5: 回復力上昇
6: 回復力減少
7: スピード上昇
8: スピード減少
9: リジェネ状態
10: 継続ダメージ状態</t>
    <rPh sb="11" eb="14">
      <t>コウゲキリョク</t>
    </rPh>
    <rPh sb="14" eb="16">
      <t>ジョウショウ</t>
    </rPh>
    <rPh sb="20" eb="23">
      <t>コウゲキリョク</t>
    </rPh>
    <rPh sb="23" eb="25">
      <t>ゲンショウ</t>
    </rPh>
    <rPh sb="29" eb="32">
      <t>ボウギョリョク</t>
    </rPh>
    <rPh sb="32" eb="34">
      <t>ジョウショウ</t>
    </rPh>
    <rPh sb="38" eb="41">
      <t>ボウギョリョク</t>
    </rPh>
    <rPh sb="41" eb="43">
      <t>ゲンショウ</t>
    </rPh>
    <rPh sb="47" eb="50">
      <t>カイフクリョク</t>
    </rPh>
    <rPh sb="50" eb="52">
      <t>ジョウショウ</t>
    </rPh>
    <rPh sb="56" eb="59">
      <t>カイフクリョク</t>
    </rPh>
    <rPh sb="59" eb="61">
      <t>ゲンショウ</t>
    </rPh>
    <rPh sb="69" eb="71">
      <t>ジョウショウ</t>
    </rPh>
    <rPh sb="79" eb="81">
      <t>ゲンショウ</t>
    </rPh>
    <rPh sb="96" eb="98">
      <t>ケイゾク</t>
    </rPh>
    <rPh sb="102" eb="104">
      <t>ジョウタイ</t>
    </rPh>
    <phoneticPr fontId="5"/>
  </si>
  <si>
    <t xml:space="preserve"> -1: 永続
0: None
数字: その値分継続</t>
    <phoneticPr fontId="5"/>
  </si>
  <si>
    <t>NormalSkillMB</t>
    <phoneticPr fontId="8"/>
  </si>
  <si>
    <t>敵後衛全体に「自身の攻撃力の80%」のダメージを与える。</t>
    <rPh sb="0" eb="1">
      <t>テキ</t>
    </rPh>
    <rPh sb="1" eb="3">
      <t>コウエイ</t>
    </rPh>
    <rPh sb="3" eb="5">
      <t>ゼンタイ</t>
    </rPh>
    <rPh sb="7" eb="9">
      <t>ジシン</t>
    </rPh>
    <rPh sb="10" eb="13">
      <t>コウゲキリョク</t>
    </rPh>
    <rPh sb="24" eb="25">
      <t>アタ</t>
    </rPh>
    <phoneticPr fontId="5"/>
  </si>
  <si>
    <t>HPが最も低い敵に「自身の攻撃力の200%」のダメージを与える。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phoneticPr fontId="5"/>
  </si>
  <si>
    <t>一番前の敵に「自身の攻撃力の120%」のダメージを与え、エネルギーを25ダウンさせる。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5"/>
  </si>
  <si>
    <t>一番前の敵に「自身の攻撃力の100%」のダメージを与え、HPが低い味方3体のHPを「自身の攻撃力の250%」分回復する。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1" eb="32">
      <t>ヒク</t>
    </rPh>
    <rPh sb="33" eb="35">
      <t>ミカタ</t>
    </rPh>
    <rPh sb="36" eb="37">
      <t>タイ</t>
    </rPh>
    <rPh sb="42" eb="44">
      <t>ジシン</t>
    </rPh>
    <rPh sb="45" eb="48">
      <t>コウゲキリョク</t>
    </rPh>
    <rPh sb="54" eb="55">
      <t>ブン</t>
    </rPh>
    <rPh sb="55" eb="57">
      <t>カイフク</t>
    </rPh>
    <phoneticPr fontId="5"/>
  </si>
  <si>
    <t>敵全体に「自身の攻撃力の100%」のダメージを与える。</t>
    <rPh sb="0" eb="1">
      <t>テキ</t>
    </rPh>
    <rPh sb="1" eb="3">
      <t>ゼンタイ</t>
    </rPh>
    <rPh sb="5" eb="7">
      <t>ジシン</t>
    </rPh>
    <rPh sb="8" eb="11">
      <t>コウゲキリョク</t>
    </rPh>
    <rPh sb="23" eb="24">
      <t>アタ</t>
    </rPh>
    <phoneticPr fontId="5"/>
  </si>
  <si>
    <t>effectList</t>
    <phoneticPr fontId="5"/>
  </si>
  <si>
    <t>UltimateSkillMB</t>
    <phoneticPr fontId="8"/>
  </si>
  <si>
    <t>敵後衛全体に「自身の攻撃力の200%」のダメージを与える。</t>
    <rPh sb="0" eb="1">
      <t>テキ</t>
    </rPh>
    <rPh sb="1" eb="3">
      <t>コウエイ</t>
    </rPh>
    <rPh sb="3" eb="5">
      <t>ゼンタイ</t>
    </rPh>
    <rPh sb="7" eb="9">
      <t>ジシン</t>
    </rPh>
    <rPh sb="10" eb="13">
      <t>コウゲキリョク</t>
    </rPh>
    <rPh sb="25" eb="26">
      <t>アタ</t>
    </rPh>
    <phoneticPr fontId="5"/>
  </si>
  <si>
    <t>ランダムな敵3体に「自身の攻撃力の200%」のダメージを与え、スリップ状態（3ターン、自身の攻撃力の100%ダメージ）を付与する。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ジョウタイ</t>
    </rPh>
    <rPh sb="43" eb="45">
      <t>ジシン</t>
    </rPh>
    <rPh sb="46" eb="49">
      <t>コウゲキリョク</t>
    </rPh>
    <rPh sb="60" eb="62">
      <t>フヨ</t>
    </rPh>
    <phoneticPr fontId="5"/>
  </si>
  <si>
    <t>敵全体に「自身の攻撃力の95%」のダメージを与え、攻撃力ダウン（3ターン、15%）を付与する。</t>
    <rPh sb="0" eb="1">
      <t>テキ</t>
    </rPh>
    <rPh sb="1" eb="3">
      <t>ゼンタイ</t>
    </rPh>
    <rPh sb="5" eb="7">
      <t>ジシン</t>
    </rPh>
    <rPh sb="8" eb="11">
      <t>コウゲキリョク</t>
    </rPh>
    <rPh sb="22" eb="23">
      <t>アタ</t>
    </rPh>
    <rPh sb="25" eb="28">
      <t>コウゲキリョク</t>
    </rPh>
    <rPh sb="42" eb="44">
      <t>フヨ</t>
    </rPh>
    <phoneticPr fontId="5"/>
  </si>
  <si>
    <t>ランダムな敵4体に「自身の攻撃力の182%」のダメージを与え、ランダムな味方4体に攻撃力アップ（3ターン、30%）を付与する。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6" eb="38">
      <t>ミカタ</t>
    </rPh>
    <rPh sb="39" eb="40">
      <t>タイ</t>
    </rPh>
    <rPh sb="41" eb="44">
      <t>コウゲキリョク</t>
    </rPh>
    <rPh sb="58" eb="60">
      <t>フヨ</t>
    </rPh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</si>
  <si>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phoneticPr fontId="5"/>
  </si>
  <si>
    <t>passiveSkillId</t>
    <phoneticPr fontId="8"/>
  </si>
  <si>
    <t>normalSkillId</t>
    <phoneticPr fontId="8"/>
  </si>
  <si>
    <t>ultimateSkillId</t>
    <phoneticPr fontId="8"/>
  </si>
  <si>
    <t>パッシブスキルID</t>
    <phoneticPr fontId="8"/>
  </si>
  <si>
    <t>通常スキルID</t>
    <rPh sb="0" eb="2">
      <t>ツウジョウ</t>
    </rPh>
    <phoneticPr fontId="8"/>
  </si>
  <si>
    <t>アルティメットスキルID</t>
    <phoneticPr fontId="8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</si>
  <si>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5"/>
  </si>
  <si>
    <t>ランダムな敵4体に「自身の攻撃力の272%」のダメージを与え、味方全体のHPを「自身の攻撃力の220%」分回復する。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1" eb="33">
      <t>ミカタ</t>
    </rPh>
    <rPh sb="33" eb="35">
      <t>ゼンタイ</t>
    </rPh>
    <rPh sb="40" eb="42">
      <t>ジシン</t>
    </rPh>
    <rPh sb="43" eb="46">
      <t>コウゲキリョク</t>
    </rPh>
    <rPh sb="52" eb="53">
      <t>フン</t>
    </rPh>
    <rPh sb="53" eb="55">
      <t>カイフク</t>
    </rPh>
    <phoneticPr fontId="5"/>
  </si>
  <si>
    <t>敵後衛全体に「自身の攻撃力の80%」のダメージ攻撃</t>
    <rPh sb="0" eb="1">
      <t>テキ</t>
    </rPh>
    <rPh sb="1" eb="3">
      <t>コウエイ</t>
    </rPh>
    <rPh sb="3" eb="5">
      <t>ゼンタイ</t>
    </rPh>
    <rPh sb="7" eb="9">
      <t>ジシン</t>
    </rPh>
    <rPh sb="10" eb="13">
      <t>コウゲキリョク</t>
    </rPh>
    <rPh sb="23" eb="25">
      <t>コウゲキ</t>
    </rPh>
    <phoneticPr fontId="5"/>
  </si>
  <si>
    <t>HPが最も低い敵に「自身の攻撃力の200%」のダメージ攻撃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7" eb="29">
      <t>コウゲキ</t>
    </rPh>
    <phoneticPr fontId="5"/>
  </si>
  <si>
    <t>一番前の敵に「自身の攻撃力の120%」のダメージを与え、エネルギーを25ダウン攻撃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9" eb="41">
      <t>コウゲキ</t>
    </rPh>
    <phoneticPr fontId="5"/>
  </si>
  <si>
    <t>一番前の敵に「自身の攻撃力の100%」のダメージを与え、HPが低い味方3体のHPを「自身の攻撃力の250%」分回復攻撃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1" eb="32">
      <t>ヒク</t>
    </rPh>
    <rPh sb="33" eb="35">
      <t>ミカタ</t>
    </rPh>
    <rPh sb="36" eb="37">
      <t>タイ</t>
    </rPh>
    <rPh sb="42" eb="44">
      <t>ジシン</t>
    </rPh>
    <rPh sb="45" eb="48">
      <t>コウゲキリョク</t>
    </rPh>
    <rPh sb="54" eb="55">
      <t>ブン</t>
    </rPh>
    <rPh sb="55" eb="57">
      <t>カイフク</t>
    </rPh>
    <rPh sb="57" eb="59">
      <t>コウゲキ</t>
    </rPh>
    <phoneticPr fontId="5"/>
  </si>
  <si>
    <t>敵全体に「自身の攻撃力の100%」のダメージ攻撃</t>
    <rPh sb="0" eb="1">
      <t>テキ</t>
    </rPh>
    <rPh sb="1" eb="3">
      <t>ゼンタイ</t>
    </rPh>
    <rPh sb="5" eb="7">
      <t>ジシン</t>
    </rPh>
    <rPh sb="8" eb="11">
      <t>コウゲキリョク</t>
    </rPh>
    <rPh sb="22" eb="24">
      <t>コウゲキ</t>
    </rPh>
    <phoneticPr fontId="5"/>
  </si>
  <si>
    <t>敵後衛全体に「自身の攻撃力の200%」のダメージウルト</t>
    <rPh sb="0" eb="1">
      <t>テキ</t>
    </rPh>
    <rPh sb="1" eb="3">
      <t>コウエイ</t>
    </rPh>
    <rPh sb="3" eb="5">
      <t>ゼンタイ</t>
    </rPh>
    <rPh sb="7" eb="9">
      <t>ジシン</t>
    </rPh>
    <rPh sb="10" eb="13">
      <t>コウゲキリョク</t>
    </rPh>
    <phoneticPr fontId="5"/>
  </si>
  <si>
    <t>ランダムな敵3体に「自身の攻撃力の200%」のダメージを与え、スリップ状態（3ターン、自身の攻撃力の100%ダメージ）を付与するウルト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ジョウタイ</t>
    </rPh>
    <rPh sb="43" eb="45">
      <t>ジシン</t>
    </rPh>
    <rPh sb="46" eb="49">
      <t>コウゲキリョク</t>
    </rPh>
    <rPh sb="60" eb="62">
      <t>フヨ</t>
    </rPh>
    <phoneticPr fontId="5"/>
  </si>
  <si>
    <t>ランダムな敵4体に「自身の攻撃力の272%」のダメージを与え、味方全体のHPを「自身の攻撃力の220%」分回復ウルト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1" eb="33">
      <t>ミカタ</t>
    </rPh>
    <rPh sb="33" eb="35">
      <t>ゼンタイ</t>
    </rPh>
    <rPh sb="40" eb="42">
      <t>ジシン</t>
    </rPh>
    <rPh sb="43" eb="46">
      <t>コウゲキリョク</t>
    </rPh>
    <rPh sb="52" eb="53">
      <t>フン</t>
    </rPh>
    <rPh sb="53" eb="55">
      <t>カイフク</t>
    </rPh>
    <phoneticPr fontId="5"/>
  </si>
  <si>
    <t>敵全体に「自身の攻撃力の95%」のダメージを与え、攻撃力ダウン（3ターン、15%）を付与ウルト</t>
    <rPh sb="0" eb="1">
      <t>テキ</t>
    </rPh>
    <rPh sb="1" eb="3">
      <t>ゼンタイ</t>
    </rPh>
    <rPh sb="5" eb="7">
      <t>ジシン</t>
    </rPh>
    <rPh sb="8" eb="11">
      <t>コウゲキリョク</t>
    </rPh>
    <rPh sb="22" eb="23">
      <t>アタ</t>
    </rPh>
    <rPh sb="25" eb="28">
      <t>コウゲキリョク</t>
    </rPh>
    <rPh sb="42" eb="44">
      <t>フヨ</t>
    </rPh>
    <phoneticPr fontId="5"/>
  </si>
  <si>
    <t>ランダムな敵4体に「自身の攻撃力の182%」のダメージを与え、ランダムな味方4体に攻撃力アップ（3ターン、30%）を付与ウルト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6" eb="38">
      <t>ミカタ</t>
    </rPh>
    <rPh sb="39" eb="40">
      <t>タイ</t>
    </rPh>
    <rPh sb="41" eb="44">
      <t>コウゲキリョク</t>
    </rPh>
    <rPh sb="58" eb="60">
      <t>フヨ</t>
    </rPh>
    <phoneticPr fontId="5"/>
  </si>
  <si>
    <t>skillFxId</t>
    <phoneticPr fontId="5"/>
  </si>
  <si>
    <t>スキル演出ID</t>
    <rPh sb="3" eb="5">
      <t>エンシュツ</t>
    </rPh>
    <phoneticPr fontId="5"/>
  </si>
  <si>
    <t>SkillFxMB</t>
    <phoneticPr fontId="8"/>
  </si>
  <si>
    <t>攻撃1</t>
    <rPh sb="0" eb="2">
      <t>コウゲキ</t>
    </rPh>
    <phoneticPr fontId="5"/>
  </si>
  <si>
    <t>回復1</t>
    <rPh sb="0" eb="2">
      <t>カイフク</t>
    </rPh>
    <phoneticPr fontId="5"/>
  </si>
  <si>
    <t>状態異常1</t>
    <rPh sb="0" eb="2">
      <t>ジョウタイ</t>
    </rPh>
    <rPh sb="2" eb="4">
      <t>イジョウ</t>
    </rPh>
    <phoneticPr fontId="5"/>
  </si>
  <si>
    <t>valueString</t>
    <phoneticPr fontId="8"/>
  </si>
  <si>
    <t>値（文字列）</t>
    <rPh sb="0" eb="1">
      <t>アタイ</t>
    </rPh>
    <rPh sb="2" eb="5">
      <t>モジレツ</t>
    </rPh>
    <phoneticPr fontId="8"/>
  </si>
  <si>
    <t>1:UpperQuestId
2:LowerQuestId
3:UpperDate
4:LowerDate</t>
    <phoneticPr fontId="8"/>
  </si>
  <si>
    <t>イベントクエスト</t>
    <phoneticPr fontId="8"/>
  </si>
  <si>
    <t>1:ノーマル
2:イベント</t>
    <rPh sb="0" eb="1">
      <t>メイ</t>
    </rPh>
    <phoneticPr fontId="8"/>
  </si>
  <si>
    <t>イベントクエスト初級</t>
    <rPh sb="8" eb="10">
      <t>ショキュウ</t>
    </rPh>
    <phoneticPr fontId="8"/>
  </si>
  <si>
    <t>イベントクエスト中級</t>
    <rPh sb="8" eb="10">
      <t>チュウキュウ</t>
    </rPh>
    <phoneticPr fontId="8"/>
  </si>
  <si>
    <t>イベントクエスト上級</t>
    <rPh sb="8" eb="10">
      <t>ジョウキュウ</t>
    </rPh>
    <phoneticPr fontId="8"/>
  </si>
  <si>
    <t>イベントクエスト超級</t>
    <rPh sb="8" eb="10">
      <t>チョウキュウ</t>
    </rPh>
    <phoneticPr fontId="8"/>
  </si>
  <si>
    <t>イベントクエスト地獄級</t>
    <rPh sb="8" eb="10">
      <t>ジゴク</t>
    </rPh>
    <rPh sb="10" eb="11">
      <t>キュウ</t>
    </rPh>
    <phoneticPr fontId="8"/>
  </si>
  <si>
    <t>2022-01-01 04:00:00</t>
    <phoneticPr fontId="8"/>
  </si>
  <si>
    <t>gachaExecuteType</t>
  </si>
  <si>
    <t>1:通常単発
2:通常十連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phoneticPr fontId="8"/>
  </si>
  <si>
    <t>2022-03-31 03:59:59</t>
    <phoneticPr fontId="8"/>
  </si>
  <si>
    <t>2022-02-09 00:45:00</t>
    <phoneticPr fontId="8"/>
  </si>
  <si>
    <t>consumeStamina</t>
    <phoneticPr fontId="8"/>
  </si>
  <si>
    <t>消費スタミナ量</t>
    <rPh sb="0" eb="2">
      <t>ショウヒ</t>
    </rPh>
    <rPh sb="6" eb="7">
      <t>リョウ</t>
    </rPh>
    <phoneticPr fontId="8"/>
  </si>
  <si>
    <t>MissionMB</t>
    <phoneticPr fontId="8"/>
  </si>
  <si>
    <t>missionType</t>
    <phoneticPr fontId="8"/>
  </si>
  <si>
    <t>ミッションタイプ</t>
    <phoneticPr fontId="8"/>
  </si>
  <si>
    <t>1: メイン
2: デイリー
3: ウィークリー
4: マンスリー
5: イベント</t>
    <phoneticPr fontId="5"/>
  </si>
  <si>
    <t>ミッション名</t>
    <rPh sb="5" eb="6">
      <t>メイ</t>
    </rPh>
    <phoneticPr fontId="8"/>
  </si>
  <si>
    <t>rewardBundleId</t>
    <phoneticPr fontId="8"/>
  </si>
  <si>
    <t>報酬バンドルID</t>
    <rPh sb="0" eb="2">
      <t>ホウシュウ</t>
    </rPh>
    <phoneticPr fontId="8"/>
  </si>
  <si>
    <t>canClearConditionList</t>
    <phoneticPr fontId="5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</si>
  <si>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8"/>
  </si>
  <si>
    <t>クエスト1-1をクリアしよう</t>
    <phoneticPr fontId="5"/>
  </si>
  <si>
    <t>クエスト2-1をクリアしよう</t>
    <phoneticPr fontId="5"/>
  </si>
  <si>
    <t>イベントクエスト地獄級をクリアしよう</t>
    <rPh sb="8" eb="10">
      <t>ジゴク</t>
    </rPh>
    <rPh sb="10" eb="11">
      <t>キュウ</t>
    </rPh>
    <phoneticPr fontId="5"/>
  </si>
  <si>
    <t>【メインミッションクリア報酬】1-1のクリア報酬</t>
    <rPh sb="12" eb="14">
      <t>ホウシュウ</t>
    </rPh>
    <rPh sb="22" eb="24">
      <t>ホウシュウ</t>
    </rPh>
    <phoneticPr fontId="8"/>
  </si>
  <si>
    <t>【メインミッションクリア報酬】1-2のクリア報酬</t>
    <rPh sb="12" eb="14">
      <t>ホウシュウ</t>
    </rPh>
    <rPh sb="22" eb="24">
      <t>ホウシュウ</t>
    </rPh>
    <phoneticPr fontId="8"/>
  </si>
  <si>
    <t>【メインミッションクリア報酬】1-3のクリア報酬</t>
    <rPh sb="12" eb="14">
      <t>ホウシュウ</t>
    </rPh>
    <rPh sb="22" eb="24">
      <t>ホウシュウ</t>
    </rPh>
    <phoneticPr fontId="8"/>
  </si>
  <si>
    <t>クエスト6-14をクリアしよう</t>
    <phoneticPr fontId="5"/>
  </si>
  <si>
    <t>ログインしよう</t>
    <phoneticPr fontId="5"/>
  </si>
  <si>
    <t>クエストをクリアしよう</t>
    <phoneticPr fontId="5"/>
  </si>
  <si>
    <t>すべてのデイリーミッションをクリアしよう</t>
    <phoneticPr fontId="5"/>
  </si>
  <si>
    <t>【デイリーミッションクリア報酬】ログインしよう</t>
    <rPh sb="13" eb="15">
      <t>ホウシュウ</t>
    </rPh>
    <phoneticPr fontId="8"/>
  </si>
  <si>
    <t>【デイリーミッションクリア報酬】クエストクリアしよう</t>
    <rPh sb="13" eb="15">
      <t>ホウシュウ</t>
    </rPh>
    <phoneticPr fontId="8"/>
  </si>
  <si>
    <t>【デイリーミッションクリア報酬】すべてのデイリーミッションクリア</t>
    <rPh sb="13" eb="15">
      <t>ホウシュウ</t>
    </rPh>
    <phoneticPr fontId="8"/>
  </si>
  <si>
    <t>イベントクエスト初級をクリアしよう</t>
    <rPh sb="8" eb="10">
      <t>ショキュウ</t>
    </rPh>
    <rPh sb="9" eb="10">
      <t>キュウ</t>
    </rPh>
    <phoneticPr fontId="5"/>
  </si>
  <si>
    <t>イベントクエスト中級をクリアしよう</t>
    <rPh sb="8" eb="10">
      <t>チュウキュウ</t>
    </rPh>
    <phoneticPr fontId="5"/>
  </si>
  <si>
    <t>イベントクエスト上級をクリアしよう</t>
    <rPh sb="8" eb="10">
      <t>ジョウキュウ</t>
    </rPh>
    <phoneticPr fontId="5"/>
  </si>
  <si>
    <t>イベントクエスト超級をクリアしよう</t>
    <rPh sb="8" eb="10">
      <t>チョウキュウ</t>
    </rPh>
    <phoneticPr fontId="5"/>
  </si>
  <si>
    <t>【イベントミッションクリア報酬】イベントクエスト初級</t>
    <rPh sb="13" eb="15">
      <t>ホウシュウ</t>
    </rPh>
    <rPh sb="24" eb="26">
      <t>ショキュウ</t>
    </rPh>
    <phoneticPr fontId="8"/>
  </si>
  <si>
    <t>【イベントミッションクリア報酬】イベントクエスト中級</t>
    <rPh sb="13" eb="15">
      <t>ホウシュウ</t>
    </rPh>
    <rPh sb="24" eb="26">
      <t>チュウキュウ</t>
    </rPh>
    <phoneticPr fontId="8"/>
  </si>
  <si>
    <t>【イベントミッションクリア報酬】イベントクエスト上級</t>
    <rPh sb="13" eb="15">
      <t>ホウシュウ</t>
    </rPh>
    <rPh sb="24" eb="26">
      <t>ジョウキュウ</t>
    </rPh>
    <phoneticPr fontId="8"/>
  </si>
  <si>
    <t>【イベントミッションクリア報酬】イベントクエスト超級</t>
    <rPh sb="13" eb="15">
      <t>ホウシュウ</t>
    </rPh>
    <rPh sb="24" eb="26">
      <t>チョウキュウ</t>
    </rPh>
    <phoneticPr fontId="8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</si>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</sst>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0">
    <font>
      <sz val="11"/>
      <color theme="1"/>
      <name val="Arial"/>
    </font>
    <font>
      <b/>
      <sz val="8"/>
      <color theme="0"/>
      <name val="Meiryo"/>
      <family val="3"/>
      <charset val="128"/>
    </font>
    <font>
      <b/>
      <sz val="8"/>
      <color theme="1"/>
      <name val="Meiryo"/>
      <family val="3"/>
      <charset val="128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b/>
      <sz val="11"/>
      <color theme="1"/>
      <name val="Arial"/>
      <family val="2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2"/>
      <charset val="128"/>
    </font>
  </fonts>
  <fills count="6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</fills>
  <borders count="9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 applyFont="1" applyAlignment="1"/>
    <xf numFmtId="0" fontId="1" fillId="2" borderId="1" xfId="0" applyFont="1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4" fillId="3" borderId="1" xfId="0" applyFont="1" applyFill="1" applyBorder="1" applyAlignment="1">
      <alignment vertical="center"/>
    </xf>
    <xf numFmtId="0" fontId="4" fillId="4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 wrapText="1"/>
    </xf>
    <xf numFmtId="0" fontId="1" fillId="2" borderId="2" xfId="0" applyFont="1" applyFill="1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2" borderId="2" xfId="0" applyFont="1" applyFill="1" applyBorder="1" applyAlignment="1">
      <alignment vertical="center"/>
    </xf>
    <xf numFmtId="0" fontId="6" fillId="0" borderId="0" xfId="0" applyFont="1" applyAlignment="1"/>
    <xf numFmtId="20" fontId="4" fillId="5" borderId="1" xfId="0" applyNumberFormat="1" applyFont="1" applyFill="1" applyBorder="1" applyAlignment="1">
      <alignment vertical="center" wrapText="1"/>
    </xf>
    <xf numFmtId="0" fontId="2" fillId="0" borderId="2" xfId="0" applyFont="1" applyBorder="1" applyAlignment="1">
      <alignment vertical="center"/>
    </xf>
    <xf numFmtId="0" fontId="4" fillId="0" borderId="1" xfId="0" applyFont="1" applyBorder="1" applyAlignment="1">
      <alignment vertical="center" wrapText="1"/>
    </xf>
    <xf numFmtId="0" fontId="9" fillId="5" borderId="1" xfId="0" applyFont="1" applyFill="1" applyBorder="1" applyAlignment="1">
      <alignment vertical="center"/>
    </xf>
    <xf numFmtId="0" fontId="9" fillId="5" borderId="3" xfId="0" applyFont="1" applyFill="1" applyBorder="1" applyAlignment="1">
      <alignment vertical="center" wrapText="1"/>
    </xf>
    <xf numFmtId="0" fontId="9" fillId="5" borderId="3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0" fillId="0" borderId="4" xfId="0" applyFont="1" applyBorder="1" applyAlignment="1"/>
    <xf numFmtId="0" fontId="4" fillId="0" borderId="5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176" fontId="4" fillId="0" borderId="1" xfId="0" applyNumberFormat="1" applyFont="1" applyBorder="1" applyAlignment="1">
      <alignment vertical="center"/>
    </xf>
    <xf numFmtId="0" fontId="0" fillId="0" borderId="2" xfId="0" applyFont="1" applyBorder="1" applyAlignment="1"/>
    <xf numFmtId="0" fontId="4" fillId="0" borderId="3" xfId="0" applyFont="1" applyBorder="1" applyAlignment="1">
      <alignment vertical="center"/>
    </xf>
    <xf numFmtId="0" fontId="4" fillId="0" borderId="7" xfId="0" applyFont="1" applyBorder="1" applyAlignment="1">
      <alignment vertical="center"/>
    </xf>
    <xf numFmtId="0" fontId="0" fillId="0" borderId="8" xfId="0" applyFont="1" applyBorder="1" applyAlignment="1"/>
    <xf numFmtId="0" fontId="4" fillId="5" borderId="6" xfId="0" applyFont="1" applyFill="1" applyBorder="1" applyAlignment="1">
      <alignment vertical="center"/>
    </xf>
    <xf numFmtId="0" fontId="4" fillId="5" borderId="6" xfId="0" applyFont="1" applyFill="1" applyBorder="1" applyAlignment="1">
      <alignment vertical="center" wrapText="1"/>
    </xf>
    <xf numFmtId="20" fontId="4" fillId="5" borderId="6" xfId="0" applyNumberFormat="1" applyFont="1" applyFill="1" applyBorder="1" applyAlignment="1">
      <alignment vertical="center" wrapText="1"/>
    </xf>
    <xf numFmtId="176" fontId="4" fillId="0" borderId="4" xfId="0" applyNumberFormat="1" applyFont="1" applyBorder="1" applyAlignment="1">
      <alignment vertical="center"/>
    </xf>
    <xf numFmtId="0" fontId="4" fillId="5" borderId="4" xfId="0" applyFont="1" applyFill="1" applyBorder="1" applyAlignment="1">
      <alignment vertical="center"/>
    </xf>
    <xf numFmtId="49" fontId="4" fillId="5" borderId="4" xfId="0" applyNumberFormat="1" applyFont="1" applyFill="1" applyBorder="1" applyAlignment="1">
      <alignment vertical="center"/>
    </xf>
    <xf numFmtId="49" fontId="4" fillId="0" borderId="4" xfId="0" applyNumberFormat="1" applyFont="1" applyBorder="1" applyAlignment="1">
      <alignment vertical="center"/>
    </xf>
    <xf numFmtId="0" fontId="4" fillId="0" borderId="4" xfId="0" applyFont="1" applyFill="1" applyBorder="1" applyAlignment="1">
      <alignment vertical="center"/>
    </xf>
    <xf numFmtId="49" fontId="4" fillId="0" borderId="1" xfId="0" applyNumberFormat="1" applyFont="1" applyBorder="1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customschemas.google.com/relationships/workbookmetadata" Target="metadata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3</xdr:col>
          <xdr:colOff>0</xdr:colOff>
          <xdr:row>1</xdr:row>
          <xdr:rowOff>419100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8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9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A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B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C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D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E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F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0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1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3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4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9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000"/>
  <sheetViews>
    <sheetView topLeftCell="A3" workbookViewId="0">
      <selection activeCell="G14" sqref="G14"/>
    </sheetView>
  </sheetViews>
  <sheetFormatPr defaultColWidth="12.625" defaultRowHeight="15" customHeight="1"/>
  <cols>
    <col min="1" max="1" width="7.625" customWidth="1"/>
    <col min="2" max="2" width="17" customWidth="1"/>
    <col min="3" max="38" width="12.625" customWidth="1"/>
  </cols>
  <sheetData>
    <row r="1" spans="1:38" ht="12" customHeight="1"/>
    <row r="2" spans="1:38" ht="40.5" customHeight="1">
      <c r="A2" s="1" t="s">
        <v>0</v>
      </c>
      <c r="B2" s="2" t="s">
        <v>1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/>
      <c r="J4" s="5"/>
      <c r="K4" s="5"/>
      <c r="L4" s="5"/>
      <c r="M4" s="5" t="s">
        <v>11</v>
      </c>
      <c r="N4" s="5"/>
      <c r="O4" s="5"/>
      <c r="P4" s="5"/>
      <c r="Q4" s="5"/>
      <c r="R4" s="5" t="s">
        <v>12</v>
      </c>
      <c r="S4" s="5"/>
      <c r="T4" s="5"/>
      <c r="U4" s="5"/>
      <c r="V4" s="5"/>
      <c r="W4" s="5"/>
      <c r="X4" s="5" t="s">
        <v>13</v>
      </c>
      <c r="Y4" s="5"/>
      <c r="Z4" s="5" t="s">
        <v>14</v>
      </c>
      <c r="AA4" s="5"/>
      <c r="AB4" s="5" t="s">
        <v>15</v>
      </c>
      <c r="AC4" s="5" t="s">
        <v>16</v>
      </c>
      <c r="AD4" s="5" t="s">
        <v>17</v>
      </c>
      <c r="AE4" s="5" t="s">
        <v>18</v>
      </c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 t="s">
        <v>20</v>
      </c>
      <c r="I5" s="5" t="s">
        <v>21</v>
      </c>
      <c r="J5" s="5" t="s">
        <v>22</v>
      </c>
      <c r="K5" s="5" t="s">
        <v>23</v>
      </c>
      <c r="L5" s="5" t="s">
        <v>24</v>
      </c>
      <c r="M5" s="5" t="s">
        <v>20</v>
      </c>
      <c r="N5" s="5" t="s">
        <v>21</v>
      </c>
      <c r="O5" s="5" t="s">
        <v>22</v>
      </c>
      <c r="P5" s="5" t="s">
        <v>23</v>
      </c>
      <c r="Q5" s="5" t="s">
        <v>24</v>
      </c>
      <c r="R5" s="5">
        <v>1</v>
      </c>
      <c r="S5" s="5"/>
      <c r="T5" s="5">
        <v>2</v>
      </c>
      <c r="U5" s="5"/>
      <c r="V5" s="5">
        <v>3</v>
      </c>
      <c r="W5" s="5"/>
      <c r="X5" s="5"/>
      <c r="Y5" s="5"/>
      <c r="Z5" s="5"/>
      <c r="AA5" s="5"/>
      <c r="AB5" s="5"/>
      <c r="AC5" s="5"/>
      <c r="AD5" s="5"/>
      <c r="AE5" s="5">
        <v>1</v>
      </c>
      <c r="AF5" s="5"/>
      <c r="AG5" s="5"/>
      <c r="AH5" s="5"/>
      <c r="AI5" s="5">
        <v>2</v>
      </c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 t="s">
        <v>26</v>
      </c>
      <c r="S6" s="5" t="s">
        <v>27</v>
      </c>
      <c r="T6" s="5" t="s">
        <v>26</v>
      </c>
      <c r="U6" s="5" t="s">
        <v>27</v>
      </c>
      <c r="V6" s="5" t="s">
        <v>26</v>
      </c>
      <c r="W6" s="5" t="s">
        <v>27</v>
      </c>
      <c r="X6" s="5"/>
      <c r="Y6" s="5"/>
      <c r="Z6" s="5"/>
      <c r="AA6" s="5"/>
      <c r="AB6" s="5"/>
      <c r="AC6" s="5"/>
      <c r="AD6" s="5"/>
      <c r="AE6" s="5" t="s">
        <v>28</v>
      </c>
      <c r="AF6" s="5" t="s">
        <v>29</v>
      </c>
      <c r="AG6" s="5" t="s">
        <v>30</v>
      </c>
      <c r="AH6" s="5" t="s">
        <v>31</v>
      </c>
      <c r="AI6" s="5" t="s">
        <v>28</v>
      </c>
      <c r="AJ6" s="5" t="s">
        <v>29</v>
      </c>
      <c r="AK6" s="5" t="s">
        <v>30</v>
      </c>
      <c r="AL6" s="5" t="s">
        <v>31</v>
      </c>
    </row>
    <row r="7" spans="1:38" ht="18.75" customHeight="1">
      <c r="A7" s="1" t="s">
        <v>32</v>
      </c>
      <c r="B7" s="6" t="s">
        <v>33</v>
      </c>
      <c r="C7" s="6" t="s">
        <v>33</v>
      </c>
      <c r="D7" s="6" t="s">
        <v>33</v>
      </c>
      <c r="E7" s="6" t="s">
        <v>34</v>
      </c>
      <c r="F7" s="6" t="s">
        <v>34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33</v>
      </c>
      <c r="M7" s="6" t="s">
        <v>35</v>
      </c>
      <c r="N7" s="6" t="s">
        <v>35</v>
      </c>
      <c r="O7" s="6" t="s">
        <v>35</v>
      </c>
      <c r="P7" s="6" t="s">
        <v>35</v>
      </c>
      <c r="Q7" s="6" t="s">
        <v>35</v>
      </c>
      <c r="R7" s="6" t="s">
        <v>33</v>
      </c>
      <c r="S7" s="6" t="s">
        <v>33</v>
      </c>
      <c r="T7" s="6" t="s">
        <v>33</v>
      </c>
      <c r="U7" s="6" t="s">
        <v>33</v>
      </c>
      <c r="V7" s="6" t="s">
        <v>33</v>
      </c>
      <c r="W7" s="6" t="s">
        <v>33</v>
      </c>
      <c r="X7" s="6" t="s">
        <v>33</v>
      </c>
      <c r="Y7" s="6" t="s">
        <v>33</v>
      </c>
      <c r="Z7" s="6" t="s">
        <v>33</v>
      </c>
      <c r="AA7" s="6" t="s">
        <v>33</v>
      </c>
      <c r="AB7" s="6" t="s">
        <v>36</v>
      </c>
      <c r="AC7" s="6" t="s">
        <v>33</v>
      </c>
      <c r="AD7" s="6" t="s">
        <v>33</v>
      </c>
      <c r="AE7" s="6" t="s">
        <v>33</v>
      </c>
      <c r="AF7" s="6" t="s">
        <v>33</v>
      </c>
      <c r="AG7" s="6" t="s">
        <v>33</v>
      </c>
      <c r="AH7" s="6" t="s">
        <v>33</v>
      </c>
      <c r="AI7" s="6" t="s">
        <v>33</v>
      </c>
      <c r="AJ7" s="6" t="s">
        <v>33</v>
      </c>
      <c r="AK7" s="6" t="s">
        <v>33</v>
      </c>
      <c r="AL7" s="6" t="s">
        <v>33</v>
      </c>
    </row>
    <row r="8" spans="1:38" ht="76.5" customHeight="1">
      <c r="A8" s="1" t="s">
        <v>37</v>
      </c>
      <c r="B8" s="7" t="s">
        <v>38</v>
      </c>
      <c r="C8" s="7" t="s">
        <v>39</v>
      </c>
      <c r="D8" s="7" t="s">
        <v>40</v>
      </c>
      <c r="E8" s="7" t="s">
        <v>41</v>
      </c>
      <c r="F8" s="7" t="s">
        <v>37</v>
      </c>
      <c r="G8" s="7" t="s">
        <v>42</v>
      </c>
      <c r="H8" s="8" t="s">
        <v>43</v>
      </c>
      <c r="I8" s="8" t="s">
        <v>44</v>
      </c>
      <c r="J8" s="8" t="s">
        <v>45</v>
      </c>
      <c r="K8" s="8" t="s">
        <v>46</v>
      </c>
      <c r="L8" s="8" t="s">
        <v>47</v>
      </c>
      <c r="M8" s="7" t="s">
        <v>48</v>
      </c>
      <c r="N8" s="7" t="s">
        <v>49</v>
      </c>
      <c r="O8" s="7" t="s">
        <v>50</v>
      </c>
      <c r="P8" s="7" t="s">
        <v>51</v>
      </c>
      <c r="Q8" s="7" t="s">
        <v>52</v>
      </c>
      <c r="R8" s="7" t="s">
        <v>53</v>
      </c>
      <c r="S8" s="7" t="s">
        <v>54</v>
      </c>
      <c r="T8" s="7" t="s">
        <v>53</v>
      </c>
      <c r="U8" s="7" t="s">
        <v>54</v>
      </c>
      <c r="V8" s="7" t="s">
        <v>53</v>
      </c>
      <c r="W8" s="7" t="s">
        <v>54</v>
      </c>
      <c r="X8" s="7" t="s">
        <v>55</v>
      </c>
      <c r="Y8" s="7"/>
      <c r="Z8" s="7" t="s">
        <v>56</v>
      </c>
      <c r="AA8" s="7"/>
      <c r="AB8" s="8" t="s">
        <v>57</v>
      </c>
      <c r="AC8" s="8" t="s">
        <v>58</v>
      </c>
      <c r="AD8" s="7" t="s">
        <v>59</v>
      </c>
      <c r="AE8" s="7" t="s">
        <v>60</v>
      </c>
      <c r="AF8" s="7" t="s">
        <v>61</v>
      </c>
      <c r="AG8" s="7" t="s">
        <v>62</v>
      </c>
      <c r="AH8" s="7" t="s">
        <v>63</v>
      </c>
      <c r="AI8" s="7" t="s">
        <v>60</v>
      </c>
      <c r="AJ8" s="7" t="s">
        <v>61</v>
      </c>
      <c r="AK8" s="7" t="s">
        <v>62</v>
      </c>
      <c r="AL8" s="7" t="s">
        <v>63</v>
      </c>
    </row>
    <row r="9" spans="1:38" ht="132" customHeight="1">
      <c r="A9" s="1" t="s">
        <v>64</v>
      </c>
      <c r="B9" s="7" t="s">
        <v>65</v>
      </c>
      <c r="C9" s="8" t="s">
        <v>66</v>
      </c>
      <c r="D9" s="8" t="s">
        <v>253</v>
      </c>
      <c r="E9" s="8"/>
      <c r="F9" s="8"/>
      <c r="G9" s="8"/>
      <c r="H9" s="8"/>
      <c r="I9" s="7"/>
      <c r="J9" s="7" t="s">
        <v>67</v>
      </c>
      <c r="K9" s="7" t="s">
        <v>67</v>
      </c>
      <c r="L9" s="7"/>
      <c r="M9" s="8"/>
      <c r="N9" s="7"/>
      <c r="O9" s="7" t="s">
        <v>67</v>
      </c>
      <c r="P9" s="7" t="s">
        <v>67</v>
      </c>
      <c r="Q9" s="7"/>
      <c r="R9" s="8"/>
      <c r="S9" s="8"/>
      <c r="T9" s="8"/>
      <c r="U9" s="8"/>
      <c r="V9" s="8"/>
      <c r="W9" s="8"/>
      <c r="X9" s="8" t="s">
        <v>68</v>
      </c>
      <c r="Y9" s="8"/>
      <c r="Z9" s="7"/>
      <c r="AA9" s="7"/>
      <c r="AB9" s="8"/>
      <c r="AC9" s="8"/>
      <c r="AD9" s="8"/>
      <c r="AE9" s="8"/>
      <c r="AF9" s="8" t="s">
        <v>252</v>
      </c>
      <c r="AG9" s="8"/>
      <c r="AH9" s="8"/>
      <c r="AI9" s="8"/>
      <c r="AJ9" s="8" t="s">
        <v>69</v>
      </c>
      <c r="AK9" s="8"/>
      <c r="AL9" s="8"/>
    </row>
    <row r="10" spans="1:38" ht="18.75" customHeight="1">
      <c r="A10" s="9" t="s">
        <v>70</v>
      </c>
      <c r="B10" s="10">
        <v>100001</v>
      </c>
      <c r="C10" s="10">
        <v>1</v>
      </c>
      <c r="D10" s="10">
        <v>1</v>
      </c>
      <c r="E10" s="10" t="s">
        <v>71</v>
      </c>
      <c r="F10" s="10" t="s">
        <v>72</v>
      </c>
      <c r="G10" s="10">
        <v>1</v>
      </c>
      <c r="H10" s="10">
        <v>273</v>
      </c>
      <c r="I10" s="10">
        <v>306</v>
      </c>
      <c r="J10" s="10"/>
      <c r="K10" s="10"/>
      <c r="L10" s="10">
        <v>241</v>
      </c>
      <c r="M10" s="10">
        <v>0.09</v>
      </c>
      <c r="N10" s="10">
        <v>9.1200000000000003E-2</v>
      </c>
      <c r="O10" s="10"/>
      <c r="P10" s="10"/>
      <c r="Q10" s="10">
        <v>8.8800000000000004E-2</v>
      </c>
      <c r="R10" s="10"/>
      <c r="S10" s="10"/>
      <c r="T10" s="10"/>
      <c r="U10" s="10"/>
      <c r="V10" s="10"/>
      <c r="W10" s="10"/>
      <c r="X10" s="10">
        <v>1001</v>
      </c>
      <c r="Y10" s="10"/>
      <c r="Z10" s="10"/>
      <c r="AA10" s="10"/>
      <c r="AB10" s="10" t="b">
        <v>0</v>
      </c>
      <c r="AC10" s="10"/>
      <c r="AD10" s="10">
        <v>1</v>
      </c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100002</v>
      </c>
      <c r="C11" s="10">
        <v>1</v>
      </c>
      <c r="D11" s="10">
        <v>2</v>
      </c>
      <c r="E11" s="10" t="s">
        <v>73</v>
      </c>
      <c r="F11" s="10" t="s">
        <v>74</v>
      </c>
      <c r="G11" s="10">
        <v>1</v>
      </c>
      <c r="H11" s="10">
        <v>311</v>
      </c>
      <c r="I11" s="10">
        <v>270</v>
      </c>
      <c r="J11" s="10"/>
      <c r="K11" s="10"/>
      <c r="L11" s="10">
        <v>230</v>
      </c>
      <c r="M11" s="10">
        <v>9.1499999999999998E-2</v>
      </c>
      <c r="N11" s="10">
        <v>0.09</v>
      </c>
      <c r="O11" s="10"/>
      <c r="P11" s="10"/>
      <c r="Q11" s="10">
        <v>8.8499999999999995E-2</v>
      </c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 t="b">
        <v>0</v>
      </c>
      <c r="AC11" s="10"/>
      <c r="AD11" s="10">
        <v>2</v>
      </c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100003</v>
      </c>
      <c r="C12" s="10">
        <v>1</v>
      </c>
      <c r="D12" s="10">
        <v>4</v>
      </c>
      <c r="E12" s="10" t="s">
        <v>75</v>
      </c>
      <c r="F12" s="10" t="s">
        <v>76</v>
      </c>
      <c r="G12" s="10">
        <v>1</v>
      </c>
      <c r="H12" s="10">
        <v>257</v>
      </c>
      <c r="I12" s="10">
        <v>240</v>
      </c>
      <c r="J12" s="10"/>
      <c r="K12" s="10"/>
      <c r="L12" s="10">
        <v>313</v>
      </c>
      <c r="M12" s="10">
        <v>8.9499999999999996E-2</v>
      </c>
      <c r="N12" s="10">
        <v>8.8900000000000007E-2</v>
      </c>
      <c r="O12" s="10"/>
      <c r="P12" s="10"/>
      <c r="Q12" s="10">
        <v>9.1600000000000001E-2</v>
      </c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 t="b">
        <v>0</v>
      </c>
      <c r="AC12" s="10"/>
      <c r="AD12" s="10">
        <v>4</v>
      </c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100004</v>
      </c>
      <c r="C13" s="10">
        <v>1</v>
      </c>
      <c r="D13" s="10">
        <v>3</v>
      </c>
      <c r="E13" s="10" t="s">
        <v>77</v>
      </c>
      <c r="F13" s="10" t="s">
        <v>78</v>
      </c>
      <c r="G13" s="10">
        <v>1</v>
      </c>
      <c r="H13" s="10">
        <v>255</v>
      </c>
      <c r="I13" s="10">
        <v>330</v>
      </c>
      <c r="J13" s="10"/>
      <c r="K13" s="10"/>
      <c r="L13" s="10">
        <v>255</v>
      </c>
      <c r="M13" s="10">
        <v>8.9099999999999999E-2</v>
      </c>
      <c r="N13" s="10">
        <v>9.1799999999999993E-2</v>
      </c>
      <c r="O13" s="10"/>
      <c r="P13" s="10"/>
      <c r="Q13" s="10">
        <v>8.9099999999999999E-2</v>
      </c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 t="b">
        <v>0</v>
      </c>
      <c r="AC13" s="10"/>
      <c r="AD13" s="10">
        <v>3</v>
      </c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100005</v>
      </c>
      <c r="C14" s="10">
        <v>1</v>
      </c>
      <c r="D14" s="10">
        <v>4</v>
      </c>
      <c r="E14" s="10" t="s">
        <v>79</v>
      </c>
      <c r="F14" s="10" t="s">
        <v>80</v>
      </c>
      <c r="G14" s="10">
        <v>1</v>
      </c>
      <c r="H14" s="10">
        <v>246</v>
      </c>
      <c r="I14" s="10">
        <v>258</v>
      </c>
      <c r="J14" s="10"/>
      <c r="K14" s="10"/>
      <c r="L14" s="10">
        <v>336</v>
      </c>
      <c r="M14" s="10">
        <v>8.8800000000000004E-2</v>
      </c>
      <c r="N14" s="10">
        <v>8.9200000000000002E-2</v>
      </c>
      <c r="O14" s="10"/>
      <c r="P14" s="10"/>
      <c r="Q14" s="10">
        <v>9.1999999999999998E-2</v>
      </c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 t="b">
        <v>0</v>
      </c>
      <c r="AC14" s="10"/>
      <c r="AD14" s="10">
        <v>4</v>
      </c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100006</v>
      </c>
      <c r="C15" s="10">
        <v>1</v>
      </c>
      <c r="D15" s="10">
        <v>1</v>
      </c>
      <c r="E15" s="10" t="s">
        <v>81</v>
      </c>
      <c r="F15" s="10" t="s">
        <v>82</v>
      </c>
      <c r="G15" s="10">
        <v>1</v>
      </c>
      <c r="H15" s="10">
        <v>314</v>
      </c>
      <c r="I15" s="10">
        <v>232</v>
      </c>
      <c r="J15" s="10"/>
      <c r="K15" s="10"/>
      <c r="L15" s="10">
        <v>294</v>
      </c>
      <c r="M15" s="10">
        <v>9.1200000000000003E-2</v>
      </c>
      <c r="N15" s="10">
        <v>8.8300000000000003E-2</v>
      </c>
      <c r="O15" s="10"/>
      <c r="P15" s="10"/>
      <c r="Q15" s="10">
        <v>9.0499999999999997E-2</v>
      </c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 t="b">
        <v>0</v>
      </c>
      <c r="AC15" s="10"/>
      <c r="AD15" s="10">
        <v>1</v>
      </c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100007</v>
      </c>
      <c r="C16" s="10">
        <v>1</v>
      </c>
      <c r="D16" s="10">
        <v>3</v>
      </c>
      <c r="E16" s="10" t="s">
        <v>83</v>
      </c>
      <c r="F16" s="10" t="s">
        <v>84</v>
      </c>
      <c r="G16" s="10">
        <v>1</v>
      </c>
      <c r="H16" s="10">
        <v>289</v>
      </c>
      <c r="I16" s="10">
        <v>244</v>
      </c>
      <c r="J16" s="10"/>
      <c r="K16" s="10"/>
      <c r="L16" s="10">
        <v>317</v>
      </c>
      <c r="M16" s="10">
        <v>9.0200000000000002E-2</v>
      </c>
      <c r="N16" s="10">
        <v>8.8599999999999998E-2</v>
      </c>
      <c r="O16" s="10"/>
      <c r="P16" s="10"/>
      <c r="Q16" s="10">
        <v>9.1200000000000003E-2</v>
      </c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 t="b">
        <v>0</v>
      </c>
      <c r="AC16" s="10"/>
      <c r="AD16" s="10">
        <v>3</v>
      </c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100008</v>
      </c>
      <c r="C17" s="10">
        <v>1</v>
      </c>
      <c r="D17" s="10">
        <v>2</v>
      </c>
      <c r="E17" s="10" t="s">
        <v>85</v>
      </c>
      <c r="F17" s="10" t="s">
        <v>86</v>
      </c>
      <c r="G17" s="10">
        <v>1</v>
      </c>
      <c r="H17" s="10">
        <v>247</v>
      </c>
      <c r="I17" s="10">
        <v>363</v>
      </c>
      <c r="J17" s="10"/>
      <c r="K17" s="10"/>
      <c r="L17" s="10">
        <v>261</v>
      </c>
      <c r="M17" s="10">
        <v>8.8499999999999995E-2</v>
      </c>
      <c r="N17" s="10">
        <v>9.2499999999999999E-2</v>
      </c>
      <c r="O17" s="10"/>
      <c r="P17" s="10"/>
      <c r="Q17" s="10">
        <v>8.8999999999999996E-2</v>
      </c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 t="b">
        <v>0</v>
      </c>
      <c r="AC17" s="10"/>
      <c r="AD17" s="10">
        <v>2</v>
      </c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>
        <v>100009</v>
      </c>
      <c r="C18" s="10">
        <v>1</v>
      </c>
      <c r="D18" s="10">
        <v>1</v>
      </c>
      <c r="E18" s="10" t="s">
        <v>87</v>
      </c>
      <c r="F18" s="10" t="s">
        <v>88</v>
      </c>
      <c r="G18" s="10">
        <v>1</v>
      </c>
      <c r="H18" s="10">
        <v>357</v>
      </c>
      <c r="I18" s="10">
        <v>283</v>
      </c>
      <c r="J18" s="10"/>
      <c r="K18" s="10"/>
      <c r="L18" s="10">
        <v>210</v>
      </c>
      <c r="M18" s="10">
        <v>9.2600000000000002E-2</v>
      </c>
      <c r="N18" s="10">
        <v>0.09</v>
      </c>
      <c r="O18" s="10"/>
      <c r="P18" s="10"/>
      <c r="Q18" s="10">
        <v>8.7400000000000005E-2</v>
      </c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 t="b">
        <v>0</v>
      </c>
      <c r="AC18" s="10"/>
      <c r="AD18" s="10">
        <v>1</v>
      </c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200001</v>
      </c>
      <c r="C19" s="10">
        <v>1</v>
      </c>
      <c r="D19" s="10">
        <v>4</v>
      </c>
      <c r="E19" s="10" t="s">
        <v>89</v>
      </c>
      <c r="F19" s="10" t="s">
        <v>90</v>
      </c>
      <c r="G19" s="10">
        <v>1</v>
      </c>
      <c r="H19" s="10">
        <v>254</v>
      </c>
      <c r="I19" s="10">
        <v>316</v>
      </c>
      <c r="J19" s="10"/>
      <c r="K19" s="10"/>
      <c r="L19" s="10">
        <v>240</v>
      </c>
      <c r="M19" s="10">
        <v>8.9400000000000007E-2</v>
      </c>
      <c r="N19" s="10">
        <v>9.1700000000000004E-2</v>
      </c>
      <c r="O19" s="10"/>
      <c r="P19" s="10"/>
      <c r="Q19" s="10">
        <v>8.8900000000000007E-2</v>
      </c>
      <c r="R19" s="10"/>
      <c r="S19" s="10"/>
      <c r="T19" s="10"/>
      <c r="U19" s="10"/>
      <c r="V19" s="10"/>
      <c r="W19" s="10"/>
      <c r="X19" s="10">
        <v>2001</v>
      </c>
      <c r="Y19" s="10">
        <v>2002</v>
      </c>
      <c r="Z19" s="10"/>
      <c r="AA19" s="10"/>
      <c r="AB19" s="10" t="b">
        <v>0</v>
      </c>
      <c r="AC19" s="10"/>
      <c r="AD19" s="10">
        <v>4</v>
      </c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>
        <v>200002</v>
      </c>
      <c r="C20" s="10">
        <v>1</v>
      </c>
      <c r="D20" s="10">
        <v>3</v>
      </c>
      <c r="E20" s="10" t="s">
        <v>91</v>
      </c>
      <c r="F20" s="10" t="s">
        <v>92</v>
      </c>
      <c r="G20" s="10">
        <v>1</v>
      </c>
      <c r="H20" s="10">
        <v>322</v>
      </c>
      <c r="I20" s="10">
        <v>241</v>
      </c>
      <c r="J20" s="10"/>
      <c r="K20" s="10"/>
      <c r="L20" s="10">
        <v>277</v>
      </c>
      <c r="M20" s="10">
        <v>9.1499999999999998E-2</v>
      </c>
      <c r="N20" s="10">
        <v>8.8599999999999998E-2</v>
      </c>
      <c r="O20" s="10"/>
      <c r="P20" s="10"/>
      <c r="Q20" s="10">
        <v>8.9900000000000008E-2</v>
      </c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 t="b">
        <v>0</v>
      </c>
      <c r="AC20" s="10"/>
      <c r="AD20" s="10">
        <v>3</v>
      </c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200003</v>
      </c>
      <c r="C21" s="10">
        <v>1</v>
      </c>
      <c r="D21" s="10">
        <v>2</v>
      </c>
      <c r="E21" s="10" t="s">
        <v>93</v>
      </c>
      <c r="F21" s="10" t="s">
        <v>94</v>
      </c>
      <c r="G21" s="10">
        <v>1</v>
      </c>
      <c r="H21" s="10">
        <v>290</v>
      </c>
      <c r="I21" s="10">
        <v>238</v>
      </c>
      <c r="J21" s="10"/>
      <c r="K21" s="10"/>
      <c r="L21" s="10">
        <v>352</v>
      </c>
      <c r="M21" s="10">
        <v>8.9900000000000008E-2</v>
      </c>
      <c r="N21" s="10">
        <v>8.8099999999999998E-2</v>
      </c>
      <c r="O21" s="10"/>
      <c r="P21" s="10"/>
      <c r="Q21" s="10">
        <v>9.1999999999999998E-2</v>
      </c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 t="b">
        <v>0</v>
      </c>
      <c r="AC21" s="10"/>
      <c r="AD21" s="10">
        <v>2</v>
      </c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>
        <v>200004</v>
      </c>
      <c r="C22" s="10">
        <v>1</v>
      </c>
      <c r="D22" s="10">
        <v>1</v>
      </c>
      <c r="E22" s="10" t="s">
        <v>95</v>
      </c>
      <c r="F22" s="10" t="s">
        <v>96</v>
      </c>
      <c r="G22" s="10">
        <v>1</v>
      </c>
      <c r="H22" s="10">
        <v>249</v>
      </c>
      <c r="I22" s="10">
        <v>317</v>
      </c>
      <c r="J22" s="10"/>
      <c r="K22" s="10"/>
      <c r="L22" s="10">
        <v>283</v>
      </c>
      <c r="M22" s="10">
        <v>8.8800000000000004E-2</v>
      </c>
      <c r="N22" s="10">
        <v>9.1200000000000003E-2</v>
      </c>
      <c r="O22" s="10"/>
      <c r="P22" s="10"/>
      <c r="Q22" s="10">
        <v>0.09</v>
      </c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 t="b">
        <v>0</v>
      </c>
      <c r="AC22" s="10"/>
      <c r="AD22" s="10">
        <v>1</v>
      </c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200005</v>
      </c>
      <c r="C23" s="10">
        <v>1</v>
      </c>
      <c r="D23" s="10">
        <v>4</v>
      </c>
      <c r="E23" s="10" t="s">
        <v>97</v>
      </c>
      <c r="F23" s="10" t="s">
        <v>98</v>
      </c>
      <c r="G23" s="10">
        <v>1</v>
      </c>
      <c r="H23" s="10">
        <v>302</v>
      </c>
      <c r="I23" s="10">
        <v>258</v>
      </c>
      <c r="J23" s="10"/>
      <c r="K23" s="10"/>
      <c r="L23" s="10">
        <v>280</v>
      </c>
      <c r="M23" s="10">
        <v>9.0800000000000006E-2</v>
      </c>
      <c r="N23" s="10">
        <v>8.9200000000000002E-2</v>
      </c>
      <c r="O23" s="10"/>
      <c r="P23" s="10"/>
      <c r="Q23" s="10">
        <v>0.09</v>
      </c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 t="b">
        <v>0</v>
      </c>
      <c r="AC23" s="10"/>
      <c r="AD23" s="10">
        <v>4</v>
      </c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>
        <v>200006</v>
      </c>
      <c r="C24" s="10">
        <v>1</v>
      </c>
      <c r="D24" s="10">
        <v>2</v>
      </c>
      <c r="E24" s="10" t="s">
        <v>99</v>
      </c>
      <c r="F24" s="10" t="s">
        <v>100</v>
      </c>
      <c r="G24" s="10">
        <v>1</v>
      </c>
      <c r="H24" s="10">
        <v>290</v>
      </c>
      <c r="I24" s="10">
        <v>258</v>
      </c>
      <c r="J24" s="10"/>
      <c r="K24" s="10"/>
      <c r="L24" s="10">
        <v>322</v>
      </c>
      <c r="M24" s="10">
        <v>0.09</v>
      </c>
      <c r="N24" s="10">
        <v>8.8900000000000007E-2</v>
      </c>
      <c r="O24" s="10"/>
      <c r="P24" s="10"/>
      <c r="Q24" s="10">
        <v>9.11E-2</v>
      </c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 t="b">
        <v>0</v>
      </c>
      <c r="AC24" s="10"/>
      <c r="AD24" s="10">
        <v>2</v>
      </c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300002</v>
      </c>
      <c r="C25" s="10">
        <v>2</v>
      </c>
      <c r="D25" s="10">
        <v>4</v>
      </c>
      <c r="E25" s="10" t="s">
        <v>101</v>
      </c>
      <c r="F25" s="10" t="s">
        <v>102</v>
      </c>
      <c r="G25" s="10">
        <v>3</v>
      </c>
      <c r="H25" s="10">
        <v>447</v>
      </c>
      <c r="I25" s="10">
        <v>323</v>
      </c>
      <c r="J25" s="10"/>
      <c r="K25" s="10"/>
      <c r="L25" s="10">
        <v>330</v>
      </c>
      <c r="M25" s="10">
        <v>9.2200000000000004E-2</v>
      </c>
      <c r="N25" s="10">
        <v>8.8800000000000004E-2</v>
      </c>
      <c r="O25" s="10"/>
      <c r="P25" s="10"/>
      <c r="Q25" s="10">
        <v>8.8999999999999996E-2</v>
      </c>
      <c r="R25" s="10">
        <v>30000201</v>
      </c>
      <c r="S25" s="10">
        <v>3</v>
      </c>
      <c r="T25" s="10"/>
      <c r="U25" s="10"/>
      <c r="V25" s="10"/>
      <c r="W25" s="10"/>
      <c r="X25" s="10"/>
      <c r="Y25" s="10"/>
      <c r="Z25" s="10"/>
      <c r="AA25" s="10"/>
      <c r="AB25" s="10" t="b">
        <v>1</v>
      </c>
      <c r="AC25" s="10"/>
      <c r="AD25" s="10">
        <v>12</v>
      </c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>
        <v>300003</v>
      </c>
      <c r="C26" s="10">
        <v>2</v>
      </c>
      <c r="D26" s="10">
        <v>3</v>
      </c>
      <c r="E26" s="10" t="s">
        <v>103</v>
      </c>
      <c r="F26" s="10"/>
      <c r="G26" s="10">
        <v>2</v>
      </c>
      <c r="H26" s="10">
        <v>278</v>
      </c>
      <c r="I26" s="10">
        <v>278</v>
      </c>
      <c r="J26" s="10"/>
      <c r="K26" s="10"/>
      <c r="L26" s="10">
        <v>425</v>
      </c>
      <c r="M26" s="10">
        <v>8.8499999999999995E-2</v>
      </c>
      <c r="N26" s="10">
        <v>8.8499999999999995E-2</v>
      </c>
      <c r="O26" s="10"/>
      <c r="P26" s="10"/>
      <c r="Q26" s="10">
        <v>9.2999999999999999E-2</v>
      </c>
      <c r="R26" s="10">
        <v>30000301</v>
      </c>
      <c r="S26" s="10">
        <v>3</v>
      </c>
      <c r="T26" s="10"/>
      <c r="U26" s="10"/>
      <c r="V26" s="10"/>
      <c r="W26" s="10"/>
      <c r="X26" s="10"/>
      <c r="Y26" s="10"/>
      <c r="Z26" s="10"/>
      <c r="AA26" s="10"/>
      <c r="AB26" s="10" t="b">
        <v>1</v>
      </c>
      <c r="AC26" s="10"/>
      <c r="AD26" s="10">
        <v>7</v>
      </c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300004</v>
      </c>
      <c r="C27" s="10">
        <v>2</v>
      </c>
      <c r="D27" s="10">
        <v>3</v>
      </c>
      <c r="E27" s="10" t="s">
        <v>104</v>
      </c>
      <c r="F27" s="10"/>
      <c r="G27" s="10">
        <v>2</v>
      </c>
      <c r="H27" s="10">
        <v>285</v>
      </c>
      <c r="I27" s="10">
        <v>353</v>
      </c>
      <c r="J27" s="10"/>
      <c r="K27" s="10"/>
      <c r="L27" s="10">
        <v>282</v>
      </c>
      <c r="M27" s="10">
        <v>8.9300000000000004E-2</v>
      </c>
      <c r="N27" s="10">
        <v>9.1499999999999998E-2</v>
      </c>
      <c r="O27" s="10"/>
      <c r="P27" s="10"/>
      <c r="Q27" s="10">
        <v>8.9200000000000002E-2</v>
      </c>
      <c r="R27" s="10">
        <v>30000401</v>
      </c>
      <c r="S27" s="10">
        <v>3</v>
      </c>
      <c r="T27" s="10"/>
      <c r="U27" s="10"/>
      <c r="V27" s="10"/>
      <c r="W27" s="10"/>
      <c r="X27" s="10"/>
      <c r="Y27" s="10"/>
      <c r="Z27" s="10"/>
      <c r="AA27" s="10"/>
      <c r="AB27" s="10" t="b">
        <v>1</v>
      </c>
      <c r="AC27" s="10"/>
      <c r="AD27" s="10">
        <v>7</v>
      </c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>
        <v>300005</v>
      </c>
      <c r="C28" s="10">
        <v>2</v>
      </c>
      <c r="D28" s="10">
        <v>4</v>
      </c>
      <c r="E28" s="10" t="s">
        <v>105</v>
      </c>
      <c r="F28" s="10" t="s">
        <v>102</v>
      </c>
      <c r="G28" s="10">
        <v>3</v>
      </c>
      <c r="H28" s="10">
        <v>319</v>
      </c>
      <c r="I28" s="10">
        <v>458</v>
      </c>
      <c r="J28" s="10"/>
      <c r="K28" s="10"/>
      <c r="L28" s="10">
        <v>323</v>
      </c>
      <c r="M28" s="10">
        <v>8.8700000000000001E-2</v>
      </c>
      <c r="N28" s="10">
        <v>9.2499999999999999E-2</v>
      </c>
      <c r="O28" s="10"/>
      <c r="P28" s="10"/>
      <c r="Q28" s="10">
        <v>8.8800000000000004E-2</v>
      </c>
      <c r="R28" s="10">
        <v>30000501</v>
      </c>
      <c r="S28" s="10">
        <v>3</v>
      </c>
      <c r="T28" s="10"/>
      <c r="U28" s="10"/>
      <c r="V28" s="10"/>
      <c r="W28" s="10"/>
      <c r="X28" s="10"/>
      <c r="Y28" s="10"/>
      <c r="Z28" s="10"/>
      <c r="AA28" s="10"/>
      <c r="AB28" s="10" t="b">
        <v>1</v>
      </c>
      <c r="AC28" s="10"/>
      <c r="AD28" s="10">
        <v>12</v>
      </c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300006</v>
      </c>
      <c r="C29" s="10">
        <v>2</v>
      </c>
      <c r="D29" s="10">
        <v>1</v>
      </c>
      <c r="E29" s="10" t="s">
        <v>106</v>
      </c>
      <c r="F29" s="10"/>
      <c r="G29" s="10">
        <v>2</v>
      </c>
      <c r="H29" s="10">
        <v>339</v>
      </c>
      <c r="I29" s="10">
        <v>317</v>
      </c>
      <c r="J29" s="10"/>
      <c r="K29" s="10"/>
      <c r="L29" s="10">
        <v>304</v>
      </c>
      <c r="M29" s="10">
        <v>9.06E-2</v>
      </c>
      <c r="N29" s="10">
        <v>8.9899999999999994E-2</v>
      </c>
      <c r="O29" s="10"/>
      <c r="P29" s="10"/>
      <c r="Q29" s="10">
        <v>8.9499999999999996E-2</v>
      </c>
      <c r="R29" s="10">
        <v>30000601</v>
      </c>
      <c r="S29" s="10">
        <v>3</v>
      </c>
      <c r="T29" s="10"/>
      <c r="U29" s="10"/>
      <c r="V29" s="10"/>
      <c r="W29" s="10"/>
      <c r="X29" s="10"/>
      <c r="Y29" s="10"/>
      <c r="Z29" s="10"/>
      <c r="AA29" s="10"/>
      <c r="AB29" s="10" t="b">
        <v>1</v>
      </c>
      <c r="AC29" s="10"/>
      <c r="AD29" s="10">
        <v>5</v>
      </c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>
        <v>300007</v>
      </c>
      <c r="C30" s="10">
        <v>2</v>
      </c>
      <c r="D30" s="10">
        <v>4</v>
      </c>
      <c r="E30" s="10" t="s">
        <v>107</v>
      </c>
      <c r="F30" s="10"/>
      <c r="G30" s="10">
        <v>2</v>
      </c>
      <c r="H30" s="10">
        <v>282</v>
      </c>
      <c r="I30" s="10">
        <v>345</v>
      </c>
      <c r="J30" s="10"/>
      <c r="K30" s="10"/>
      <c r="L30" s="10">
        <v>313</v>
      </c>
      <c r="M30" s="10">
        <v>8.8999999999999996E-2</v>
      </c>
      <c r="N30" s="10">
        <v>9.0999999999999998E-2</v>
      </c>
      <c r="O30" s="10"/>
      <c r="P30" s="10"/>
      <c r="Q30" s="10">
        <v>0.09</v>
      </c>
      <c r="R30" s="10">
        <v>30000701</v>
      </c>
      <c r="S30" s="10">
        <v>3</v>
      </c>
      <c r="T30" s="10"/>
      <c r="U30" s="10"/>
      <c r="V30" s="10"/>
      <c r="W30" s="10"/>
      <c r="X30" s="10"/>
      <c r="Y30" s="10"/>
      <c r="Z30" s="10"/>
      <c r="AA30" s="10"/>
      <c r="AB30" s="10" t="b">
        <v>1</v>
      </c>
      <c r="AC30" s="10"/>
      <c r="AD30" s="10">
        <v>8</v>
      </c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300008</v>
      </c>
      <c r="C31" s="10">
        <v>2</v>
      </c>
      <c r="D31" s="10">
        <v>2</v>
      </c>
      <c r="E31" s="10" t="s">
        <v>108</v>
      </c>
      <c r="F31" s="10"/>
      <c r="G31" s="10">
        <v>2</v>
      </c>
      <c r="H31" s="10">
        <v>333</v>
      </c>
      <c r="I31" s="10">
        <v>291</v>
      </c>
      <c r="J31" s="10"/>
      <c r="K31" s="10"/>
      <c r="L31" s="10">
        <v>326</v>
      </c>
      <c r="M31" s="10">
        <v>9.0499999999999997E-2</v>
      </c>
      <c r="N31" s="10">
        <v>8.9200000000000002E-2</v>
      </c>
      <c r="O31" s="10"/>
      <c r="P31" s="10"/>
      <c r="Q31" s="10">
        <v>9.0300000000000005E-2</v>
      </c>
      <c r="R31" s="10">
        <v>30000801</v>
      </c>
      <c r="S31" s="10">
        <v>3</v>
      </c>
      <c r="T31" s="10"/>
      <c r="U31" s="10"/>
      <c r="V31" s="10"/>
      <c r="W31" s="10"/>
      <c r="X31" s="10"/>
      <c r="Y31" s="10"/>
      <c r="Z31" s="10"/>
      <c r="AA31" s="10"/>
      <c r="AB31" s="10" t="b">
        <v>1</v>
      </c>
      <c r="AC31" s="10"/>
      <c r="AD31" s="10">
        <v>6</v>
      </c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>
        <v>300009</v>
      </c>
      <c r="C32" s="10">
        <v>2</v>
      </c>
      <c r="D32" s="10">
        <v>1</v>
      </c>
      <c r="E32" s="10" t="s">
        <v>109</v>
      </c>
      <c r="F32" s="10" t="s">
        <v>102</v>
      </c>
      <c r="G32" s="10">
        <v>3</v>
      </c>
      <c r="H32" s="10">
        <v>275</v>
      </c>
      <c r="I32" s="10">
        <v>378</v>
      </c>
      <c r="J32" s="10"/>
      <c r="K32" s="10"/>
      <c r="L32" s="10">
        <v>447</v>
      </c>
      <c r="M32" s="10">
        <v>8.7500000000000008E-2</v>
      </c>
      <c r="N32" s="10">
        <v>9.0300000000000005E-2</v>
      </c>
      <c r="O32" s="10"/>
      <c r="P32" s="10"/>
      <c r="Q32" s="10">
        <v>9.2200000000000004E-2</v>
      </c>
      <c r="R32" s="10">
        <v>30000901</v>
      </c>
      <c r="S32" s="10">
        <v>3</v>
      </c>
      <c r="T32" s="10"/>
      <c r="U32" s="10"/>
      <c r="V32" s="10"/>
      <c r="W32" s="10"/>
      <c r="X32" s="10"/>
      <c r="Y32" s="10"/>
      <c r="Z32" s="10"/>
      <c r="AA32" s="10"/>
      <c r="AB32" s="10" t="b">
        <v>1</v>
      </c>
      <c r="AC32" s="10"/>
      <c r="AD32" s="10">
        <v>9</v>
      </c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300010</v>
      </c>
      <c r="C33" s="10">
        <v>2</v>
      </c>
      <c r="D33" s="10">
        <v>4</v>
      </c>
      <c r="E33" s="10" t="s">
        <v>110</v>
      </c>
      <c r="F33" s="10" t="s">
        <v>102</v>
      </c>
      <c r="G33" s="10">
        <v>3</v>
      </c>
      <c r="H33" s="10">
        <v>311</v>
      </c>
      <c r="I33" s="10">
        <v>428</v>
      </c>
      <c r="J33" s="10"/>
      <c r="K33" s="10"/>
      <c r="L33" s="10">
        <v>322</v>
      </c>
      <c r="M33" s="10">
        <v>8.8800000000000004E-2</v>
      </c>
      <c r="N33" s="10">
        <v>9.2100000000000001E-2</v>
      </c>
      <c r="O33" s="10"/>
      <c r="P33" s="10"/>
      <c r="Q33" s="10">
        <v>8.9099999999999999E-2</v>
      </c>
      <c r="R33" s="10">
        <v>30001001</v>
      </c>
      <c r="S33" s="10">
        <v>3</v>
      </c>
      <c r="T33" s="10"/>
      <c r="U33" s="10"/>
      <c r="V33" s="10"/>
      <c r="W33" s="10"/>
      <c r="X33" s="10"/>
      <c r="Y33" s="10"/>
      <c r="Z33" s="10"/>
      <c r="AA33" s="10"/>
      <c r="AB33" s="10" t="b">
        <v>1</v>
      </c>
      <c r="AC33" s="10"/>
      <c r="AD33" s="10">
        <v>12</v>
      </c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>
        <v>300012</v>
      </c>
      <c r="C34" s="10">
        <v>2</v>
      </c>
      <c r="D34" s="10">
        <v>3</v>
      </c>
      <c r="E34" s="10" t="s">
        <v>111</v>
      </c>
      <c r="F34" s="10" t="s">
        <v>102</v>
      </c>
      <c r="G34" s="10">
        <v>3</v>
      </c>
      <c r="H34" s="10">
        <v>374</v>
      </c>
      <c r="I34" s="10">
        <v>367</v>
      </c>
      <c r="J34" s="10"/>
      <c r="K34" s="10"/>
      <c r="L34" s="10">
        <v>359</v>
      </c>
      <c r="M34" s="10">
        <v>9.0200000000000002E-2</v>
      </c>
      <c r="N34" s="10">
        <v>0.09</v>
      </c>
      <c r="O34" s="10"/>
      <c r="P34" s="10"/>
      <c r="Q34" s="10">
        <v>8.9800000000000005E-2</v>
      </c>
      <c r="R34" s="10">
        <v>30001201</v>
      </c>
      <c r="S34" s="10">
        <v>3</v>
      </c>
      <c r="T34" s="10"/>
      <c r="U34" s="10"/>
      <c r="V34" s="10"/>
      <c r="W34" s="10"/>
      <c r="X34" s="10"/>
      <c r="Y34" s="10"/>
      <c r="Z34" s="10"/>
      <c r="AA34" s="10"/>
      <c r="AB34" s="10" t="b">
        <v>1</v>
      </c>
      <c r="AC34" s="10"/>
      <c r="AD34" s="10">
        <v>11</v>
      </c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300013</v>
      </c>
      <c r="C35" s="10">
        <v>2</v>
      </c>
      <c r="D35" s="10">
        <v>3</v>
      </c>
      <c r="E35" s="10" t="s">
        <v>112</v>
      </c>
      <c r="F35" s="10" t="s">
        <v>102</v>
      </c>
      <c r="G35" s="10">
        <v>3</v>
      </c>
      <c r="H35" s="10">
        <v>384</v>
      </c>
      <c r="I35" s="10">
        <v>362</v>
      </c>
      <c r="J35" s="10"/>
      <c r="K35" s="10"/>
      <c r="L35" s="10">
        <v>384</v>
      </c>
      <c r="M35" s="10">
        <v>9.0200000000000002E-2</v>
      </c>
      <c r="N35" s="10">
        <v>8.9599999999999999E-2</v>
      </c>
      <c r="O35" s="10"/>
      <c r="P35" s="10"/>
      <c r="Q35" s="10">
        <v>9.0200000000000002E-2</v>
      </c>
      <c r="R35" s="10">
        <v>30001301</v>
      </c>
      <c r="S35" s="10">
        <v>3</v>
      </c>
      <c r="T35" s="10"/>
      <c r="U35" s="10"/>
      <c r="V35" s="10"/>
      <c r="W35" s="10"/>
      <c r="X35" s="10"/>
      <c r="Y35" s="10"/>
      <c r="Z35" s="10"/>
      <c r="AA35" s="10"/>
      <c r="AB35" s="10" t="b">
        <v>1</v>
      </c>
      <c r="AC35" s="10"/>
      <c r="AD35" s="10">
        <v>11</v>
      </c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>
        <v>300014</v>
      </c>
      <c r="C36" s="10">
        <v>2</v>
      </c>
      <c r="D36" s="10">
        <v>1</v>
      </c>
      <c r="E36" s="10" t="s">
        <v>113</v>
      </c>
      <c r="F36" s="10"/>
      <c r="G36" s="10">
        <v>2</v>
      </c>
      <c r="H36" s="10">
        <v>294</v>
      </c>
      <c r="I36" s="10">
        <v>362</v>
      </c>
      <c r="J36" s="10"/>
      <c r="K36" s="10"/>
      <c r="L36" s="10">
        <v>304</v>
      </c>
      <c r="M36" s="10">
        <v>8.9200000000000002E-2</v>
      </c>
      <c r="N36" s="10">
        <v>9.1299999999999992E-2</v>
      </c>
      <c r="O36" s="10"/>
      <c r="P36" s="10"/>
      <c r="Q36" s="10">
        <v>8.9499999999999996E-2</v>
      </c>
      <c r="R36" s="10">
        <v>30001401</v>
      </c>
      <c r="S36" s="10">
        <v>3</v>
      </c>
      <c r="T36" s="10"/>
      <c r="U36" s="10"/>
      <c r="V36" s="10"/>
      <c r="W36" s="10"/>
      <c r="X36" s="10"/>
      <c r="Y36" s="10"/>
      <c r="Z36" s="10"/>
      <c r="AA36" s="10"/>
      <c r="AB36" s="10" t="b">
        <v>1</v>
      </c>
      <c r="AC36" s="10"/>
      <c r="AD36" s="10">
        <v>5</v>
      </c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300015</v>
      </c>
      <c r="C37" s="10">
        <v>2</v>
      </c>
      <c r="D37" s="10">
        <v>5</v>
      </c>
      <c r="E37" s="10" t="s">
        <v>114</v>
      </c>
      <c r="F37" s="10" t="s">
        <v>115</v>
      </c>
      <c r="G37" s="10">
        <v>3</v>
      </c>
      <c r="H37" s="10">
        <v>382</v>
      </c>
      <c r="I37" s="10">
        <v>382</v>
      </c>
      <c r="J37" s="10"/>
      <c r="K37" s="10"/>
      <c r="L37" s="10">
        <v>496</v>
      </c>
      <c r="M37" s="10">
        <v>8.9099999999999999E-2</v>
      </c>
      <c r="N37" s="10">
        <v>8.9099999999999999E-2</v>
      </c>
      <c r="O37" s="10"/>
      <c r="P37" s="10"/>
      <c r="Q37" s="10">
        <v>9.1799999999999993E-2</v>
      </c>
      <c r="R37" s="10">
        <v>30001501</v>
      </c>
      <c r="S37" s="10">
        <v>3</v>
      </c>
      <c r="T37" s="10"/>
      <c r="U37" s="10"/>
      <c r="V37" s="10"/>
      <c r="W37" s="10"/>
      <c r="X37" s="10"/>
      <c r="Y37" s="10"/>
      <c r="Z37" s="10"/>
      <c r="AA37" s="10"/>
      <c r="AB37" s="10" t="b">
        <v>1</v>
      </c>
      <c r="AC37" s="10"/>
      <c r="AD37" s="10">
        <v>13</v>
      </c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>
        <v>300016</v>
      </c>
      <c r="C38" s="10">
        <v>2</v>
      </c>
      <c r="D38" s="10">
        <v>3</v>
      </c>
      <c r="E38" s="10" t="s">
        <v>116</v>
      </c>
      <c r="F38" s="10" t="s">
        <v>102</v>
      </c>
      <c r="G38" s="10">
        <v>3</v>
      </c>
      <c r="H38" s="10">
        <v>400</v>
      </c>
      <c r="I38" s="10">
        <v>334</v>
      </c>
      <c r="J38" s="10"/>
      <c r="K38" s="10"/>
      <c r="L38" s="10">
        <v>367</v>
      </c>
      <c r="M38" s="10">
        <v>9.0900000000000009E-2</v>
      </c>
      <c r="N38" s="10">
        <v>8.9099999999999999E-2</v>
      </c>
      <c r="O38" s="10"/>
      <c r="P38" s="10"/>
      <c r="Q38" s="10">
        <v>0.09</v>
      </c>
      <c r="R38" s="10">
        <v>30001601</v>
      </c>
      <c r="S38" s="10">
        <v>3</v>
      </c>
      <c r="T38" s="10"/>
      <c r="U38" s="10"/>
      <c r="V38" s="10"/>
      <c r="W38" s="10"/>
      <c r="X38" s="10"/>
      <c r="Y38" s="10"/>
      <c r="Z38" s="10"/>
      <c r="AA38" s="10"/>
      <c r="AB38" s="10" t="b">
        <v>1</v>
      </c>
      <c r="AC38" s="10"/>
      <c r="AD38" s="10">
        <v>11</v>
      </c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300017</v>
      </c>
      <c r="C39" s="10">
        <v>2</v>
      </c>
      <c r="D39" s="10">
        <v>4</v>
      </c>
      <c r="E39" s="10" t="s">
        <v>117</v>
      </c>
      <c r="F39" s="10" t="s">
        <v>102</v>
      </c>
      <c r="G39" s="10">
        <v>3</v>
      </c>
      <c r="H39" s="10">
        <v>320</v>
      </c>
      <c r="I39" s="10">
        <v>447</v>
      </c>
      <c r="J39" s="10"/>
      <c r="K39" s="10"/>
      <c r="L39" s="10">
        <v>323</v>
      </c>
      <c r="M39" s="10">
        <v>8.8800000000000004E-2</v>
      </c>
      <c r="N39" s="10">
        <v>9.2299999999999993E-2</v>
      </c>
      <c r="O39" s="10"/>
      <c r="P39" s="10"/>
      <c r="Q39" s="10">
        <v>8.8900000000000007E-2</v>
      </c>
      <c r="R39" s="10">
        <v>30001701</v>
      </c>
      <c r="S39" s="10">
        <v>3</v>
      </c>
      <c r="T39" s="10"/>
      <c r="U39" s="10"/>
      <c r="V39" s="10"/>
      <c r="W39" s="10"/>
      <c r="X39" s="10"/>
      <c r="Y39" s="10"/>
      <c r="Z39" s="10"/>
      <c r="AA39" s="10"/>
      <c r="AB39" s="10" t="b">
        <v>1</v>
      </c>
      <c r="AC39" s="10"/>
      <c r="AD39" s="10">
        <v>12</v>
      </c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>
        <v>300018</v>
      </c>
      <c r="C40" s="10">
        <v>2</v>
      </c>
      <c r="D40" s="10">
        <v>3</v>
      </c>
      <c r="E40" s="10" t="s">
        <v>118</v>
      </c>
      <c r="F40" s="10" t="s">
        <v>102</v>
      </c>
      <c r="G40" s="10">
        <v>3</v>
      </c>
      <c r="H40" s="10">
        <v>477</v>
      </c>
      <c r="I40" s="10">
        <v>260</v>
      </c>
      <c r="J40" s="10"/>
      <c r="K40" s="10"/>
      <c r="L40" s="10">
        <v>363</v>
      </c>
      <c r="M40" s="10">
        <v>9.2999999999999999E-2</v>
      </c>
      <c r="N40" s="10">
        <v>8.7099999999999997E-2</v>
      </c>
      <c r="O40" s="10"/>
      <c r="P40" s="10"/>
      <c r="Q40" s="10">
        <v>8.9900000000000008E-2</v>
      </c>
      <c r="R40" s="10">
        <v>30001801</v>
      </c>
      <c r="S40" s="10">
        <v>3</v>
      </c>
      <c r="T40" s="10"/>
      <c r="U40" s="10"/>
      <c r="V40" s="10"/>
      <c r="W40" s="10"/>
      <c r="X40" s="10"/>
      <c r="Y40" s="10"/>
      <c r="Z40" s="10"/>
      <c r="AA40" s="10"/>
      <c r="AB40" s="10" t="b">
        <v>1</v>
      </c>
      <c r="AC40" s="10"/>
      <c r="AD40" s="10">
        <v>11</v>
      </c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300019</v>
      </c>
      <c r="C41" s="10">
        <v>2</v>
      </c>
      <c r="D41" s="10">
        <v>5</v>
      </c>
      <c r="E41" s="10" t="s">
        <v>119</v>
      </c>
      <c r="F41" s="10" t="s">
        <v>115</v>
      </c>
      <c r="G41" s="10">
        <v>3</v>
      </c>
      <c r="H41" s="10">
        <v>435</v>
      </c>
      <c r="I41" s="10">
        <v>418</v>
      </c>
      <c r="J41" s="10"/>
      <c r="K41" s="10"/>
      <c r="L41" s="10">
        <v>427</v>
      </c>
      <c r="M41" s="10">
        <v>9.0200000000000002E-2</v>
      </c>
      <c r="N41" s="10">
        <v>8.9800000000000005E-2</v>
      </c>
      <c r="O41" s="10"/>
      <c r="P41" s="10"/>
      <c r="Q41" s="10">
        <v>0.09</v>
      </c>
      <c r="R41" s="10">
        <v>30001901</v>
      </c>
      <c r="S41" s="10">
        <v>3</v>
      </c>
      <c r="T41" s="10"/>
      <c r="U41" s="10"/>
      <c r="V41" s="10"/>
      <c r="W41" s="10"/>
      <c r="X41" s="10"/>
      <c r="Y41" s="10"/>
      <c r="Z41" s="10"/>
      <c r="AA41" s="10"/>
      <c r="AB41" s="10" t="b">
        <v>1</v>
      </c>
      <c r="AC41" s="10"/>
      <c r="AD41" s="10">
        <v>13</v>
      </c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>
        <v>300020</v>
      </c>
      <c r="C42" s="10">
        <v>2</v>
      </c>
      <c r="D42" s="10">
        <v>5</v>
      </c>
      <c r="E42" s="10" t="s">
        <v>120</v>
      </c>
      <c r="F42" s="10" t="s">
        <v>115</v>
      </c>
      <c r="G42" s="10">
        <v>3</v>
      </c>
      <c r="H42" s="10">
        <v>342</v>
      </c>
      <c r="I42" s="10">
        <v>471</v>
      </c>
      <c r="J42" s="10"/>
      <c r="K42" s="10"/>
      <c r="L42" s="10">
        <v>438</v>
      </c>
      <c r="M42" s="10">
        <v>8.8200000000000001E-2</v>
      </c>
      <c r="N42" s="10">
        <v>9.1299999999999992E-2</v>
      </c>
      <c r="O42" s="10"/>
      <c r="P42" s="10"/>
      <c r="Q42" s="10">
        <v>9.0499999999999997E-2</v>
      </c>
      <c r="R42" s="10">
        <v>30002001</v>
      </c>
      <c r="S42" s="10">
        <v>3</v>
      </c>
      <c r="T42" s="10"/>
      <c r="U42" s="10"/>
      <c r="V42" s="10"/>
      <c r="W42" s="10"/>
      <c r="X42" s="10"/>
      <c r="Y42" s="10"/>
      <c r="Z42" s="10"/>
      <c r="AA42" s="10"/>
      <c r="AB42" s="10" t="b">
        <v>1</v>
      </c>
      <c r="AC42" s="10"/>
      <c r="AD42" s="10">
        <v>13</v>
      </c>
      <c r="AE42" s="10">
        <v>5</v>
      </c>
      <c r="AF42" s="10">
        <v>8</v>
      </c>
      <c r="AG42" s="10">
        <v>20111006</v>
      </c>
      <c r="AH42" s="10">
        <v>1</v>
      </c>
      <c r="AI42" s="10">
        <v>5</v>
      </c>
      <c r="AJ42" s="10">
        <v>8</v>
      </c>
      <c r="AK42" s="10">
        <v>30111007</v>
      </c>
      <c r="AL42" s="10">
        <v>1</v>
      </c>
    </row>
    <row r="43" spans="1:38" ht="18.75" customHeight="1">
      <c r="A43" s="11"/>
      <c r="B43" s="10">
        <v>300021</v>
      </c>
      <c r="C43" s="10">
        <v>2</v>
      </c>
      <c r="D43" s="10">
        <v>2</v>
      </c>
      <c r="E43" s="10" t="s">
        <v>121</v>
      </c>
      <c r="F43" s="10" t="s">
        <v>102</v>
      </c>
      <c r="G43" s="10">
        <v>3</v>
      </c>
      <c r="H43" s="10">
        <v>405</v>
      </c>
      <c r="I43" s="10">
        <v>389</v>
      </c>
      <c r="J43" s="10"/>
      <c r="K43" s="10"/>
      <c r="L43" s="10">
        <v>397</v>
      </c>
      <c r="M43" s="10">
        <v>9.0200000000000002E-2</v>
      </c>
      <c r="N43" s="10">
        <v>8.9800000000000005E-2</v>
      </c>
      <c r="O43" s="10"/>
      <c r="P43" s="10"/>
      <c r="Q43" s="10">
        <v>0.09</v>
      </c>
      <c r="R43" s="10">
        <v>30002101</v>
      </c>
      <c r="S43" s="10">
        <v>3</v>
      </c>
      <c r="T43" s="10"/>
      <c r="U43" s="10"/>
      <c r="V43" s="10"/>
      <c r="W43" s="10"/>
      <c r="X43" s="10"/>
      <c r="Y43" s="10"/>
      <c r="Z43" s="10"/>
      <c r="AA43" s="10"/>
      <c r="AB43" s="10" t="b">
        <v>1</v>
      </c>
      <c r="AC43" s="10"/>
      <c r="AD43" s="10">
        <v>10</v>
      </c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>
        <v>300022</v>
      </c>
      <c r="C44" s="10">
        <v>2</v>
      </c>
      <c r="D44" s="10">
        <v>4</v>
      </c>
      <c r="E44" s="10" t="s">
        <v>122</v>
      </c>
      <c r="F44" s="10" t="s">
        <v>102</v>
      </c>
      <c r="G44" s="10">
        <v>3</v>
      </c>
      <c r="H44" s="10">
        <v>286</v>
      </c>
      <c r="I44" s="10">
        <v>301</v>
      </c>
      <c r="J44" s="10"/>
      <c r="K44" s="10"/>
      <c r="L44" s="10">
        <v>513</v>
      </c>
      <c r="M44" s="10">
        <v>8.7800000000000003E-2</v>
      </c>
      <c r="N44" s="10">
        <v>8.8200000000000001E-2</v>
      </c>
      <c r="O44" s="10"/>
      <c r="P44" s="10"/>
      <c r="Q44" s="10">
        <v>9.4E-2</v>
      </c>
      <c r="R44" s="10">
        <v>30002201</v>
      </c>
      <c r="S44" s="10">
        <v>3</v>
      </c>
      <c r="T44" s="10"/>
      <c r="U44" s="10"/>
      <c r="V44" s="10"/>
      <c r="W44" s="10"/>
      <c r="X44" s="10"/>
      <c r="Y44" s="10"/>
      <c r="Z44" s="10"/>
      <c r="AA44" s="10"/>
      <c r="AB44" s="10" t="b">
        <v>1</v>
      </c>
      <c r="AC44" s="10"/>
      <c r="AD44" s="10">
        <v>12</v>
      </c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300023</v>
      </c>
      <c r="C45" s="10">
        <v>2</v>
      </c>
      <c r="D45" s="10">
        <v>5</v>
      </c>
      <c r="E45" s="10" t="s">
        <v>123</v>
      </c>
      <c r="F45" s="10" t="s">
        <v>115</v>
      </c>
      <c r="G45" s="10">
        <v>3</v>
      </c>
      <c r="H45" s="10">
        <v>496</v>
      </c>
      <c r="I45" s="10">
        <v>380</v>
      </c>
      <c r="J45" s="10"/>
      <c r="K45" s="10"/>
      <c r="L45" s="10">
        <v>364</v>
      </c>
      <c r="M45" s="10">
        <v>9.1999999999999998E-2</v>
      </c>
      <c r="N45" s="10">
        <v>8.9200000000000002E-2</v>
      </c>
      <c r="O45" s="10"/>
      <c r="P45" s="10"/>
      <c r="Q45" s="10">
        <v>8.8800000000000004E-2</v>
      </c>
      <c r="R45" s="10">
        <v>30002301</v>
      </c>
      <c r="S45" s="10">
        <v>3</v>
      </c>
      <c r="T45" s="10"/>
      <c r="U45" s="10"/>
      <c r="V45" s="10"/>
      <c r="W45" s="10"/>
      <c r="X45" s="10"/>
      <c r="Y45" s="10"/>
      <c r="Z45" s="10"/>
      <c r="AA45" s="10"/>
      <c r="AB45" s="10" t="b">
        <v>1</v>
      </c>
      <c r="AC45" s="10"/>
      <c r="AD45" s="10">
        <v>13</v>
      </c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>
        <v>300024</v>
      </c>
      <c r="C46" s="10">
        <v>2</v>
      </c>
      <c r="D46" s="10">
        <v>1</v>
      </c>
      <c r="E46" s="10" t="s">
        <v>124</v>
      </c>
      <c r="F46" s="10" t="s">
        <v>102</v>
      </c>
      <c r="G46" s="10">
        <v>3</v>
      </c>
      <c r="H46" s="10">
        <v>308</v>
      </c>
      <c r="I46" s="10">
        <v>466</v>
      </c>
      <c r="J46" s="10"/>
      <c r="K46" s="10"/>
      <c r="L46" s="10">
        <v>277</v>
      </c>
      <c r="M46" s="10">
        <v>8.8800000000000004E-2</v>
      </c>
      <c r="N46" s="10">
        <v>9.3299999999999994E-2</v>
      </c>
      <c r="O46" s="10"/>
      <c r="P46" s="10"/>
      <c r="Q46" s="10">
        <v>8.7900000000000006E-2</v>
      </c>
      <c r="R46" s="10">
        <v>30002401</v>
      </c>
      <c r="S46" s="10">
        <v>3</v>
      </c>
      <c r="T46" s="10"/>
      <c r="U46" s="10"/>
      <c r="V46" s="10"/>
      <c r="W46" s="10"/>
      <c r="X46" s="10"/>
      <c r="Y46" s="10"/>
      <c r="Z46" s="10"/>
      <c r="AA46" s="10"/>
      <c r="AB46" s="10" t="b">
        <v>1</v>
      </c>
      <c r="AC46" s="10"/>
      <c r="AD46" s="10">
        <v>9</v>
      </c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300025</v>
      </c>
      <c r="C47" s="10">
        <v>2</v>
      </c>
      <c r="D47" s="10">
        <v>5</v>
      </c>
      <c r="E47" s="10" t="s">
        <v>125</v>
      </c>
      <c r="F47" s="10" t="s">
        <v>115</v>
      </c>
      <c r="G47" s="10">
        <v>3</v>
      </c>
      <c r="H47" s="10">
        <v>496</v>
      </c>
      <c r="I47" s="10">
        <v>373</v>
      </c>
      <c r="J47" s="10"/>
      <c r="K47" s="10"/>
      <c r="L47" s="10">
        <v>361</v>
      </c>
      <c r="M47" s="10">
        <v>9.2100000000000001E-2</v>
      </c>
      <c r="N47" s="10">
        <v>8.9099999999999999E-2</v>
      </c>
      <c r="O47" s="10"/>
      <c r="P47" s="10"/>
      <c r="Q47" s="10">
        <v>8.8800000000000004E-2</v>
      </c>
      <c r="R47" s="10">
        <v>30002501</v>
      </c>
      <c r="S47" s="10">
        <v>3</v>
      </c>
      <c r="T47" s="10"/>
      <c r="U47" s="10"/>
      <c r="V47" s="10"/>
      <c r="W47" s="10"/>
      <c r="X47" s="10"/>
      <c r="Y47" s="10"/>
      <c r="Z47" s="10"/>
      <c r="AA47" s="10"/>
      <c r="AB47" s="10" t="b">
        <v>1</v>
      </c>
      <c r="AC47" s="10"/>
      <c r="AD47" s="10">
        <v>13</v>
      </c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>
        <v>300026</v>
      </c>
      <c r="C48" s="10">
        <v>2</v>
      </c>
      <c r="D48" s="10">
        <v>1</v>
      </c>
      <c r="E48" s="10" t="s">
        <v>126</v>
      </c>
      <c r="F48" s="10" t="s">
        <v>115</v>
      </c>
      <c r="G48" s="10">
        <v>3</v>
      </c>
      <c r="H48" s="10">
        <v>257</v>
      </c>
      <c r="I48" s="10">
        <v>422</v>
      </c>
      <c r="J48" s="10"/>
      <c r="K48" s="10"/>
      <c r="L48" s="10">
        <v>422</v>
      </c>
      <c r="M48" s="10">
        <v>8.7000000000000008E-2</v>
      </c>
      <c r="N48" s="10">
        <v>9.1499999999999998E-2</v>
      </c>
      <c r="O48" s="10"/>
      <c r="P48" s="10"/>
      <c r="Q48" s="10">
        <v>9.1499999999999998E-2</v>
      </c>
      <c r="R48" s="10">
        <v>30002601</v>
      </c>
      <c r="S48" s="10">
        <v>3</v>
      </c>
      <c r="T48" s="10"/>
      <c r="U48" s="10"/>
      <c r="V48" s="10"/>
      <c r="W48" s="10"/>
      <c r="X48" s="10"/>
      <c r="Y48" s="10"/>
      <c r="Z48" s="10"/>
      <c r="AA48" s="10"/>
      <c r="AB48" s="10" t="b">
        <v>1</v>
      </c>
      <c r="AC48" s="10"/>
      <c r="AD48" s="10">
        <v>9</v>
      </c>
      <c r="AE48" s="10">
        <v>5</v>
      </c>
      <c r="AF48" s="10">
        <v>8</v>
      </c>
      <c r="AG48" s="10">
        <v>20111001</v>
      </c>
      <c r="AH48" s="10">
        <v>1</v>
      </c>
      <c r="AI48" s="10">
        <v>5</v>
      </c>
      <c r="AJ48" s="10">
        <v>8</v>
      </c>
      <c r="AK48" s="10">
        <v>30111001</v>
      </c>
      <c r="AL48" s="10">
        <v>1</v>
      </c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5"/>
  <dataValidations count="1">
    <dataValidation type="list" allowBlank="1" showErrorMessage="1" sqref="B7:AL7" xr:uid="{00000000-0002-0000-0000-000000000000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O1000"/>
  <sheetViews>
    <sheetView topLeftCell="C1" workbookViewId="0">
      <selection activeCell="R25" sqref="R25:T29"/>
    </sheetView>
  </sheetViews>
  <sheetFormatPr defaultColWidth="12.625" defaultRowHeight="15" customHeight="1"/>
  <cols>
    <col min="1" max="1" width="7.625" customWidth="1"/>
    <col min="2" max="2" width="17" customWidth="1"/>
    <col min="3" max="10" width="12.625" customWidth="1"/>
    <col min="11" max="11" width="13.75" customWidth="1"/>
    <col min="12" max="12" width="14.375" customWidth="1"/>
    <col min="13" max="41" width="12.625" customWidth="1"/>
  </cols>
  <sheetData>
    <row r="1" spans="1:41" ht="12" customHeight="1"/>
    <row r="2" spans="1:41" ht="40.5" customHeight="1">
      <c r="A2" s="1" t="s">
        <v>0</v>
      </c>
      <c r="B2" s="2" t="s">
        <v>127</v>
      </c>
      <c r="J2" s="12"/>
      <c r="K2" s="12"/>
      <c r="L2" s="12"/>
    </row>
    <row r="3" spans="1:41" ht="18.75" customHeight="1">
      <c r="A3" s="3"/>
      <c r="B3" s="3" t="s">
        <v>2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</row>
    <row r="4" spans="1:41" ht="18.75" customHeight="1">
      <c r="A4" s="1" t="s">
        <v>3</v>
      </c>
      <c r="B4" s="5" t="s">
        <v>4</v>
      </c>
      <c r="C4" s="5" t="s">
        <v>128</v>
      </c>
      <c r="D4" s="5" t="s">
        <v>272</v>
      </c>
      <c r="E4" s="5" t="s">
        <v>129</v>
      </c>
      <c r="F4" s="5" t="s">
        <v>144</v>
      </c>
      <c r="G4" s="5"/>
      <c r="H4" s="5" t="s">
        <v>261</v>
      </c>
      <c r="I4" s="5" t="s">
        <v>260</v>
      </c>
      <c r="J4" s="5" t="s">
        <v>262</v>
      </c>
      <c r="K4" s="5" t="s">
        <v>370</v>
      </c>
      <c r="L4" s="5" t="s">
        <v>371</v>
      </c>
      <c r="M4" s="5" t="s">
        <v>263</v>
      </c>
      <c r="N4" s="5" t="s">
        <v>264</v>
      </c>
      <c r="O4" s="5" t="s">
        <v>265</v>
      </c>
      <c r="P4" s="5" t="s">
        <v>374</v>
      </c>
      <c r="Q4" s="5" t="s">
        <v>375</v>
      </c>
      <c r="R4" s="5" t="s">
        <v>442</v>
      </c>
      <c r="S4" s="5" t="s">
        <v>443</v>
      </c>
      <c r="T4" s="5" t="s">
        <v>444</v>
      </c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1:41" ht="18.75" customHeight="1">
      <c r="A5" s="1" t="s">
        <v>19</v>
      </c>
      <c r="B5" s="5"/>
      <c r="C5" s="5"/>
      <c r="D5" s="5"/>
      <c r="E5" s="5"/>
      <c r="F5" s="5">
        <v>1</v>
      </c>
      <c r="G5" s="5">
        <v>2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1:41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1:41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 t="s">
        <v>33</v>
      </c>
      <c r="F7" s="6" t="s">
        <v>141</v>
      </c>
      <c r="G7" s="6" t="s">
        <v>33</v>
      </c>
      <c r="H7" s="6" t="s">
        <v>141</v>
      </c>
      <c r="I7" s="6" t="s">
        <v>141</v>
      </c>
      <c r="J7" s="6" t="s">
        <v>141</v>
      </c>
      <c r="K7" s="6" t="s">
        <v>141</v>
      </c>
      <c r="L7" s="6" t="s">
        <v>141</v>
      </c>
      <c r="M7" s="6" t="s">
        <v>141</v>
      </c>
      <c r="N7" s="6" t="s">
        <v>141</v>
      </c>
      <c r="O7" s="6" t="s">
        <v>141</v>
      </c>
      <c r="P7" s="6" t="s">
        <v>141</v>
      </c>
      <c r="Q7" s="6" t="s">
        <v>141</v>
      </c>
      <c r="R7" s="6" t="s">
        <v>141</v>
      </c>
      <c r="S7" s="6" t="s">
        <v>141</v>
      </c>
      <c r="T7" s="6" t="s">
        <v>141</v>
      </c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</row>
    <row r="8" spans="1:41" ht="76.5" customHeight="1">
      <c r="A8" s="1" t="s">
        <v>37</v>
      </c>
      <c r="B8" s="8" t="s">
        <v>38</v>
      </c>
      <c r="C8" s="8" t="s">
        <v>130</v>
      </c>
      <c r="D8" s="8" t="s">
        <v>273</v>
      </c>
      <c r="E8" s="8" t="s">
        <v>131</v>
      </c>
      <c r="F8" s="8" t="s">
        <v>142</v>
      </c>
      <c r="G8" s="8"/>
      <c r="H8" s="8" t="s">
        <v>267</v>
      </c>
      <c r="I8" s="8" t="s">
        <v>268</v>
      </c>
      <c r="J8" s="8" t="s">
        <v>269</v>
      </c>
      <c r="K8" s="8" t="s">
        <v>372</v>
      </c>
      <c r="L8" s="8" t="s">
        <v>373</v>
      </c>
      <c r="M8" s="8" t="s">
        <v>266</v>
      </c>
      <c r="N8" s="8" t="s">
        <v>270</v>
      </c>
      <c r="O8" s="8" t="s">
        <v>271</v>
      </c>
      <c r="P8" s="8" t="s">
        <v>376</v>
      </c>
      <c r="Q8" s="8" t="s">
        <v>377</v>
      </c>
      <c r="R8" s="7" t="s">
        <v>445</v>
      </c>
      <c r="S8" s="7" t="s">
        <v>446</v>
      </c>
      <c r="T8" s="7" t="s">
        <v>447</v>
      </c>
      <c r="U8" s="7"/>
      <c r="V8" s="7"/>
      <c r="W8" s="7"/>
      <c r="X8" s="7"/>
      <c r="Y8" s="7"/>
      <c r="Z8" s="7"/>
      <c r="AA8" s="7"/>
      <c r="AB8" s="7"/>
      <c r="AC8" s="7"/>
      <c r="AD8" s="7"/>
      <c r="AE8" s="8"/>
      <c r="AF8" s="8"/>
      <c r="AG8" s="7"/>
      <c r="AH8" s="7"/>
      <c r="AI8" s="7"/>
      <c r="AJ8" s="7"/>
      <c r="AK8" s="7"/>
      <c r="AL8" s="7"/>
      <c r="AM8" s="7"/>
      <c r="AN8" s="7"/>
      <c r="AO8" s="7"/>
    </row>
    <row r="9" spans="1:41" ht="132" customHeight="1">
      <c r="A9" s="1" t="s">
        <v>64</v>
      </c>
      <c r="B9" s="8"/>
      <c r="C9" s="8"/>
      <c r="D9" s="8"/>
      <c r="E9" s="8"/>
      <c r="F9" s="8" t="s">
        <v>145</v>
      </c>
      <c r="G9" s="8"/>
      <c r="H9" s="8"/>
      <c r="I9" s="8"/>
      <c r="J9" s="8"/>
      <c r="K9" s="8"/>
      <c r="L9" s="8"/>
      <c r="M9" s="8"/>
      <c r="N9" s="8"/>
      <c r="O9" s="7"/>
      <c r="P9" s="8"/>
      <c r="Q9" s="7"/>
      <c r="R9" s="7"/>
      <c r="S9" s="7"/>
      <c r="T9" s="7"/>
      <c r="U9" s="8"/>
      <c r="V9" s="8"/>
      <c r="W9" s="8"/>
      <c r="X9" s="8"/>
      <c r="Y9" s="8"/>
      <c r="Z9" s="8"/>
      <c r="AA9" s="8"/>
      <c r="AB9" s="8"/>
      <c r="AC9" s="7"/>
      <c r="AD9" s="7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</row>
    <row r="10" spans="1:41" ht="18.75" customHeight="1">
      <c r="A10" s="9" t="s">
        <v>70</v>
      </c>
      <c r="B10" s="10">
        <v>1</v>
      </c>
      <c r="C10" s="10" t="s">
        <v>132</v>
      </c>
      <c r="D10" s="10">
        <v>1</v>
      </c>
      <c r="E10" s="10">
        <v>3</v>
      </c>
      <c r="F10" s="10">
        <v>1</v>
      </c>
      <c r="G10" s="10"/>
      <c r="H10" s="10">
        <v>120</v>
      </c>
      <c r="I10" s="10">
        <v>180</v>
      </c>
      <c r="J10" s="10">
        <v>80</v>
      </c>
      <c r="K10" s="10">
        <v>100</v>
      </c>
      <c r="L10" s="10">
        <v>100</v>
      </c>
      <c r="M10" s="10">
        <v>2600</v>
      </c>
      <c r="N10" s="10">
        <v>3200</v>
      </c>
      <c r="O10" s="10">
        <v>1900</v>
      </c>
      <c r="P10" s="10">
        <v>2000</v>
      </c>
      <c r="Q10" s="10">
        <v>2000</v>
      </c>
      <c r="R10" s="10">
        <v>1</v>
      </c>
      <c r="S10" s="10">
        <v>1</v>
      </c>
      <c r="T10" s="10">
        <v>1</v>
      </c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</row>
    <row r="11" spans="1:41" ht="18.75" customHeight="1">
      <c r="A11" s="11"/>
      <c r="B11" s="10">
        <v>2</v>
      </c>
      <c r="C11" s="10" t="s">
        <v>133</v>
      </c>
      <c r="D11" s="10">
        <v>3</v>
      </c>
      <c r="E11" s="10">
        <v>3</v>
      </c>
      <c r="F11" s="10">
        <v>1</v>
      </c>
      <c r="G11" s="10"/>
      <c r="H11" s="10">
        <v>130</v>
      </c>
      <c r="I11" s="10">
        <v>120</v>
      </c>
      <c r="J11" s="10">
        <v>170</v>
      </c>
      <c r="K11" s="10">
        <v>100</v>
      </c>
      <c r="L11" s="10">
        <v>120</v>
      </c>
      <c r="M11" s="10">
        <v>2800</v>
      </c>
      <c r="N11" s="10">
        <v>2600</v>
      </c>
      <c r="O11" s="10">
        <v>3100</v>
      </c>
      <c r="P11" s="10">
        <v>2000</v>
      </c>
      <c r="Q11" s="10">
        <v>2600</v>
      </c>
      <c r="R11" s="10">
        <v>2</v>
      </c>
      <c r="S11" s="10">
        <v>2</v>
      </c>
      <c r="T11" s="10">
        <v>2</v>
      </c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</row>
    <row r="12" spans="1:41" ht="18.75" customHeight="1">
      <c r="A12" s="11"/>
      <c r="B12" s="10">
        <v>3</v>
      </c>
      <c r="C12" s="10" t="s">
        <v>134</v>
      </c>
      <c r="D12" s="10">
        <v>2</v>
      </c>
      <c r="E12" s="10">
        <v>3</v>
      </c>
      <c r="F12" s="10">
        <v>1</v>
      </c>
      <c r="G12" s="10"/>
      <c r="H12" s="10">
        <v>180</v>
      </c>
      <c r="I12" s="10">
        <v>140</v>
      </c>
      <c r="J12" s="10">
        <v>120</v>
      </c>
      <c r="K12" s="10">
        <v>100</v>
      </c>
      <c r="L12" s="10">
        <v>80</v>
      </c>
      <c r="M12" s="10">
        <v>3200</v>
      </c>
      <c r="N12" s="10">
        <v>2700</v>
      </c>
      <c r="O12" s="10">
        <v>2600</v>
      </c>
      <c r="P12" s="10">
        <v>2000</v>
      </c>
      <c r="Q12" s="10">
        <v>1500</v>
      </c>
      <c r="R12" s="10">
        <v>3</v>
      </c>
      <c r="S12" s="10">
        <v>3</v>
      </c>
      <c r="T12" s="10">
        <v>3</v>
      </c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</row>
    <row r="13" spans="1:41" ht="18.75" customHeight="1">
      <c r="A13" s="11"/>
      <c r="B13" s="10">
        <v>4</v>
      </c>
      <c r="C13" s="10" t="s">
        <v>135</v>
      </c>
      <c r="D13" s="10">
        <v>1</v>
      </c>
      <c r="E13" s="10">
        <v>3</v>
      </c>
      <c r="F13" s="10">
        <v>1</v>
      </c>
      <c r="G13" s="10"/>
      <c r="H13" s="10">
        <v>160</v>
      </c>
      <c r="I13" s="10">
        <v>180</v>
      </c>
      <c r="J13" s="10">
        <v>100</v>
      </c>
      <c r="K13" s="10">
        <v>100</v>
      </c>
      <c r="L13" s="10">
        <v>100</v>
      </c>
      <c r="M13" s="10">
        <v>3000</v>
      </c>
      <c r="N13" s="10">
        <v>3200</v>
      </c>
      <c r="O13" s="10">
        <v>2400</v>
      </c>
      <c r="P13" s="10">
        <v>2000</v>
      </c>
      <c r="Q13" s="10">
        <v>2600</v>
      </c>
      <c r="R13" s="10">
        <v>4</v>
      </c>
      <c r="S13" s="10">
        <v>4</v>
      </c>
      <c r="T13" s="10">
        <v>4</v>
      </c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</row>
    <row r="14" spans="1:41" ht="18.75" customHeight="1">
      <c r="A14" s="11"/>
      <c r="B14" s="10">
        <v>5</v>
      </c>
      <c r="C14" s="10" t="s">
        <v>136</v>
      </c>
      <c r="D14" s="10">
        <v>3</v>
      </c>
      <c r="E14" s="10">
        <v>3</v>
      </c>
      <c r="F14" s="10">
        <v>1</v>
      </c>
      <c r="G14" s="10"/>
      <c r="H14" s="10">
        <v>150</v>
      </c>
      <c r="I14" s="10">
        <v>140</v>
      </c>
      <c r="J14" s="10">
        <v>180</v>
      </c>
      <c r="K14" s="10">
        <v>100</v>
      </c>
      <c r="L14" s="10">
        <v>100</v>
      </c>
      <c r="M14" s="10">
        <v>2900</v>
      </c>
      <c r="N14" s="10">
        <v>2700</v>
      </c>
      <c r="O14" s="10">
        <v>3200</v>
      </c>
      <c r="P14" s="10">
        <v>2000</v>
      </c>
      <c r="Q14" s="10">
        <v>2200</v>
      </c>
      <c r="R14" s="10">
        <v>5</v>
      </c>
      <c r="S14" s="10">
        <v>5</v>
      </c>
      <c r="T14" s="10">
        <v>5</v>
      </c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</row>
    <row r="15" spans="1:41" ht="18.75" customHeight="1">
      <c r="A15" s="11"/>
      <c r="B15" s="10">
        <v>6</v>
      </c>
      <c r="C15" s="10" t="s">
        <v>137</v>
      </c>
      <c r="D15" s="10">
        <v>5</v>
      </c>
      <c r="E15" s="10">
        <v>3</v>
      </c>
      <c r="F15" s="10">
        <v>1</v>
      </c>
      <c r="G15" s="10"/>
      <c r="H15" s="10">
        <v>200</v>
      </c>
      <c r="I15" s="10">
        <v>180</v>
      </c>
      <c r="J15" s="10">
        <v>150</v>
      </c>
      <c r="K15" s="10">
        <v>100</v>
      </c>
      <c r="L15" s="10">
        <v>60</v>
      </c>
      <c r="M15" s="10">
        <v>3400</v>
      </c>
      <c r="N15" s="10">
        <v>3200</v>
      </c>
      <c r="O15" s="10">
        <v>2900</v>
      </c>
      <c r="P15" s="10">
        <v>2000</v>
      </c>
      <c r="Q15" s="10">
        <v>1200</v>
      </c>
      <c r="R15" s="10">
        <v>1</v>
      </c>
      <c r="S15" s="10">
        <v>1</v>
      </c>
      <c r="T15" s="10">
        <v>1</v>
      </c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</row>
    <row r="16" spans="1:41" ht="18.75" customHeight="1">
      <c r="A16" s="11"/>
      <c r="B16" s="10">
        <v>7</v>
      </c>
      <c r="C16" s="10" t="s">
        <v>274</v>
      </c>
      <c r="D16" s="10">
        <v>1</v>
      </c>
      <c r="E16" s="10">
        <v>3</v>
      </c>
      <c r="F16" s="10">
        <v>1</v>
      </c>
      <c r="G16" s="10"/>
      <c r="H16" s="10">
        <v>120</v>
      </c>
      <c r="I16" s="10">
        <v>180</v>
      </c>
      <c r="J16" s="10">
        <v>80</v>
      </c>
      <c r="K16" s="10">
        <v>100</v>
      </c>
      <c r="L16" s="10">
        <v>100</v>
      </c>
      <c r="M16" s="10">
        <v>2600</v>
      </c>
      <c r="N16" s="10">
        <v>3200</v>
      </c>
      <c r="O16" s="10">
        <v>1900</v>
      </c>
      <c r="P16" s="10">
        <v>2000</v>
      </c>
      <c r="Q16" s="10">
        <v>2000</v>
      </c>
      <c r="R16" s="10">
        <v>2</v>
      </c>
      <c r="S16" s="10">
        <v>2</v>
      </c>
      <c r="T16" s="10">
        <v>2</v>
      </c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</row>
    <row r="17" spans="1:41" ht="18.75" customHeight="1">
      <c r="A17" s="11"/>
      <c r="B17" s="10">
        <v>8</v>
      </c>
      <c r="C17" s="10" t="s">
        <v>276</v>
      </c>
      <c r="D17" s="10">
        <v>2</v>
      </c>
      <c r="E17" s="10">
        <v>3</v>
      </c>
      <c r="F17" s="10">
        <v>1</v>
      </c>
      <c r="G17" s="10"/>
      <c r="H17" s="10">
        <v>130</v>
      </c>
      <c r="I17" s="10">
        <v>120</v>
      </c>
      <c r="J17" s="10">
        <v>170</v>
      </c>
      <c r="K17" s="10">
        <v>100</v>
      </c>
      <c r="L17" s="10">
        <v>80</v>
      </c>
      <c r="M17" s="10">
        <v>2800</v>
      </c>
      <c r="N17" s="10">
        <v>2600</v>
      </c>
      <c r="O17" s="10">
        <v>3100</v>
      </c>
      <c r="P17" s="10">
        <v>2000</v>
      </c>
      <c r="Q17" s="10">
        <v>1600</v>
      </c>
      <c r="R17" s="10">
        <v>3</v>
      </c>
      <c r="S17" s="10">
        <v>3</v>
      </c>
      <c r="T17" s="10">
        <v>3</v>
      </c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</row>
    <row r="18" spans="1:41" ht="18.75" customHeight="1">
      <c r="A18" s="11"/>
      <c r="B18" s="10">
        <v>9</v>
      </c>
      <c r="C18" s="10" t="s">
        <v>275</v>
      </c>
      <c r="D18" s="10">
        <v>3</v>
      </c>
      <c r="E18" s="10">
        <v>3</v>
      </c>
      <c r="F18" s="10">
        <v>1</v>
      </c>
      <c r="G18" s="10"/>
      <c r="H18" s="10">
        <v>180</v>
      </c>
      <c r="I18" s="10">
        <v>140</v>
      </c>
      <c r="J18" s="10">
        <v>120</v>
      </c>
      <c r="K18" s="10">
        <v>100</v>
      </c>
      <c r="L18" s="10">
        <v>60</v>
      </c>
      <c r="M18" s="10">
        <v>3200</v>
      </c>
      <c r="N18" s="10">
        <v>2700</v>
      </c>
      <c r="O18" s="10">
        <v>2600</v>
      </c>
      <c r="P18" s="10">
        <v>2000</v>
      </c>
      <c r="Q18" s="10">
        <v>1400</v>
      </c>
      <c r="R18" s="10">
        <v>4</v>
      </c>
      <c r="S18" s="10">
        <v>4</v>
      </c>
      <c r="T18" s="10">
        <v>4</v>
      </c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</row>
    <row r="19" spans="1:41" ht="18.75" customHeight="1">
      <c r="A19" s="11"/>
      <c r="B19" s="10">
        <v>10</v>
      </c>
      <c r="C19" s="10" t="s">
        <v>277</v>
      </c>
      <c r="D19" s="15">
        <v>1</v>
      </c>
      <c r="E19" s="10">
        <v>3</v>
      </c>
      <c r="F19" s="10">
        <v>1</v>
      </c>
      <c r="G19" s="10"/>
      <c r="H19" s="10">
        <v>160</v>
      </c>
      <c r="I19" s="10">
        <v>180</v>
      </c>
      <c r="J19" s="10">
        <v>100</v>
      </c>
      <c r="K19" s="10">
        <v>100</v>
      </c>
      <c r="L19" s="10">
        <v>100</v>
      </c>
      <c r="M19" s="10">
        <v>3000</v>
      </c>
      <c r="N19" s="10">
        <v>3200</v>
      </c>
      <c r="O19" s="10">
        <v>2400</v>
      </c>
      <c r="P19" s="10">
        <v>2000</v>
      </c>
      <c r="Q19" s="10">
        <v>2000</v>
      </c>
      <c r="R19" s="10">
        <v>5</v>
      </c>
      <c r="S19" s="10">
        <v>5</v>
      </c>
      <c r="T19" s="10">
        <v>5</v>
      </c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</row>
    <row r="20" spans="1:41" ht="18.75" customHeight="1">
      <c r="A20" s="11"/>
      <c r="B20" s="10">
        <v>11</v>
      </c>
      <c r="C20" s="10" t="s">
        <v>278</v>
      </c>
      <c r="D20" s="10">
        <v>2</v>
      </c>
      <c r="E20" s="10">
        <v>4</v>
      </c>
      <c r="F20" s="10">
        <v>1</v>
      </c>
      <c r="G20" s="10"/>
      <c r="H20" s="10">
        <v>150</v>
      </c>
      <c r="I20" s="10">
        <v>140</v>
      </c>
      <c r="J20" s="10">
        <v>180</v>
      </c>
      <c r="K20" s="10">
        <v>100</v>
      </c>
      <c r="L20" s="10">
        <v>120</v>
      </c>
      <c r="M20" s="10">
        <v>2900</v>
      </c>
      <c r="N20" s="10">
        <v>2700</v>
      </c>
      <c r="O20" s="10">
        <v>3200</v>
      </c>
      <c r="P20" s="10">
        <v>2000</v>
      </c>
      <c r="Q20" s="10">
        <v>2500</v>
      </c>
      <c r="R20" s="10">
        <v>1</v>
      </c>
      <c r="S20" s="10">
        <v>1</v>
      </c>
      <c r="T20" s="10">
        <v>1</v>
      </c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</row>
    <row r="21" spans="1:41" ht="18.75" customHeight="1">
      <c r="A21" s="11"/>
      <c r="B21" s="10">
        <v>12</v>
      </c>
      <c r="C21" s="10" t="s">
        <v>279</v>
      </c>
      <c r="D21" s="10">
        <v>3</v>
      </c>
      <c r="E21" s="10">
        <v>4</v>
      </c>
      <c r="F21" s="10">
        <v>1</v>
      </c>
      <c r="G21" s="10"/>
      <c r="H21" s="10">
        <v>200</v>
      </c>
      <c r="I21" s="10">
        <v>180</v>
      </c>
      <c r="J21" s="10">
        <v>150</v>
      </c>
      <c r="K21" s="10">
        <v>100</v>
      </c>
      <c r="L21" s="10">
        <v>140</v>
      </c>
      <c r="M21" s="10">
        <v>3400</v>
      </c>
      <c r="N21" s="10">
        <v>3200</v>
      </c>
      <c r="O21" s="10">
        <v>2900</v>
      </c>
      <c r="P21" s="10">
        <v>2000</v>
      </c>
      <c r="Q21" s="10">
        <v>2000</v>
      </c>
      <c r="R21" s="10">
        <v>2</v>
      </c>
      <c r="S21" s="10">
        <v>2</v>
      </c>
      <c r="T21" s="10">
        <v>2</v>
      </c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</row>
    <row r="22" spans="1:41" ht="18.75" customHeight="1">
      <c r="A22" s="11"/>
      <c r="B22" s="10">
        <v>13</v>
      </c>
      <c r="C22" s="10" t="s">
        <v>280</v>
      </c>
      <c r="D22" s="10">
        <v>1</v>
      </c>
      <c r="E22" s="10">
        <v>4</v>
      </c>
      <c r="F22" s="10">
        <v>1</v>
      </c>
      <c r="G22" s="10"/>
      <c r="H22" s="10">
        <v>120</v>
      </c>
      <c r="I22" s="10">
        <v>180</v>
      </c>
      <c r="J22" s="10">
        <v>80</v>
      </c>
      <c r="K22" s="10">
        <v>100</v>
      </c>
      <c r="L22" s="10">
        <v>160</v>
      </c>
      <c r="M22" s="10">
        <v>2600</v>
      </c>
      <c r="N22" s="10">
        <v>3200</v>
      </c>
      <c r="O22" s="10">
        <v>1900</v>
      </c>
      <c r="P22" s="10">
        <v>2000</v>
      </c>
      <c r="Q22" s="10">
        <v>2200</v>
      </c>
      <c r="R22" s="10">
        <v>3</v>
      </c>
      <c r="S22" s="10">
        <v>3</v>
      </c>
      <c r="T22" s="10">
        <v>3</v>
      </c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</row>
    <row r="23" spans="1:41" ht="18.75" customHeight="1">
      <c r="A23" s="11"/>
      <c r="B23" s="10">
        <v>14</v>
      </c>
      <c r="C23" s="10" t="s">
        <v>281</v>
      </c>
      <c r="D23" s="10">
        <v>2</v>
      </c>
      <c r="E23" s="10">
        <v>4</v>
      </c>
      <c r="F23" s="10">
        <v>1</v>
      </c>
      <c r="G23" s="10"/>
      <c r="H23" s="10">
        <v>130</v>
      </c>
      <c r="I23" s="10">
        <v>120</v>
      </c>
      <c r="J23" s="10">
        <v>170</v>
      </c>
      <c r="K23" s="10">
        <v>100</v>
      </c>
      <c r="L23" s="10">
        <v>130</v>
      </c>
      <c r="M23" s="10">
        <v>2800</v>
      </c>
      <c r="N23" s="10">
        <v>2600</v>
      </c>
      <c r="O23" s="10">
        <v>3100</v>
      </c>
      <c r="P23" s="10">
        <v>2000</v>
      </c>
      <c r="Q23" s="10">
        <v>2900</v>
      </c>
      <c r="R23" s="10">
        <v>4</v>
      </c>
      <c r="S23" s="10">
        <v>4</v>
      </c>
      <c r="T23" s="10">
        <v>4</v>
      </c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</row>
    <row r="24" spans="1:41" ht="18.75" customHeight="1">
      <c r="A24" s="11"/>
      <c r="B24" s="10">
        <v>15</v>
      </c>
      <c r="C24" s="10" t="s">
        <v>282</v>
      </c>
      <c r="D24" s="10">
        <v>3</v>
      </c>
      <c r="E24" s="10">
        <v>4</v>
      </c>
      <c r="F24" s="10">
        <v>1</v>
      </c>
      <c r="G24" s="10"/>
      <c r="H24" s="10">
        <v>180</v>
      </c>
      <c r="I24" s="10">
        <v>140</v>
      </c>
      <c r="J24" s="10">
        <v>120</v>
      </c>
      <c r="K24" s="10">
        <v>100</v>
      </c>
      <c r="L24" s="10">
        <v>100</v>
      </c>
      <c r="M24" s="10">
        <v>3200</v>
      </c>
      <c r="N24" s="10">
        <v>2700</v>
      </c>
      <c r="O24" s="10">
        <v>2600</v>
      </c>
      <c r="P24" s="10">
        <v>2000</v>
      </c>
      <c r="Q24" s="10">
        <v>2300</v>
      </c>
      <c r="R24" s="10">
        <v>5</v>
      </c>
      <c r="S24" s="10">
        <v>5</v>
      </c>
      <c r="T24" s="10">
        <v>5</v>
      </c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</row>
    <row r="25" spans="1:41" ht="18.75" customHeight="1">
      <c r="A25" s="11"/>
      <c r="B25" s="10">
        <v>16</v>
      </c>
      <c r="C25" s="10" t="s">
        <v>283</v>
      </c>
      <c r="D25" s="10">
        <v>1</v>
      </c>
      <c r="E25" s="10">
        <v>4</v>
      </c>
      <c r="F25" s="10">
        <v>1</v>
      </c>
      <c r="G25" s="10"/>
      <c r="H25" s="10">
        <v>160</v>
      </c>
      <c r="I25" s="10">
        <v>180</v>
      </c>
      <c r="J25" s="10">
        <v>100</v>
      </c>
      <c r="K25" s="10">
        <v>100</v>
      </c>
      <c r="L25" s="10">
        <v>60</v>
      </c>
      <c r="M25" s="10">
        <v>3000</v>
      </c>
      <c r="N25" s="10">
        <v>3200</v>
      </c>
      <c r="O25" s="10">
        <v>2400</v>
      </c>
      <c r="P25" s="10">
        <v>2000</v>
      </c>
      <c r="Q25" s="10">
        <v>2400</v>
      </c>
      <c r="R25" s="10">
        <v>1</v>
      </c>
      <c r="S25" s="10">
        <v>1</v>
      </c>
      <c r="T25" s="10">
        <v>1</v>
      </c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</row>
    <row r="26" spans="1:41" ht="18.75" customHeight="1">
      <c r="A26" s="11"/>
      <c r="B26" s="10">
        <v>17</v>
      </c>
      <c r="C26" s="10" t="s">
        <v>284</v>
      </c>
      <c r="D26" s="10">
        <v>2</v>
      </c>
      <c r="E26" s="10">
        <v>4</v>
      </c>
      <c r="F26" s="10">
        <v>1</v>
      </c>
      <c r="G26" s="10"/>
      <c r="H26" s="10">
        <v>150</v>
      </c>
      <c r="I26" s="10">
        <v>140</v>
      </c>
      <c r="J26" s="10">
        <v>180</v>
      </c>
      <c r="K26" s="10">
        <v>100</v>
      </c>
      <c r="L26" s="10">
        <v>120</v>
      </c>
      <c r="M26" s="10">
        <v>2900</v>
      </c>
      <c r="N26" s="10">
        <v>2700</v>
      </c>
      <c r="O26" s="10">
        <v>3200</v>
      </c>
      <c r="P26" s="10">
        <v>2000</v>
      </c>
      <c r="Q26" s="10">
        <v>1200</v>
      </c>
      <c r="R26" s="10">
        <v>2</v>
      </c>
      <c r="S26" s="10">
        <v>2</v>
      </c>
      <c r="T26" s="10">
        <v>2</v>
      </c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</row>
    <row r="27" spans="1:41" ht="18.75" customHeight="1">
      <c r="A27" s="11"/>
      <c r="B27" s="10">
        <v>18</v>
      </c>
      <c r="C27" s="10" t="s">
        <v>285</v>
      </c>
      <c r="D27" s="10">
        <v>3</v>
      </c>
      <c r="E27" s="10">
        <v>4</v>
      </c>
      <c r="F27" s="10">
        <v>1</v>
      </c>
      <c r="G27" s="10"/>
      <c r="H27" s="10">
        <v>200</v>
      </c>
      <c r="I27" s="10">
        <v>180</v>
      </c>
      <c r="J27" s="10">
        <v>150</v>
      </c>
      <c r="K27" s="10">
        <v>100</v>
      </c>
      <c r="L27" s="10">
        <v>100</v>
      </c>
      <c r="M27" s="10">
        <v>3400</v>
      </c>
      <c r="N27" s="10">
        <v>3200</v>
      </c>
      <c r="O27" s="10">
        <v>2900</v>
      </c>
      <c r="P27" s="10">
        <v>2000</v>
      </c>
      <c r="Q27" s="10">
        <v>2800</v>
      </c>
      <c r="R27" s="10">
        <v>3</v>
      </c>
      <c r="S27" s="10">
        <v>3</v>
      </c>
      <c r="T27" s="10">
        <v>3</v>
      </c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</row>
    <row r="28" spans="1:41" ht="18.75" customHeight="1">
      <c r="A28" s="11"/>
      <c r="B28" s="10">
        <v>19</v>
      </c>
      <c r="C28" s="10" t="s">
        <v>286</v>
      </c>
      <c r="D28" s="10">
        <v>4</v>
      </c>
      <c r="E28" s="10">
        <v>4</v>
      </c>
      <c r="F28" s="10">
        <v>1</v>
      </c>
      <c r="G28" s="10"/>
      <c r="H28" s="10">
        <v>150</v>
      </c>
      <c r="I28" s="10">
        <v>140</v>
      </c>
      <c r="J28" s="10">
        <v>180</v>
      </c>
      <c r="K28" s="10">
        <v>100</v>
      </c>
      <c r="L28" s="10">
        <v>100</v>
      </c>
      <c r="M28" s="10">
        <v>2900</v>
      </c>
      <c r="N28" s="10">
        <v>2700</v>
      </c>
      <c r="O28" s="10">
        <v>3200</v>
      </c>
      <c r="P28" s="10">
        <v>2000</v>
      </c>
      <c r="Q28" s="10">
        <v>2300</v>
      </c>
      <c r="R28" s="10">
        <v>4</v>
      </c>
      <c r="S28" s="10">
        <v>4</v>
      </c>
      <c r="T28" s="10">
        <v>4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</row>
    <row r="29" spans="1:41" ht="18.75" customHeight="1">
      <c r="A29" s="11"/>
      <c r="B29" s="10">
        <v>20</v>
      </c>
      <c r="C29" s="10" t="s">
        <v>287</v>
      </c>
      <c r="D29" s="10">
        <v>5</v>
      </c>
      <c r="E29" s="10">
        <v>4</v>
      </c>
      <c r="F29" s="10">
        <v>1</v>
      </c>
      <c r="G29" s="10"/>
      <c r="H29" s="10">
        <v>200</v>
      </c>
      <c r="I29" s="10">
        <v>180</v>
      </c>
      <c r="J29" s="10">
        <v>150</v>
      </c>
      <c r="K29" s="10">
        <v>100</v>
      </c>
      <c r="L29" s="10">
        <v>120</v>
      </c>
      <c r="M29" s="10">
        <v>3400</v>
      </c>
      <c r="N29" s="10">
        <v>3200</v>
      </c>
      <c r="O29" s="10">
        <v>2900</v>
      </c>
      <c r="P29" s="10">
        <v>2000</v>
      </c>
      <c r="Q29" s="10">
        <v>2600</v>
      </c>
      <c r="R29" s="10">
        <v>5</v>
      </c>
      <c r="S29" s="10">
        <v>5</v>
      </c>
      <c r="T29" s="10">
        <v>5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</row>
    <row r="30" spans="1:41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</row>
    <row r="31" spans="1:41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</row>
    <row r="32" spans="1:41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</row>
    <row r="33" spans="1:41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</row>
    <row r="34" spans="1:41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</row>
    <row r="35" spans="1:41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</row>
    <row r="36" spans="1:41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</row>
    <row r="37" spans="1:41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</row>
    <row r="38" spans="1:41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</row>
    <row r="39" spans="1:41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</row>
    <row r="40" spans="1:41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</row>
    <row r="41" spans="1:41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</row>
    <row r="42" spans="1:41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</row>
    <row r="43" spans="1:41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</row>
    <row r="44" spans="1:41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</row>
    <row r="45" spans="1:41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</row>
    <row r="46" spans="1:41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</row>
    <row r="47" spans="1:41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</row>
    <row r="48" spans="1:41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O7" xr:uid="{B7BB8E16-47A5-384F-83B6-7EB44EDEBF9C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AL1000"/>
  <sheetViews>
    <sheetView workbookViewId="0">
      <selection activeCell="E8" sqref="E8"/>
    </sheetView>
  </sheetViews>
  <sheetFormatPr defaultColWidth="12.625" defaultRowHeight="15" customHeight="1"/>
  <cols>
    <col min="1" max="1" width="7.625" customWidth="1"/>
    <col min="2" max="2" width="17" customWidth="1"/>
    <col min="3" max="3" width="12.625" customWidth="1"/>
    <col min="4" max="4" width="18.5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138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139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140</v>
      </c>
      <c r="D8" s="7"/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143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358</v>
      </c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B7AE9230-93DF-4447-A32F-272DDEBA5417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0"/>
  <sheetViews>
    <sheetView topLeftCell="H1" workbookViewId="0">
      <selection activeCell="O13" sqref="O13"/>
    </sheetView>
  </sheetViews>
  <sheetFormatPr defaultColWidth="12.625" defaultRowHeight="15" customHeight="1"/>
  <cols>
    <col min="1" max="1" width="7.625" customWidth="1"/>
    <col min="2" max="3" width="17" customWidth="1"/>
    <col min="4" max="5" width="20" customWidth="1"/>
    <col min="6" max="12" width="12.625" customWidth="1"/>
    <col min="13" max="13" width="19.125" customWidth="1"/>
    <col min="14" max="14" width="12.625" customWidth="1"/>
    <col min="15" max="15" width="22.75" customWidth="1"/>
    <col min="16" max="16" width="19" customWidth="1"/>
    <col min="17" max="17" width="12.625" customWidth="1"/>
    <col min="18" max="18" width="27.25" customWidth="1"/>
    <col min="19" max="38" width="12.625" customWidth="1"/>
  </cols>
  <sheetData>
    <row r="1" spans="1:38" ht="12" customHeight="1"/>
    <row r="2" spans="1:38" ht="40.5" customHeight="1">
      <c r="A2" s="1" t="s">
        <v>0</v>
      </c>
      <c r="B2" s="2" t="s">
        <v>146</v>
      </c>
      <c r="H2" s="12"/>
    </row>
    <row r="3" spans="1:38" ht="18.75" customHeight="1">
      <c r="A3" s="3"/>
      <c r="B3" s="3" t="s">
        <v>2</v>
      </c>
      <c r="C3" s="3"/>
      <c r="D3" s="3"/>
      <c r="E3" s="3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147</v>
      </c>
      <c r="D4" s="5" t="s">
        <v>359</v>
      </c>
      <c r="E4" s="5" t="s">
        <v>139</v>
      </c>
      <c r="F4" s="5" t="s">
        <v>149</v>
      </c>
      <c r="G4" s="5"/>
      <c r="H4" s="5"/>
      <c r="I4" s="5"/>
      <c r="J4" s="5"/>
      <c r="K4" s="5"/>
      <c r="L4" s="5" t="s">
        <v>477</v>
      </c>
      <c r="M4" s="5" t="s">
        <v>378</v>
      </c>
      <c r="N4" s="5"/>
      <c r="O4" s="5"/>
      <c r="P4" s="5"/>
      <c r="Q4" s="5"/>
      <c r="R4" s="5"/>
      <c r="S4" s="5" t="s">
        <v>381</v>
      </c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>
        <v>1</v>
      </c>
      <c r="G5" s="5"/>
      <c r="H5" s="5"/>
      <c r="I5" s="5">
        <v>2</v>
      </c>
      <c r="J5" s="5"/>
      <c r="K5" s="5"/>
      <c r="L5" s="5"/>
      <c r="M5" s="5">
        <v>1</v>
      </c>
      <c r="N5" s="5"/>
      <c r="O5" s="5"/>
      <c r="P5" s="5">
        <v>2</v>
      </c>
      <c r="Q5" s="5"/>
      <c r="R5" s="5"/>
      <c r="S5" s="5">
        <v>1</v>
      </c>
      <c r="T5" s="5"/>
      <c r="U5" s="5"/>
      <c r="V5" s="5">
        <v>2</v>
      </c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 t="s">
        <v>150</v>
      </c>
      <c r="G6" s="5" t="s">
        <v>151</v>
      </c>
      <c r="H6" s="5" t="s">
        <v>153</v>
      </c>
      <c r="I6" s="5" t="s">
        <v>150</v>
      </c>
      <c r="J6" s="5" t="s">
        <v>151</v>
      </c>
      <c r="K6" s="5" t="s">
        <v>153</v>
      </c>
      <c r="L6" s="5"/>
      <c r="M6" s="5" t="s">
        <v>379</v>
      </c>
      <c r="N6" s="5" t="s">
        <v>380</v>
      </c>
      <c r="O6" s="5" t="s">
        <v>466</v>
      </c>
      <c r="P6" s="5" t="s">
        <v>379</v>
      </c>
      <c r="Q6" s="5" t="s">
        <v>380</v>
      </c>
      <c r="R6" s="5" t="s">
        <v>466</v>
      </c>
      <c r="S6" s="5" t="s">
        <v>379</v>
      </c>
      <c r="T6" s="5" t="s">
        <v>380</v>
      </c>
      <c r="U6" s="5" t="s">
        <v>466</v>
      </c>
      <c r="V6" s="5" t="s">
        <v>379</v>
      </c>
      <c r="W6" s="5" t="s">
        <v>380</v>
      </c>
      <c r="X6" s="5" t="s">
        <v>466</v>
      </c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33</v>
      </c>
      <c r="D7" s="6" t="s">
        <v>141</v>
      </c>
      <c r="E7" s="6" t="s">
        <v>34</v>
      </c>
      <c r="F7" s="6" t="s">
        <v>33</v>
      </c>
      <c r="G7" s="6" t="s">
        <v>33</v>
      </c>
      <c r="H7" s="6" t="s">
        <v>141</v>
      </c>
      <c r="I7" s="6" t="s">
        <v>33</v>
      </c>
      <c r="J7" s="6" t="s">
        <v>33</v>
      </c>
      <c r="K7" s="6" t="s">
        <v>141</v>
      </c>
      <c r="L7" s="6" t="s">
        <v>141</v>
      </c>
      <c r="M7" s="6" t="s">
        <v>33</v>
      </c>
      <c r="N7" s="6" t="s">
        <v>33</v>
      </c>
      <c r="O7" s="6" t="s">
        <v>250</v>
      </c>
      <c r="P7" s="6" t="s">
        <v>33</v>
      </c>
      <c r="Q7" s="6" t="s">
        <v>33</v>
      </c>
      <c r="R7" s="6" t="s">
        <v>250</v>
      </c>
      <c r="S7" s="6" t="s">
        <v>33</v>
      </c>
      <c r="T7" s="6" t="s">
        <v>33</v>
      </c>
      <c r="U7" s="6" t="s">
        <v>250</v>
      </c>
      <c r="V7" s="6" t="s">
        <v>33</v>
      </c>
      <c r="W7" s="6" t="s">
        <v>33</v>
      </c>
      <c r="X7" s="6" t="s">
        <v>250</v>
      </c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126.75" customHeight="1">
      <c r="A8" s="1" t="s">
        <v>37</v>
      </c>
      <c r="B8" s="7" t="s">
        <v>38</v>
      </c>
      <c r="C8" s="7" t="s">
        <v>148</v>
      </c>
      <c r="D8" s="7" t="s">
        <v>360</v>
      </c>
      <c r="E8" s="7" t="s">
        <v>364</v>
      </c>
      <c r="F8" s="8" t="s">
        <v>304</v>
      </c>
      <c r="G8" s="8" t="s">
        <v>152</v>
      </c>
      <c r="H8" s="8" t="s">
        <v>154</v>
      </c>
      <c r="I8" s="8" t="s">
        <v>304</v>
      </c>
      <c r="J8" s="8" t="s">
        <v>152</v>
      </c>
      <c r="K8" s="8" t="s">
        <v>154</v>
      </c>
      <c r="L8" s="8" t="s">
        <v>478</v>
      </c>
      <c r="M8" s="8" t="s">
        <v>382</v>
      </c>
      <c r="N8" s="8" t="s">
        <v>383</v>
      </c>
      <c r="O8" s="8" t="s">
        <v>467</v>
      </c>
      <c r="P8" s="8" t="s">
        <v>382</v>
      </c>
      <c r="Q8" s="8" t="s">
        <v>383</v>
      </c>
      <c r="R8" s="8" t="s">
        <v>467</v>
      </c>
      <c r="S8" s="8" t="s">
        <v>382</v>
      </c>
      <c r="T8" s="8" t="s">
        <v>383</v>
      </c>
      <c r="U8" s="8" t="s">
        <v>467</v>
      </c>
      <c r="V8" s="8" t="s">
        <v>382</v>
      </c>
      <c r="W8" s="8" t="s">
        <v>383</v>
      </c>
      <c r="X8" s="8" t="s">
        <v>467</v>
      </c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7"/>
      <c r="I9" s="7"/>
      <c r="J9" s="7"/>
      <c r="K9" s="7"/>
      <c r="L9" s="29"/>
      <c r="M9" s="30" t="s">
        <v>468</v>
      </c>
      <c r="N9" s="30"/>
      <c r="O9" s="30"/>
      <c r="P9" s="30" t="s">
        <v>468</v>
      </c>
      <c r="Q9" s="30"/>
      <c r="R9" s="30"/>
      <c r="S9" s="30" t="s">
        <v>468</v>
      </c>
      <c r="T9" s="29"/>
      <c r="U9" s="30"/>
      <c r="V9" s="30" t="s">
        <v>468</v>
      </c>
      <c r="W9" s="30"/>
      <c r="X9" s="30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1001001</v>
      </c>
      <c r="C10" s="10">
        <v>1</v>
      </c>
      <c r="D10" s="7">
        <v>3001001</v>
      </c>
      <c r="E10" s="7" t="s">
        <v>365</v>
      </c>
      <c r="F10" s="10">
        <v>1</v>
      </c>
      <c r="G10" s="10">
        <v>1</v>
      </c>
      <c r="H10" s="10">
        <v>5</v>
      </c>
      <c r="I10" s="10"/>
      <c r="J10" s="10"/>
      <c r="K10" s="10"/>
      <c r="L10" s="10">
        <v>1</v>
      </c>
      <c r="M10" s="10"/>
      <c r="N10" s="10"/>
      <c r="O10" s="37"/>
      <c r="P10" s="10"/>
      <c r="Q10" s="10"/>
      <c r="R10" s="37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9"/>
      <c r="B11" s="10">
        <v>1001002</v>
      </c>
      <c r="C11" s="10">
        <v>1</v>
      </c>
      <c r="D11" s="10">
        <v>3001002</v>
      </c>
      <c r="E11" s="10" t="s">
        <v>366</v>
      </c>
      <c r="F11" s="10">
        <v>1</v>
      </c>
      <c r="G11" s="10">
        <v>1</v>
      </c>
      <c r="H11" s="10">
        <v>50</v>
      </c>
      <c r="I11" s="10"/>
      <c r="J11" s="10"/>
      <c r="K11" s="10"/>
      <c r="L11" s="10">
        <v>2</v>
      </c>
      <c r="M11" s="10"/>
      <c r="N11" s="10"/>
      <c r="O11" s="37"/>
      <c r="P11" s="10"/>
      <c r="Q11" s="10"/>
      <c r="R11" s="37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1002001</v>
      </c>
      <c r="C12" s="10">
        <v>2</v>
      </c>
      <c r="D12" s="7">
        <v>3002001</v>
      </c>
      <c r="E12" s="7" t="s">
        <v>365</v>
      </c>
      <c r="F12" s="10">
        <v>1</v>
      </c>
      <c r="G12" s="10">
        <v>1</v>
      </c>
      <c r="H12" s="10">
        <v>5</v>
      </c>
      <c r="I12" s="10"/>
      <c r="J12" s="10"/>
      <c r="K12" s="10"/>
      <c r="L12" s="10">
        <v>1</v>
      </c>
      <c r="M12" s="10">
        <v>3</v>
      </c>
      <c r="N12" s="10"/>
      <c r="O12" s="37" t="s">
        <v>480</v>
      </c>
      <c r="P12" s="10">
        <v>4</v>
      </c>
      <c r="Q12" s="10"/>
      <c r="R12" s="37" t="s">
        <v>479</v>
      </c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1002002</v>
      </c>
      <c r="C13" s="10">
        <v>2</v>
      </c>
      <c r="D13" s="10">
        <v>3002002</v>
      </c>
      <c r="E13" s="10" t="s">
        <v>366</v>
      </c>
      <c r="F13" s="10">
        <v>1</v>
      </c>
      <c r="G13" s="10">
        <v>1</v>
      </c>
      <c r="H13" s="10">
        <v>50</v>
      </c>
      <c r="I13" s="10"/>
      <c r="J13" s="10"/>
      <c r="K13" s="10"/>
      <c r="L13" s="10">
        <v>2</v>
      </c>
      <c r="M13" s="10">
        <v>3</v>
      </c>
      <c r="N13" s="10"/>
      <c r="O13" s="37" t="s">
        <v>480</v>
      </c>
      <c r="P13" s="10">
        <v>4</v>
      </c>
      <c r="Q13" s="10"/>
      <c r="R13" s="37" t="s">
        <v>479</v>
      </c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37"/>
      <c r="P14" s="10"/>
      <c r="Q14" s="10"/>
      <c r="R14" s="37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37"/>
      <c r="P15" s="10"/>
      <c r="Q15" s="10"/>
      <c r="R15" s="37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37"/>
      <c r="P16" s="10"/>
      <c r="Q16" s="10"/>
      <c r="R16" s="37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37"/>
      <c r="P17" s="10"/>
      <c r="Q17" s="10"/>
      <c r="R17" s="37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37"/>
      <c r="P18" s="10"/>
      <c r="Q18" s="10"/>
      <c r="R18" s="37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37"/>
      <c r="P19" s="10"/>
      <c r="Q19" s="10"/>
      <c r="R19" s="37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37"/>
      <c r="P20" s="10"/>
      <c r="Q20" s="10"/>
      <c r="R20" s="37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37"/>
      <c r="P21" s="10"/>
      <c r="Q21" s="10"/>
      <c r="R21" s="37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37"/>
      <c r="P22" s="10"/>
      <c r="Q22" s="10"/>
      <c r="R22" s="37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37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37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37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37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37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37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37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37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37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37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37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37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37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37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37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37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37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37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37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E3C787D7-1CFB-BE47-9EC9-39D2E4F254B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3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L1000"/>
  <sheetViews>
    <sheetView workbookViewId="0">
      <selection activeCell="D14" sqref="D14"/>
    </sheetView>
  </sheetViews>
  <sheetFormatPr defaultColWidth="12.625" defaultRowHeight="15" customHeight="1"/>
  <cols>
    <col min="1" max="1" width="7.625" customWidth="1"/>
    <col min="2" max="2" width="17" customWidth="1"/>
    <col min="3" max="3" width="12.625" customWidth="1"/>
    <col min="4" max="4" width="20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162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158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 t="s">
        <v>34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155</v>
      </c>
      <c r="D8" s="7" t="s">
        <v>159</v>
      </c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156</v>
      </c>
      <c r="D10" s="10" t="s">
        <v>160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157</v>
      </c>
      <c r="D11" s="10" t="s">
        <v>161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3</v>
      </c>
      <c r="C12" s="10" t="s">
        <v>387</v>
      </c>
      <c r="D12" s="10" t="s">
        <v>389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 t="s">
        <v>388</v>
      </c>
      <c r="D13" s="10" t="s">
        <v>390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L1000"/>
  <sheetViews>
    <sheetView topLeftCell="A4" workbookViewId="0">
      <selection activeCell="C10" sqref="C10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251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155</v>
      </c>
      <c r="D8" s="7"/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391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L1001"/>
  <sheetViews>
    <sheetView workbookViewId="0">
      <selection activeCell="B3" sqref="B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293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254</v>
      </c>
      <c r="D4" s="5" t="s">
        <v>256</v>
      </c>
      <c r="E4" s="5" t="s">
        <v>258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 t="s">
        <v>141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255</v>
      </c>
      <c r="D8" s="8" t="s">
        <v>257</v>
      </c>
      <c r="E8" s="8" t="s">
        <v>259</v>
      </c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288</v>
      </c>
      <c r="B10" s="7">
        <v>1</v>
      </c>
      <c r="C10" s="8">
        <v>1</v>
      </c>
      <c r="D10" s="8">
        <v>0</v>
      </c>
      <c r="E10" s="8">
        <v>0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10</v>
      </c>
      <c r="E11" s="10">
        <f>SUM(D11)</f>
        <v>10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f>B11 + D11</f>
        <v>12</v>
      </c>
      <c r="E12" s="10">
        <f>E11+D12</f>
        <v>22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f>B12 + D12</f>
        <v>15</v>
      </c>
      <c r="E13" s="10">
        <f>E12+D13</f>
        <v>37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10">
        <f t="shared" ref="D14:D77" si="0">B13 + D13</f>
        <v>19</v>
      </c>
      <c r="E14" s="10">
        <f t="shared" ref="E14:E77" si="1">E13+D14</f>
        <v>56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f t="shared" si="0"/>
        <v>24</v>
      </c>
      <c r="E15" s="10">
        <f t="shared" si="1"/>
        <v>80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f t="shared" si="0"/>
        <v>30</v>
      </c>
      <c r="E16" s="10">
        <f t="shared" si="1"/>
        <v>110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10">
        <f t="shared" si="0"/>
        <v>37</v>
      </c>
      <c r="E17" s="10">
        <f t="shared" si="1"/>
        <v>147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f t="shared" si="0"/>
        <v>45</v>
      </c>
      <c r="E18" s="10">
        <f t="shared" si="1"/>
        <v>192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f t="shared" si="0"/>
        <v>54</v>
      </c>
      <c r="E19" s="10">
        <f t="shared" si="1"/>
        <v>246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f t="shared" si="0"/>
        <v>64</v>
      </c>
      <c r="E20" s="10">
        <f t="shared" si="1"/>
        <v>310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10">
        <f t="shared" si="0"/>
        <v>75</v>
      </c>
      <c r="E21" s="10">
        <f t="shared" si="1"/>
        <v>385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f t="shared" si="0"/>
        <v>87</v>
      </c>
      <c r="E22" s="10">
        <f t="shared" si="1"/>
        <v>472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f t="shared" si="0"/>
        <v>100</v>
      </c>
      <c r="E23" s="10">
        <f t="shared" si="1"/>
        <v>572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10">
        <f t="shared" si="0"/>
        <v>114</v>
      </c>
      <c r="E24" s="10">
        <f t="shared" si="1"/>
        <v>686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f t="shared" si="0"/>
        <v>129</v>
      </c>
      <c r="E25" s="10">
        <f t="shared" si="1"/>
        <v>815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f t="shared" si="0"/>
        <v>145</v>
      </c>
      <c r="E26" s="10">
        <f t="shared" si="1"/>
        <v>960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f t="shared" si="0"/>
        <v>162</v>
      </c>
      <c r="E27" s="10">
        <f t="shared" si="1"/>
        <v>1122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10">
        <f t="shared" si="0"/>
        <v>180</v>
      </c>
      <c r="E28" s="10">
        <f t="shared" si="1"/>
        <v>1302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f t="shared" si="0"/>
        <v>199</v>
      </c>
      <c r="E29" s="10">
        <f t="shared" si="1"/>
        <v>1501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f t="shared" si="0"/>
        <v>219</v>
      </c>
      <c r="E30" s="10">
        <f t="shared" si="1"/>
        <v>1720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10">
        <f t="shared" si="0"/>
        <v>240</v>
      </c>
      <c r="E31" s="10">
        <f t="shared" si="1"/>
        <v>1960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f t="shared" si="0"/>
        <v>262</v>
      </c>
      <c r="E32" s="10">
        <f t="shared" si="1"/>
        <v>2222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f t="shared" si="0"/>
        <v>285</v>
      </c>
      <c r="E33" s="10">
        <f t="shared" si="1"/>
        <v>2507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f t="shared" si="0"/>
        <v>309</v>
      </c>
      <c r="E34" s="10">
        <f t="shared" si="1"/>
        <v>2816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10">
        <f t="shared" si="0"/>
        <v>334</v>
      </c>
      <c r="E35" s="10">
        <f t="shared" si="1"/>
        <v>3150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f t="shared" si="0"/>
        <v>360</v>
      </c>
      <c r="E36" s="10">
        <f t="shared" si="1"/>
        <v>3510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f t="shared" si="0"/>
        <v>387</v>
      </c>
      <c r="E37" s="10">
        <f t="shared" si="1"/>
        <v>3897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10">
        <f t="shared" si="0"/>
        <v>415</v>
      </c>
      <c r="E38" s="10">
        <f t="shared" si="1"/>
        <v>4312</v>
      </c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f t="shared" si="0"/>
        <v>444</v>
      </c>
      <c r="E39" s="10">
        <f t="shared" si="1"/>
        <v>4756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f t="shared" si="0"/>
        <v>474</v>
      </c>
      <c r="E40" s="10">
        <f t="shared" si="1"/>
        <v>5230</v>
      </c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f t="shared" si="0"/>
        <v>505</v>
      </c>
      <c r="E41" s="10">
        <f t="shared" si="1"/>
        <v>5735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10">
        <f t="shared" si="0"/>
        <v>537</v>
      </c>
      <c r="E42" s="10">
        <f t="shared" si="1"/>
        <v>6272</v>
      </c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f t="shared" si="0"/>
        <v>570</v>
      </c>
      <c r="E43" s="10">
        <f t="shared" si="1"/>
        <v>6842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f t="shared" si="0"/>
        <v>604</v>
      </c>
      <c r="E44" s="10">
        <f t="shared" si="1"/>
        <v>7446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10">
        <f t="shared" si="0"/>
        <v>639</v>
      </c>
      <c r="E45" s="10">
        <f t="shared" si="1"/>
        <v>8085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f t="shared" si="0"/>
        <v>675</v>
      </c>
      <c r="E46" s="10">
        <f t="shared" si="1"/>
        <v>8760</v>
      </c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f t="shared" si="0"/>
        <v>712</v>
      </c>
      <c r="E47" s="10">
        <f t="shared" si="1"/>
        <v>9472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f t="shared" si="0"/>
        <v>750</v>
      </c>
      <c r="E48" s="10">
        <f t="shared" si="1"/>
        <v>10222</v>
      </c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10">
        <f t="shared" si="0"/>
        <v>789</v>
      </c>
      <c r="E49" s="10">
        <f t="shared" si="1"/>
        <v>11011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f t="shared" si="0"/>
        <v>829</v>
      </c>
      <c r="E50" s="10">
        <f t="shared" si="1"/>
        <v>11840</v>
      </c>
    </row>
    <row r="51" spans="1:38" ht="18.75" customHeight="1">
      <c r="B51" s="10">
        <v>42</v>
      </c>
      <c r="C51" s="10">
        <v>42</v>
      </c>
      <c r="D51" s="10">
        <f t="shared" si="0"/>
        <v>870</v>
      </c>
      <c r="E51" s="10">
        <f t="shared" si="1"/>
        <v>12710</v>
      </c>
    </row>
    <row r="52" spans="1:38" ht="18.75" customHeight="1">
      <c r="B52" s="7">
        <v>43</v>
      </c>
      <c r="C52" s="10">
        <v>43</v>
      </c>
      <c r="D52" s="10">
        <f t="shared" si="0"/>
        <v>912</v>
      </c>
      <c r="E52" s="10">
        <f t="shared" si="1"/>
        <v>13622</v>
      </c>
    </row>
    <row r="53" spans="1:38" ht="18.75" customHeight="1">
      <c r="B53" s="10">
        <v>44</v>
      </c>
      <c r="C53" s="10">
        <v>44</v>
      </c>
      <c r="D53" s="10">
        <f t="shared" si="0"/>
        <v>955</v>
      </c>
      <c r="E53" s="10">
        <f t="shared" si="1"/>
        <v>14577</v>
      </c>
    </row>
    <row r="54" spans="1:38" ht="18.75" customHeight="1">
      <c r="B54" s="7">
        <v>45</v>
      </c>
      <c r="C54" s="10">
        <v>45</v>
      </c>
      <c r="D54" s="10">
        <f t="shared" si="0"/>
        <v>999</v>
      </c>
      <c r="E54" s="10">
        <f t="shared" si="1"/>
        <v>15576</v>
      </c>
    </row>
    <row r="55" spans="1:38" ht="18.75" customHeight="1">
      <c r="B55" s="10">
        <v>46</v>
      </c>
      <c r="C55" s="10">
        <v>46</v>
      </c>
      <c r="D55" s="10">
        <f t="shared" si="0"/>
        <v>1044</v>
      </c>
      <c r="E55" s="10">
        <f t="shared" si="1"/>
        <v>16620</v>
      </c>
    </row>
    <row r="56" spans="1:38" ht="18.75" customHeight="1">
      <c r="B56" s="7">
        <v>47</v>
      </c>
      <c r="C56" s="10">
        <v>47</v>
      </c>
      <c r="D56" s="10">
        <f t="shared" si="0"/>
        <v>1090</v>
      </c>
      <c r="E56" s="10">
        <f t="shared" si="1"/>
        <v>17710</v>
      </c>
    </row>
    <row r="57" spans="1:38" ht="18.75" customHeight="1">
      <c r="B57" s="10">
        <v>48</v>
      </c>
      <c r="C57" s="10">
        <v>48</v>
      </c>
      <c r="D57" s="10">
        <f t="shared" si="0"/>
        <v>1137</v>
      </c>
      <c r="E57" s="10">
        <f t="shared" si="1"/>
        <v>18847</v>
      </c>
    </row>
    <row r="58" spans="1:38" ht="18.75" customHeight="1">
      <c r="B58" s="7">
        <v>49</v>
      </c>
      <c r="C58" s="10">
        <v>49</v>
      </c>
      <c r="D58" s="10">
        <f t="shared" si="0"/>
        <v>1185</v>
      </c>
      <c r="E58" s="10">
        <f t="shared" si="1"/>
        <v>20032</v>
      </c>
    </row>
    <row r="59" spans="1:38" ht="18.75" customHeight="1">
      <c r="B59" s="10">
        <v>50</v>
      </c>
      <c r="C59" s="10">
        <v>50</v>
      </c>
      <c r="D59" s="10">
        <f t="shared" si="0"/>
        <v>1234</v>
      </c>
      <c r="E59" s="10">
        <f t="shared" si="1"/>
        <v>21266</v>
      </c>
    </row>
    <row r="60" spans="1:38" ht="18.75" customHeight="1">
      <c r="B60" s="7">
        <v>51</v>
      </c>
      <c r="C60" s="10">
        <v>51</v>
      </c>
      <c r="D60" s="10">
        <f t="shared" si="0"/>
        <v>1284</v>
      </c>
      <c r="E60" s="10">
        <f t="shared" si="1"/>
        <v>22550</v>
      </c>
    </row>
    <row r="61" spans="1:38" ht="18.75" customHeight="1">
      <c r="B61" s="10">
        <v>52</v>
      </c>
      <c r="C61" s="10">
        <v>52</v>
      </c>
      <c r="D61" s="10">
        <f t="shared" si="0"/>
        <v>1335</v>
      </c>
      <c r="E61" s="10">
        <f t="shared" si="1"/>
        <v>23885</v>
      </c>
    </row>
    <row r="62" spans="1:38" ht="18.75" customHeight="1">
      <c r="B62" s="7">
        <v>53</v>
      </c>
      <c r="C62" s="10">
        <v>53</v>
      </c>
      <c r="D62" s="10">
        <f t="shared" si="0"/>
        <v>1387</v>
      </c>
      <c r="E62" s="10">
        <f t="shared" si="1"/>
        <v>25272</v>
      </c>
    </row>
    <row r="63" spans="1:38" ht="18.75" customHeight="1">
      <c r="B63" s="10">
        <v>54</v>
      </c>
      <c r="C63" s="10">
        <v>54</v>
      </c>
      <c r="D63" s="10">
        <f t="shared" si="0"/>
        <v>1440</v>
      </c>
      <c r="E63" s="10">
        <f t="shared" si="1"/>
        <v>26712</v>
      </c>
    </row>
    <row r="64" spans="1:38" ht="18.75" customHeight="1">
      <c r="B64" s="7">
        <v>55</v>
      </c>
      <c r="C64" s="10">
        <v>55</v>
      </c>
      <c r="D64" s="10">
        <f t="shared" si="0"/>
        <v>1494</v>
      </c>
      <c r="E64" s="10">
        <f t="shared" si="1"/>
        <v>28206</v>
      </c>
    </row>
    <row r="65" spans="2:5" ht="18.75" customHeight="1">
      <c r="B65" s="10">
        <v>56</v>
      </c>
      <c r="C65" s="10">
        <v>56</v>
      </c>
      <c r="D65" s="10">
        <f t="shared" si="0"/>
        <v>1549</v>
      </c>
      <c r="E65" s="10">
        <f t="shared" si="1"/>
        <v>29755</v>
      </c>
    </row>
    <row r="66" spans="2:5" ht="18.75" customHeight="1">
      <c r="B66" s="7">
        <v>57</v>
      </c>
      <c r="C66" s="10">
        <v>57</v>
      </c>
      <c r="D66" s="10">
        <f t="shared" si="0"/>
        <v>1605</v>
      </c>
      <c r="E66" s="10">
        <f t="shared" si="1"/>
        <v>31360</v>
      </c>
    </row>
    <row r="67" spans="2:5" ht="18.75" customHeight="1">
      <c r="B67" s="10">
        <v>58</v>
      </c>
      <c r="C67" s="10">
        <v>58</v>
      </c>
      <c r="D67" s="10">
        <f t="shared" si="0"/>
        <v>1662</v>
      </c>
      <c r="E67" s="10">
        <f t="shared" si="1"/>
        <v>33022</v>
      </c>
    </row>
    <row r="68" spans="2:5" ht="18.75" customHeight="1">
      <c r="B68" s="7">
        <v>59</v>
      </c>
      <c r="C68" s="10">
        <v>59</v>
      </c>
      <c r="D68" s="10">
        <f t="shared" si="0"/>
        <v>1720</v>
      </c>
      <c r="E68" s="10">
        <f t="shared" si="1"/>
        <v>34742</v>
      </c>
    </row>
    <row r="69" spans="2:5" ht="18.75" customHeight="1">
      <c r="B69" s="10">
        <v>60</v>
      </c>
      <c r="C69" s="10">
        <v>60</v>
      </c>
      <c r="D69" s="10">
        <f t="shared" si="0"/>
        <v>1779</v>
      </c>
      <c r="E69" s="10">
        <f t="shared" si="1"/>
        <v>36521</v>
      </c>
    </row>
    <row r="70" spans="2:5" ht="18.75" customHeight="1">
      <c r="B70" s="7">
        <v>61</v>
      </c>
      <c r="C70" s="10">
        <v>61</v>
      </c>
      <c r="D70" s="10">
        <f t="shared" si="0"/>
        <v>1839</v>
      </c>
      <c r="E70" s="10">
        <f t="shared" si="1"/>
        <v>38360</v>
      </c>
    </row>
    <row r="71" spans="2:5" ht="18.75" customHeight="1">
      <c r="B71" s="10">
        <v>62</v>
      </c>
      <c r="C71" s="10">
        <v>62</v>
      </c>
      <c r="D71" s="10">
        <f t="shared" si="0"/>
        <v>1900</v>
      </c>
      <c r="E71" s="10">
        <f t="shared" si="1"/>
        <v>40260</v>
      </c>
    </row>
    <row r="72" spans="2:5" ht="18.75" customHeight="1">
      <c r="B72" s="7">
        <v>63</v>
      </c>
      <c r="C72" s="10">
        <v>63</v>
      </c>
      <c r="D72" s="10">
        <f t="shared" si="0"/>
        <v>1962</v>
      </c>
      <c r="E72" s="10">
        <f t="shared" si="1"/>
        <v>42222</v>
      </c>
    </row>
    <row r="73" spans="2:5" ht="18.75" customHeight="1">
      <c r="B73" s="10">
        <v>64</v>
      </c>
      <c r="C73" s="10">
        <v>64</v>
      </c>
      <c r="D73" s="10">
        <f t="shared" si="0"/>
        <v>2025</v>
      </c>
      <c r="E73" s="10">
        <f t="shared" si="1"/>
        <v>44247</v>
      </c>
    </row>
    <row r="74" spans="2:5" ht="18.75" customHeight="1">
      <c r="B74" s="7">
        <v>65</v>
      </c>
      <c r="C74" s="10">
        <v>65</v>
      </c>
      <c r="D74" s="10">
        <f t="shared" si="0"/>
        <v>2089</v>
      </c>
      <c r="E74" s="10">
        <f t="shared" si="1"/>
        <v>46336</v>
      </c>
    </row>
    <row r="75" spans="2:5" ht="18.75" customHeight="1">
      <c r="B75" s="10">
        <v>66</v>
      </c>
      <c r="C75" s="10">
        <v>66</v>
      </c>
      <c r="D75" s="10">
        <f t="shared" si="0"/>
        <v>2154</v>
      </c>
      <c r="E75" s="10">
        <f t="shared" si="1"/>
        <v>48490</v>
      </c>
    </row>
    <row r="76" spans="2:5" ht="18.75" customHeight="1">
      <c r="B76" s="7">
        <v>67</v>
      </c>
      <c r="C76" s="10">
        <v>67</v>
      </c>
      <c r="D76" s="10">
        <f t="shared" si="0"/>
        <v>2220</v>
      </c>
      <c r="E76" s="10">
        <f t="shared" si="1"/>
        <v>50710</v>
      </c>
    </row>
    <row r="77" spans="2:5" ht="18.75" customHeight="1">
      <c r="B77" s="10">
        <v>68</v>
      </c>
      <c r="C77" s="10">
        <v>68</v>
      </c>
      <c r="D77" s="10">
        <f t="shared" si="0"/>
        <v>2287</v>
      </c>
      <c r="E77" s="10">
        <f t="shared" si="1"/>
        <v>52997</v>
      </c>
    </row>
    <row r="78" spans="2:5" ht="18.75" customHeight="1">
      <c r="B78" s="7">
        <v>69</v>
      </c>
      <c r="C78" s="10">
        <v>69</v>
      </c>
      <c r="D78" s="10">
        <f t="shared" ref="D78:D109" si="2">B77 + D77</f>
        <v>2355</v>
      </c>
      <c r="E78" s="10">
        <f t="shared" ref="E78:E109" si="3">E77+D78</f>
        <v>55352</v>
      </c>
    </row>
    <row r="79" spans="2:5" ht="18.75" customHeight="1">
      <c r="B79" s="10">
        <v>70</v>
      </c>
      <c r="C79" s="10">
        <v>70</v>
      </c>
      <c r="D79" s="10">
        <f t="shared" si="2"/>
        <v>2424</v>
      </c>
      <c r="E79" s="10">
        <f t="shared" si="3"/>
        <v>57776</v>
      </c>
    </row>
    <row r="80" spans="2:5" ht="18.75" customHeight="1">
      <c r="B80" s="7">
        <v>71</v>
      </c>
      <c r="C80" s="10">
        <v>71</v>
      </c>
      <c r="D80" s="10">
        <f t="shared" si="2"/>
        <v>2494</v>
      </c>
      <c r="E80" s="10">
        <f t="shared" si="3"/>
        <v>60270</v>
      </c>
    </row>
    <row r="81" spans="2:5" ht="18.75" customHeight="1">
      <c r="B81" s="10">
        <v>72</v>
      </c>
      <c r="C81" s="10">
        <v>72</v>
      </c>
      <c r="D81" s="10">
        <f t="shared" si="2"/>
        <v>2565</v>
      </c>
      <c r="E81" s="10">
        <f t="shared" si="3"/>
        <v>62835</v>
      </c>
    </row>
    <row r="82" spans="2:5" ht="18.75" customHeight="1">
      <c r="B82" s="7">
        <v>73</v>
      </c>
      <c r="C82" s="10">
        <v>73</v>
      </c>
      <c r="D82" s="10">
        <f t="shared" si="2"/>
        <v>2637</v>
      </c>
      <c r="E82" s="10">
        <f t="shared" si="3"/>
        <v>65472</v>
      </c>
    </row>
    <row r="83" spans="2:5" ht="18.75" customHeight="1">
      <c r="B83" s="10">
        <v>74</v>
      </c>
      <c r="C83" s="10">
        <v>74</v>
      </c>
      <c r="D83" s="10">
        <f t="shared" si="2"/>
        <v>2710</v>
      </c>
      <c r="E83" s="10">
        <f t="shared" si="3"/>
        <v>68182</v>
      </c>
    </row>
    <row r="84" spans="2:5" ht="18.75" customHeight="1">
      <c r="B84" s="7">
        <v>75</v>
      </c>
      <c r="C84" s="10">
        <v>75</v>
      </c>
      <c r="D84" s="10">
        <f t="shared" si="2"/>
        <v>2784</v>
      </c>
      <c r="E84" s="10">
        <f t="shared" si="3"/>
        <v>70966</v>
      </c>
    </row>
    <row r="85" spans="2:5" ht="18.75" customHeight="1">
      <c r="B85" s="10">
        <v>76</v>
      </c>
      <c r="C85" s="10">
        <v>76</v>
      </c>
      <c r="D85" s="10">
        <f t="shared" si="2"/>
        <v>2859</v>
      </c>
      <c r="E85" s="10">
        <f t="shared" si="3"/>
        <v>73825</v>
      </c>
    </row>
    <row r="86" spans="2:5" ht="18.75" customHeight="1">
      <c r="B86" s="7">
        <v>77</v>
      </c>
      <c r="C86" s="10">
        <v>77</v>
      </c>
      <c r="D86" s="10">
        <f t="shared" si="2"/>
        <v>2935</v>
      </c>
      <c r="E86" s="10">
        <f t="shared" si="3"/>
        <v>76760</v>
      </c>
    </row>
    <row r="87" spans="2:5" ht="18.75" customHeight="1">
      <c r="B87" s="10">
        <v>78</v>
      </c>
      <c r="C87" s="10">
        <v>78</v>
      </c>
      <c r="D87" s="10">
        <f t="shared" si="2"/>
        <v>3012</v>
      </c>
      <c r="E87" s="10">
        <f t="shared" si="3"/>
        <v>79772</v>
      </c>
    </row>
    <row r="88" spans="2:5" ht="18.75" customHeight="1">
      <c r="B88" s="7">
        <v>79</v>
      </c>
      <c r="C88" s="10">
        <v>79</v>
      </c>
      <c r="D88" s="10">
        <f t="shared" si="2"/>
        <v>3090</v>
      </c>
      <c r="E88" s="10">
        <f t="shared" si="3"/>
        <v>82862</v>
      </c>
    </row>
    <row r="89" spans="2:5" ht="18.75" customHeight="1">
      <c r="B89" s="10">
        <v>80</v>
      </c>
      <c r="C89" s="10">
        <v>80</v>
      </c>
      <c r="D89" s="10">
        <f t="shared" si="2"/>
        <v>3169</v>
      </c>
      <c r="E89" s="10">
        <f t="shared" si="3"/>
        <v>86031</v>
      </c>
    </row>
    <row r="90" spans="2:5" ht="18.75" customHeight="1">
      <c r="B90" s="7">
        <v>81</v>
      </c>
      <c r="C90" s="10">
        <v>81</v>
      </c>
      <c r="D90" s="10">
        <f t="shared" si="2"/>
        <v>3249</v>
      </c>
      <c r="E90" s="10">
        <f t="shared" si="3"/>
        <v>89280</v>
      </c>
    </row>
    <row r="91" spans="2:5" ht="18.75" customHeight="1">
      <c r="B91" s="10">
        <v>82</v>
      </c>
      <c r="C91" s="10">
        <v>82</v>
      </c>
      <c r="D91" s="10">
        <f t="shared" si="2"/>
        <v>3330</v>
      </c>
      <c r="E91" s="10">
        <f t="shared" si="3"/>
        <v>92610</v>
      </c>
    </row>
    <row r="92" spans="2:5" ht="18.75" customHeight="1">
      <c r="B92" s="7">
        <v>83</v>
      </c>
      <c r="C92" s="10">
        <v>83</v>
      </c>
      <c r="D92" s="10">
        <f t="shared" si="2"/>
        <v>3412</v>
      </c>
      <c r="E92" s="10">
        <f t="shared" si="3"/>
        <v>96022</v>
      </c>
    </row>
    <row r="93" spans="2:5" ht="18.75" customHeight="1">
      <c r="B93" s="10">
        <v>84</v>
      </c>
      <c r="C93" s="10">
        <v>84</v>
      </c>
      <c r="D93" s="10">
        <f t="shared" si="2"/>
        <v>3495</v>
      </c>
      <c r="E93" s="10">
        <f t="shared" si="3"/>
        <v>99517</v>
      </c>
    </row>
    <row r="94" spans="2:5" ht="18.75" customHeight="1">
      <c r="B94" s="7">
        <v>85</v>
      </c>
      <c r="C94" s="10">
        <v>85</v>
      </c>
      <c r="D94" s="10">
        <f t="shared" si="2"/>
        <v>3579</v>
      </c>
      <c r="E94" s="10">
        <f t="shared" si="3"/>
        <v>103096</v>
      </c>
    </row>
    <row r="95" spans="2:5" ht="18.75" customHeight="1">
      <c r="B95" s="10">
        <v>86</v>
      </c>
      <c r="C95" s="10">
        <v>86</v>
      </c>
      <c r="D95" s="10">
        <f t="shared" si="2"/>
        <v>3664</v>
      </c>
      <c r="E95" s="10">
        <f t="shared" si="3"/>
        <v>106760</v>
      </c>
    </row>
    <row r="96" spans="2:5" ht="18.75" customHeight="1">
      <c r="B96" s="7">
        <v>87</v>
      </c>
      <c r="C96" s="10">
        <v>87</v>
      </c>
      <c r="D96" s="10">
        <f t="shared" si="2"/>
        <v>3750</v>
      </c>
      <c r="E96" s="10">
        <f t="shared" si="3"/>
        <v>110510</v>
      </c>
    </row>
    <row r="97" spans="2:5" ht="18.75" customHeight="1">
      <c r="B97" s="10">
        <v>88</v>
      </c>
      <c r="C97" s="10">
        <v>88</v>
      </c>
      <c r="D97" s="10">
        <f t="shared" si="2"/>
        <v>3837</v>
      </c>
      <c r="E97" s="10">
        <f t="shared" si="3"/>
        <v>114347</v>
      </c>
    </row>
    <row r="98" spans="2:5" ht="18.75" customHeight="1">
      <c r="B98" s="7">
        <v>89</v>
      </c>
      <c r="C98" s="10">
        <v>89</v>
      </c>
      <c r="D98" s="10">
        <f t="shared" si="2"/>
        <v>3925</v>
      </c>
      <c r="E98" s="10">
        <f t="shared" si="3"/>
        <v>118272</v>
      </c>
    </row>
    <row r="99" spans="2:5" ht="18.75" customHeight="1">
      <c r="B99" s="10">
        <v>90</v>
      </c>
      <c r="C99" s="10">
        <v>90</v>
      </c>
      <c r="D99" s="10">
        <f t="shared" si="2"/>
        <v>4014</v>
      </c>
      <c r="E99" s="10">
        <f t="shared" si="3"/>
        <v>122286</v>
      </c>
    </row>
    <row r="100" spans="2:5" ht="18.75" customHeight="1">
      <c r="B100" s="7">
        <v>91</v>
      </c>
      <c r="C100" s="10">
        <v>91</v>
      </c>
      <c r="D100" s="10">
        <f t="shared" si="2"/>
        <v>4104</v>
      </c>
      <c r="E100" s="10">
        <f t="shared" si="3"/>
        <v>126390</v>
      </c>
    </row>
    <row r="101" spans="2:5" ht="18.75" customHeight="1">
      <c r="B101" s="10">
        <v>92</v>
      </c>
      <c r="C101" s="10">
        <v>92</v>
      </c>
      <c r="D101" s="10">
        <f t="shared" si="2"/>
        <v>4195</v>
      </c>
      <c r="E101" s="10">
        <f t="shared" si="3"/>
        <v>130585</v>
      </c>
    </row>
    <row r="102" spans="2:5" ht="18.75" customHeight="1">
      <c r="B102" s="7">
        <v>93</v>
      </c>
      <c r="C102" s="10">
        <v>93</v>
      </c>
      <c r="D102" s="10">
        <f t="shared" si="2"/>
        <v>4287</v>
      </c>
      <c r="E102" s="10">
        <f t="shared" si="3"/>
        <v>134872</v>
      </c>
    </row>
    <row r="103" spans="2:5" ht="18.75" customHeight="1">
      <c r="B103" s="10">
        <v>94</v>
      </c>
      <c r="C103" s="10">
        <v>94</v>
      </c>
      <c r="D103" s="10">
        <f t="shared" si="2"/>
        <v>4380</v>
      </c>
      <c r="E103" s="10">
        <f t="shared" si="3"/>
        <v>139252</v>
      </c>
    </row>
    <row r="104" spans="2:5" ht="18.75" customHeight="1">
      <c r="B104" s="7">
        <v>95</v>
      </c>
      <c r="C104" s="10">
        <v>95</v>
      </c>
      <c r="D104" s="10">
        <f t="shared" si="2"/>
        <v>4474</v>
      </c>
      <c r="E104" s="10">
        <f t="shared" si="3"/>
        <v>143726</v>
      </c>
    </row>
    <row r="105" spans="2:5" ht="18.75" customHeight="1">
      <c r="B105" s="10">
        <v>96</v>
      </c>
      <c r="C105" s="10">
        <v>96</v>
      </c>
      <c r="D105" s="10">
        <f t="shared" si="2"/>
        <v>4569</v>
      </c>
      <c r="E105" s="10">
        <f t="shared" si="3"/>
        <v>148295</v>
      </c>
    </row>
    <row r="106" spans="2:5" ht="18.75" customHeight="1">
      <c r="B106" s="7">
        <v>97</v>
      </c>
      <c r="C106" s="10">
        <v>97</v>
      </c>
      <c r="D106" s="10">
        <f t="shared" si="2"/>
        <v>4665</v>
      </c>
      <c r="E106" s="10">
        <f t="shared" si="3"/>
        <v>152960</v>
      </c>
    </row>
    <row r="107" spans="2:5" ht="18.75" customHeight="1">
      <c r="B107" s="10">
        <v>98</v>
      </c>
      <c r="C107" s="10">
        <v>98</v>
      </c>
      <c r="D107" s="10">
        <f t="shared" si="2"/>
        <v>4762</v>
      </c>
      <c r="E107" s="10">
        <f t="shared" si="3"/>
        <v>157722</v>
      </c>
    </row>
    <row r="108" spans="2:5" ht="18.75" customHeight="1">
      <c r="B108" s="7">
        <v>99</v>
      </c>
      <c r="C108" s="10">
        <v>99</v>
      </c>
      <c r="D108" s="10">
        <f t="shared" si="2"/>
        <v>4860</v>
      </c>
      <c r="E108" s="10">
        <f t="shared" si="3"/>
        <v>162582</v>
      </c>
    </row>
    <row r="109" spans="2:5" ht="18.75" customHeight="1">
      <c r="B109" s="10">
        <v>100</v>
      </c>
      <c r="C109" s="10">
        <v>100</v>
      </c>
      <c r="D109" s="10">
        <f t="shared" si="2"/>
        <v>4959</v>
      </c>
      <c r="E109" s="10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L1001"/>
  <sheetViews>
    <sheetView workbookViewId="0">
      <selection activeCell="B3" sqref="B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294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289</v>
      </c>
      <c r="D4" s="5" t="s">
        <v>256</v>
      </c>
      <c r="E4" s="5" t="s">
        <v>258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 t="s">
        <v>141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290</v>
      </c>
      <c r="D8" s="8" t="s">
        <v>292</v>
      </c>
      <c r="E8" s="8" t="s">
        <v>291</v>
      </c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288</v>
      </c>
      <c r="B10" s="7">
        <v>1</v>
      </c>
      <c r="C10" s="8">
        <v>1</v>
      </c>
      <c r="D10" s="8">
        <v>0</v>
      </c>
      <c r="E10" s="8">
        <v>0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10</v>
      </c>
      <c r="E11" s="10">
        <f>SUM(D11)</f>
        <v>10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f>B11 + D11</f>
        <v>12</v>
      </c>
      <c r="E12" s="10">
        <f>E11+D12</f>
        <v>22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f>B12 + D12</f>
        <v>15</v>
      </c>
      <c r="E13" s="10">
        <f>E12+D13</f>
        <v>37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10">
        <f t="shared" ref="D14:D77" si="0">B13 + D13</f>
        <v>19</v>
      </c>
      <c r="E14" s="10">
        <f t="shared" ref="E14:E77" si="1">E13+D14</f>
        <v>56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f t="shared" si="0"/>
        <v>24</v>
      </c>
      <c r="E15" s="10">
        <f t="shared" si="1"/>
        <v>80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f t="shared" si="0"/>
        <v>30</v>
      </c>
      <c r="E16" s="10">
        <f t="shared" si="1"/>
        <v>110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10">
        <f t="shared" si="0"/>
        <v>37</v>
      </c>
      <c r="E17" s="10">
        <f t="shared" si="1"/>
        <v>147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f t="shared" si="0"/>
        <v>45</v>
      </c>
      <c r="E18" s="10">
        <f t="shared" si="1"/>
        <v>192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f t="shared" si="0"/>
        <v>54</v>
      </c>
      <c r="E19" s="10">
        <f t="shared" si="1"/>
        <v>246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f t="shared" si="0"/>
        <v>64</v>
      </c>
      <c r="E20" s="10">
        <f t="shared" si="1"/>
        <v>310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10">
        <f t="shared" si="0"/>
        <v>75</v>
      </c>
      <c r="E21" s="10">
        <f t="shared" si="1"/>
        <v>385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f t="shared" si="0"/>
        <v>87</v>
      </c>
      <c r="E22" s="10">
        <f t="shared" si="1"/>
        <v>472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f t="shared" si="0"/>
        <v>100</v>
      </c>
      <c r="E23" s="10">
        <f t="shared" si="1"/>
        <v>572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10">
        <f t="shared" si="0"/>
        <v>114</v>
      </c>
      <c r="E24" s="10">
        <f t="shared" si="1"/>
        <v>686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f t="shared" si="0"/>
        <v>129</v>
      </c>
      <c r="E25" s="10">
        <f t="shared" si="1"/>
        <v>815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f t="shared" si="0"/>
        <v>145</v>
      </c>
      <c r="E26" s="10">
        <f t="shared" si="1"/>
        <v>960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f t="shared" si="0"/>
        <v>162</v>
      </c>
      <c r="E27" s="10">
        <f t="shared" si="1"/>
        <v>1122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10">
        <f t="shared" si="0"/>
        <v>180</v>
      </c>
      <c r="E28" s="10">
        <f t="shared" si="1"/>
        <v>1302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f t="shared" si="0"/>
        <v>199</v>
      </c>
      <c r="E29" s="10">
        <f t="shared" si="1"/>
        <v>1501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f t="shared" si="0"/>
        <v>219</v>
      </c>
      <c r="E30" s="10">
        <f t="shared" si="1"/>
        <v>1720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10">
        <f t="shared" si="0"/>
        <v>240</v>
      </c>
      <c r="E31" s="10">
        <f t="shared" si="1"/>
        <v>1960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f t="shared" si="0"/>
        <v>262</v>
      </c>
      <c r="E32" s="10">
        <f t="shared" si="1"/>
        <v>2222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f t="shared" si="0"/>
        <v>285</v>
      </c>
      <c r="E33" s="10">
        <f t="shared" si="1"/>
        <v>2507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f t="shared" si="0"/>
        <v>309</v>
      </c>
      <c r="E34" s="10">
        <f t="shared" si="1"/>
        <v>2816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10">
        <f t="shared" si="0"/>
        <v>334</v>
      </c>
      <c r="E35" s="10">
        <f t="shared" si="1"/>
        <v>3150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f t="shared" si="0"/>
        <v>360</v>
      </c>
      <c r="E36" s="10">
        <f t="shared" si="1"/>
        <v>3510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f t="shared" si="0"/>
        <v>387</v>
      </c>
      <c r="E37" s="10">
        <f t="shared" si="1"/>
        <v>3897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10">
        <f t="shared" si="0"/>
        <v>415</v>
      </c>
      <c r="E38" s="10">
        <f t="shared" si="1"/>
        <v>4312</v>
      </c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f t="shared" si="0"/>
        <v>444</v>
      </c>
      <c r="E39" s="10">
        <f t="shared" si="1"/>
        <v>4756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f t="shared" si="0"/>
        <v>474</v>
      </c>
      <c r="E40" s="10">
        <f t="shared" si="1"/>
        <v>5230</v>
      </c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f t="shared" si="0"/>
        <v>505</v>
      </c>
      <c r="E41" s="10">
        <f t="shared" si="1"/>
        <v>5735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10">
        <f t="shared" si="0"/>
        <v>537</v>
      </c>
      <c r="E42" s="10">
        <f t="shared" si="1"/>
        <v>6272</v>
      </c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f t="shared" si="0"/>
        <v>570</v>
      </c>
      <c r="E43" s="10">
        <f t="shared" si="1"/>
        <v>6842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f t="shared" si="0"/>
        <v>604</v>
      </c>
      <c r="E44" s="10">
        <f t="shared" si="1"/>
        <v>7446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10">
        <f t="shared" si="0"/>
        <v>639</v>
      </c>
      <c r="E45" s="10">
        <f t="shared" si="1"/>
        <v>8085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f t="shared" si="0"/>
        <v>675</v>
      </c>
      <c r="E46" s="10">
        <f t="shared" si="1"/>
        <v>8760</v>
      </c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f t="shared" si="0"/>
        <v>712</v>
      </c>
      <c r="E47" s="10">
        <f t="shared" si="1"/>
        <v>9472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f t="shared" si="0"/>
        <v>750</v>
      </c>
      <c r="E48" s="10">
        <f t="shared" si="1"/>
        <v>10222</v>
      </c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10">
        <f t="shared" si="0"/>
        <v>789</v>
      </c>
      <c r="E49" s="10">
        <f t="shared" si="1"/>
        <v>11011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f t="shared" si="0"/>
        <v>829</v>
      </c>
      <c r="E50" s="10">
        <f t="shared" si="1"/>
        <v>11840</v>
      </c>
    </row>
    <row r="51" spans="1:38" ht="18.75" customHeight="1">
      <c r="B51" s="10">
        <v>42</v>
      </c>
      <c r="C51" s="10">
        <v>42</v>
      </c>
      <c r="D51" s="10">
        <f t="shared" si="0"/>
        <v>870</v>
      </c>
      <c r="E51" s="10">
        <f t="shared" si="1"/>
        <v>12710</v>
      </c>
    </row>
    <row r="52" spans="1:38" ht="18.75" customHeight="1">
      <c r="B52" s="7">
        <v>43</v>
      </c>
      <c r="C52" s="10">
        <v>43</v>
      </c>
      <c r="D52" s="10">
        <f t="shared" si="0"/>
        <v>912</v>
      </c>
      <c r="E52" s="10">
        <f t="shared" si="1"/>
        <v>13622</v>
      </c>
    </row>
    <row r="53" spans="1:38" ht="18.75" customHeight="1">
      <c r="B53" s="10">
        <v>44</v>
      </c>
      <c r="C53" s="10">
        <v>44</v>
      </c>
      <c r="D53" s="10">
        <f t="shared" si="0"/>
        <v>955</v>
      </c>
      <c r="E53" s="10">
        <f t="shared" si="1"/>
        <v>14577</v>
      </c>
    </row>
    <row r="54" spans="1:38" ht="18.75" customHeight="1">
      <c r="B54" s="7">
        <v>45</v>
      </c>
      <c r="C54" s="10">
        <v>45</v>
      </c>
      <c r="D54" s="10">
        <f t="shared" si="0"/>
        <v>999</v>
      </c>
      <c r="E54" s="10">
        <f t="shared" si="1"/>
        <v>15576</v>
      </c>
    </row>
    <row r="55" spans="1:38" ht="18.75" customHeight="1">
      <c r="B55" s="10">
        <v>46</v>
      </c>
      <c r="C55" s="10">
        <v>46</v>
      </c>
      <c r="D55" s="10">
        <f t="shared" si="0"/>
        <v>1044</v>
      </c>
      <c r="E55" s="10">
        <f t="shared" si="1"/>
        <v>16620</v>
      </c>
    </row>
    <row r="56" spans="1:38" ht="18.75" customHeight="1">
      <c r="B56" s="7">
        <v>47</v>
      </c>
      <c r="C56" s="10">
        <v>47</v>
      </c>
      <c r="D56" s="10">
        <f t="shared" si="0"/>
        <v>1090</v>
      </c>
      <c r="E56" s="10">
        <f t="shared" si="1"/>
        <v>17710</v>
      </c>
    </row>
    <row r="57" spans="1:38" ht="18.75" customHeight="1">
      <c r="B57" s="10">
        <v>48</v>
      </c>
      <c r="C57" s="10">
        <v>48</v>
      </c>
      <c r="D57" s="10">
        <f t="shared" si="0"/>
        <v>1137</v>
      </c>
      <c r="E57" s="10">
        <f t="shared" si="1"/>
        <v>18847</v>
      </c>
    </row>
    <row r="58" spans="1:38" ht="18.75" customHeight="1">
      <c r="B58" s="7">
        <v>49</v>
      </c>
      <c r="C58" s="10">
        <v>49</v>
      </c>
      <c r="D58" s="10">
        <f t="shared" si="0"/>
        <v>1185</v>
      </c>
      <c r="E58" s="10">
        <f t="shared" si="1"/>
        <v>20032</v>
      </c>
    </row>
    <row r="59" spans="1:38" ht="18.75" customHeight="1">
      <c r="B59" s="10">
        <v>50</v>
      </c>
      <c r="C59" s="10">
        <v>50</v>
      </c>
      <c r="D59" s="10">
        <f t="shared" si="0"/>
        <v>1234</v>
      </c>
      <c r="E59" s="10">
        <f t="shared" si="1"/>
        <v>21266</v>
      </c>
    </row>
    <row r="60" spans="1:38" ht="18.75" customHeight="1">
      <c r="B60" s="7">
        <v>51</v>
      </c>
      <c r="C60" s="10">
        <v>51</v>
      </c>
      <c r="D60" s="10">
        <f t="shared" si="0"/>
        <v>1284</v>
      </c>
      <c r="E60" s="10">
        <f t="shared" si="1"/>
        <v>22550</v>
      </c>
    </row>
    <row r="61" spans="1:38" ht="18.75" customHeight="1">
      <c r="B61" s="10">
        <v>52</v>
      </c>
      <c r="C61" s="10">
        <v>52</v>
      </c>
      <c r="D61" s="10">
        <f t="shared" si="0"/>
        <v>1335</v>
      </c>
      <c r="E61" s="10">
        <f t="shared" si="1"/>
        <v>23885</v>
      </c>
    </row>
    <row r="62" spans="1:38" ht="18.75" customHeight="1">
      <c r="B62" s="7">
        <v>53</v>
      </c>
      <c r="C62" s="10">
        <v>53</v>
      </c>
      <c r="D62" s="10">
        <f t="shared" si="0"/>
        <v>1387</v>
      </c>
      <c r="E62" s="10">
        <f t="shared" si="1"/>
        <v>25272</v>
      </c>
    </row>
    <row r="63" spans="1:38" ht="18.75" customHeight="1">
      <c r="B63" s="10">
        <v>54</v>
      </c>
      <c r="C63" s="10">
        <v>54</v>
      </c>
      <c r="D63" s="10">
        <f t="shared" si="0"/>
        <v>1440</v>
      </c>
      <c r="E63" s="10">
        <f t="shared" si="1"/>
        <v>26712</v>
      </c>
    </row>
    <row r="64" spans="1:38" ht="18.75" customHeight="1">
      <c r="B64" s="7">
        <v>55</v>
      </c>
      <c r="C64" s="10">
        <v>55</v>
      </c>
      <c r="D64" s="10">
        <f t="shared" si="0"/>
        <v>1494</v>
      </c>
      <c r="E64" s="10">
        <f t="shared" si="1"/>
        <v>28206</v>
      </c>
    </row>
    <row r="65" spans="2:5" ht="18.75" customHeight="1">
      <c r="B65" s="10">
        <v>56</v>
      </c>
      <c r="C65" s="10">
        <v>56</v>
      </c>
      <c r="D65" s="10">
        <f t="shared" si="0"/>
        <v>1549</v>
      </c>
      <c r="E65" s="10">
        <f t="shared" si="1"/>
        <v>29755</v>
      </c>
    </row>
    <row r="66" spans="2:5" ht="18.75" customHeight="1">
      <c r="B66" s="7">
        <v>57</v>
      </c>
      <c r="C66" s="10">
        <v>57</v>
      </c>
      <c r="D66" s="10">
        <f t="shared" si="0"/>
        <v>1605</v>
      </c>
      <c r="E66" s="10">
        <f t="shared" si="1"/>
        <v>31360</v>
      </c>
    </row>
    <row r="67" spans="2:5" ht="18.75" customHeight="1">
      <c r="B67" s="10">
        <v>58</v>
      </c>
      <c r="C67" s="10">
        <v>58</v>
      </c>
      <c r="D67" s="10">
        <f t="shared" si="0"/>
        <v>1662</v>
      </c>
      <c r="E67" s="10">
        <f t="shared" si="1"/>
        <v>33022</v>
      </c>
    </row>
    <row r="68" spans="2:5" ht="18.75" customHeight="1">
      <c r="B68" s="7">
        <v>59</v>
      </c>
      <c r="C68" s="10">
        <v>59</v>
      </c>
      <c r="D68" s="10">
        <f t="shared" si="0"/>
        <v>1720</v>
      </c>
      <c r="E68" s="10">
        <f t="shared" si="1"/>
        <v>34742</v>
      </c>
    </row>
    <row r="69" spans="2:5" ht="18.75" customHeight="1">
      <c r="B69" s="10">
        <v>60</v>
      </c>
      <c r="C69" s="10">
        <v>60</v>
      </c>
      <c r="D69" s="10">
        <f t="shared" si="0"/>
        <v>1779</v>
      </c>
      <c r="E69" s="10">
        <f t="shared" si="1"/>
        <v>36521</v>
      </c>
    </row>
    <row r="70" spans="2:5" ht="18.75" customHeight="1">
      <c r="B70" s="7">
        <v>61</v>
      </c>
      <c r="C70" s="10">
        <v>61</v>
      </c>
      <c r="D70" s="10">
        <f t="shared" si="0"/>
        <v>1839</v>
      </c>
      <c r="E70" s="10">
        <f t="shared" si="1"/>
        <v>38360</v>
      </c>
    </row>
    <row r="71" spans="2:5" ht="18.75" customHeight="1">
      <c r="B71" s="10">
        <v>62</v>
      </c>
      <c r="C71" s="10">
        <v>62</v>
      </c>
      <c r="D71" s="10">
        <f t="shared" si="0"/>
        <v>1900</v>
      </c>
      <c r="E71" s="10">
        <f t="shared" si="1"/>
        <v>40260</v>
      </c>
    </row>
    <row r="72" spans="2:5" ht="18.75" customHeight="1">
      <c r="B72" s="7">
        <v>63</v>
      </c>
      <c r="C72" s="10">
        <v>63</v>
      </c>
      <c r="D72" s="10">
        <f t="shared" si="0"/>
        <v>1962</v>
      </c>
      <c r="E72" s="10">
        <f t="shared" si="1"/>
        <v>42222</v>
      </c>
    </row>
    <row r="73" spans="2:5" ht="18.75" customHeight="1">
      <c r="B73" s="10">
        <v>64</v>
      </c>
      <c r="C73" s="10">
        <v>64</v>
      </c>
      <c r="D73" s="10">
        <f t="shared" si="0"/>
        <v>2025</v>
      </c>
      <c r="E73" s="10">
        <f t="shared" si="1"/>
        <v>44247</v>
      </c>
    </row>
    <row r="74" spans="2:5" ht="18.75" customHeight="1">
      <c r="B74" s="7">
        <v>65</v>
      </c>
      <c r="C74" s="10">
        <v>65</v>
      </c>
      <c r="D74" s="10">
        <f t="shared" si="0"/>
        <v>2089</v>
      </c>
      <c r="E74" s="10">
        <f t="shared" si="1"/>
        <v>46336</v>
      </c>
    </row>
    <row r="75" spans="2:5" ht="18.75" customHeight="1">
      <c r="B75" s="10">
        <v>66</v>
      </c>
      <c r="C75" s="10">
        <v>66</v>
      </c>
      <c r="D75" s="10">
        <f t="shared" si="0"/>
        <v>2154</v>
      </c>
      <c r="E75" s="10">
        <f t="shared" si="1"/>
        <v>48490</v>
      </c>
    </row>
    <row r="76" spans="2:5" ht="18.75" customHeight="1">
      <c r="B76" s="7">
        <v>67</v>
      </c>
      <c r="C76" s="10">
        <v>67</v>
      </c>
      <c r="D76" s="10">
        <f t="shared" si="0"/>
        <v>2220</v>
      </c>
      <c r="E76" s="10">
        <f t="shared" si="1"/>
        <v>50710</v>
      </c>
    </row>
    <row r="77" spans="2:5" ht="18.75" customHeight="1">
      <c r="B77" s="10">
        <v>68</v>
      </c>
      <c r="C77" s="10">
        <v>68</v>
      </c>
      <c r="D77" s="10">
        <f t="shared" si="0"/>
        <v>2287</v>
      </c>
      <c r="E77" s="10">
        <f t="shared" si="1"/>
        <v>52997</v>
      </c>
    </row>
    <row r="78" spans="2:5" ht="18.75" customHeight="1">
      <c r="B78" s="7">
        <v>69</v>
      </c>
      <c r="C78" s="10">
        <v>69</v>
      </c>
      <c r="D78" s="10">
        <f t="shared" ref="D78:D109" si="2">B77 + D77</f>
        <v>2355</v>
      </c>
      <c r="E78" s="10">
        <f t="shared" ref="E78:E109" si="3">E77+D78</f>
        <v>55352</v>
      </c>
    </row>
    <row r="79" spans="2:5" ht="18.75" customHeight="1">
      <c r="B79" s="10">
        <v>70</v>
      </c>
      <c r="C79" s="10">
        <v>70</v>
      </c>
      <c r="D79" s="10">
        <f t="shared" si="2"/>
        <v>2424</v>
      </c>
      <c r="E79" s="10">
        <f t="shared" si="3"/>
        <v>57776</v>
      </c>
    </row>
    <row r="80" spans="2:5" ht="18.75" customHeight="1">
      <c r="B80" s="7">
        <v>71</v>
      </c>
      <c r="C80" s="10">
        <v>71</v>
      </c>
      <c r="D80" s="10">
        <f t="shared" si="2"/>
        <v>2494</v>
      </c>
      <c r="E80" s="10">
        <f t="shared" si="3"/>
        <v>60270</v>
      </c>
    </row>
    <row r="81" spans="2:5" ht="18.75" customHeight="1">
      <c r="B81" s="10">
        <v>72</v>
      </c>
      <c r="C81" s="10">
        <v>72</v>
      </c>
      <c r="D81" s="10">
        <f t="shared" si="2"/>
        <v>2565</v>
      </c>
      <c r="E81" s="10">
        <f t="shared" si="3"/>
        <v>62835</v>
      </c>
    </row>
    <row r="82" spans="2:5" ht="18.75" customHeight="1">
      <c r="B82" s="7">
        <v>73</v>
      </c>
      <c r="C82" s="10">
        <v>73</v>
      </c>
      <c r="D82" s="10">
        <f t="shared" si="2"/>
        <v>2637</v>
      </c>
      <c r="E82" s="10">
        <f t="shared" si="3"/>
        <v>65472</v>
      </c>
    </row>
    <row r="83" spans="2:5" ht="18.75" customHeight="1">
      <c r="B83" s="10">
        <v>74</v>
      </c>
      <c r="C83" s="10">
        <v>74</v>
      </c>
      <c r="D83" s="10">
        <f t="shared" si="2"/>
        <v>2710</v>
      </c>
      <c r="E83" s="10">
        <f t="shared" si="3"/>
        <v>68182</v>
      </c>
    </row>
    <row r="84" spans="2:5" ht="18.75" customHeight="1">
      <c r="B84" s="7">
        <v>75</v>
      </c>
      <c r="C84" s="10">
        <v>75</v>
      </c>
      <c r="D84" s="10">
        <f t="shared" si="2"/>
        <v>2784</v>
      </c>
      <c r="E84" s="10">
        <f t="shared" si="3"/>
        <v>70966</v>
      </c>
    </row>
    <row r="85" spans="2:5" ht="18.75" customHeight="1">
      <c r="B85" s="10">
        <v>76</v>
      </c>
      <c r="C85" s="10">
        <v>76</v>
      </c>
      <c r="D85" s="10">
        <f t="shared" si="2"/>
        <v>2859</v>
      </c>
      <c r="E85" s="10">
        <f t="shared" si="3"/>
        <v>73825</v>
      </c>
    </row>
    <row r="86" spans="2:5" ht="18.75" customHeight="1">
      <c r="B86" s="7">
        <v>77</v>
      </c>
      <c r="C86" s="10">
        <v>77</v>
      </c>
      <c r="D86" s="10">
        <f t="shared" si="2"/>
        <v>2935</v>
      </c>
      <c r="E86" s="10">
        <f t="shared" si="3"/>
        <v>76760</v>
      </c>
    </row>
    <row r="87" spans="2:5" ht="18.75" customHeight="1">
      <c r="B87" s="10">
        <v>78</v>
      </c>
      <c r="C87" s="10">
        <v>78</v>
      </c>
      <c r="D87" s="10">
        <f t="shared" si="2"/>
        <v>3012</v>
      </c>
      <c r="E87" s="10">
        <f t="shared" si="3"/>
        <v>79772</v>
      </c>
    </row>
    <row r="88" spans="2:5" ht="18.75" customHeight="1">
      <c r="B88" s="7">
        <v>79</v>
      </c>
      <c r="C88" s="10">
        <v>79</v>
      </c>
      <c r="D88" s="10">
        <f t="shared" si="2"/>
        <v>3090</v>
      </c>
      <c r="E88" s="10">
        <f t="shared" si="3"/>
        <v>82862</v>
      </c>
    </row>
    <row r="89" spans="2:5" ht="18.75" customHeight="1">
      <c r="B89" s="10">
        <v>80</v>
      </c>
      <c r="C89" s="10">
        <v>80</v>
      </c>
      <c r="D89" s="10">
        <f t="shared" si="2"/>
        <v>3169</v>
      </c>
      <c r="E89" s="10">
        <f t="shared" si="3"/>
        <v>86031</v>
      </c>
    </row>
    <row r="90" spans="2:5" ht="18.75" customHeight="1">
      <c r="B90" s="7">
        <v>81</v>
      </c>
      <c r="C90" s="10">
        <v>81</v>
      </c>
      <c r="D90" s="10">
        <f t="shared" si="2"/>
        <v>3249</v>
      </c>
      <c r="E90" s="10">
        <f t="shared" si="3"/>
        <v>89280</v>
      </c>
    </row>
    <row r="91" spans="2:5" ht="18.75" customHeight="1">
      <c r="B91" s="10">
        <v>82</v>
      </c>
      <c r="C91" s="10">
        <v>82</v>
      </c>
      <c r="D91" s="10">
        <f t="shared" si="2"/>
        <v>3330</v>
      </c>
      <c r="E91" s="10">
        <f t="shared" si="3"/>
        <v>92610</v>
      </c>
    </row>
    <row r="92" spans="2:5" ht="18.75" customHeight="1">
      <c r="B92" s="7">
        <v>83</v>
      </c>
      <c r="C92" s="10">
        <v>83</v>
      </c>
      <c r="D92" s="10">
        <f t="shared" si="2"/>
        <v>3412</v>
      </c>
      <c r="E92" s="10">
        <f t="shared" si="3"/>
        <v>96022</v>
      </c>
    </row>
    <row r="93" spans="2:5" ht="18.75" customHeight="1">
      <c r="B93" s="10">
        <v>84</v>
      </c>
      <c r="C93" s="10">
        <v>84</v>
      </c>
      <c r="D93" s="10">
        <f t="shared" si="2"/>
        <v>3495</v>
      </c>
      <c r="E93" s="10">
        <f t="shared" si="3"/>
        <v>99517</v>
      </c>
    </row>
    <row r="94" spans="2:5" ht="18.75" customHeight="1">
      <c r="B94" s="7">
        <v>85</v>
      </c>
      <c r="C94" s="10">
        <v>85</v>
      </c>
      <c r="D94" s="10">
        <f t="shared" si="2"/>
        <v>3579</v>
      </c>
      <c r="E94" s="10">
        <f t="shared" si="3"/>
        <v>103096</v>
      </c>
    </row>
    <row r="95" spans="2:5" ht="18.75" customHeight="1">
      <c r="B95" s="10">
        <v>86</v>
      </c>
      <c r="C95" s="10">
        <v>86</v>
      </c>
      <c r="D95" s="10">
        <f t="shared" si="2"/>
        <v>3664</v>
      </c>
      <c r="E95" s="10">
        <f t="shared" si="3"/>
        <v>106760</v>
      </c>
    </row>
    <row r="96" spans="2:5" ht="18.75" customHeight="1">
      <c r="B96" s="7">
        <v>87</v>
      </c>
      <c r="C96" s="10">
        <v>87</v>
      </c>
      <c r="D96" s="10">
        <f t="shared" si="2"/>
        <v>3750</v>
      </c>
      <c r="E96" s="10">
        <f t="shared" si="3"/>
        <v>110510</v>
      </c>
    </row>
    <row r="97" spans="2:5" ht="18.75" customHeight="1">
      <c r="B97" s="10">
        <v>88</v>
      </c>
      <c r="C97" s="10">
        <v>88</v>
      </c>
      <c r="D97" s="10">
        <f t="shared" si="2"/>
        <v>3837</v>
      </c>
      <c r="E97" s="10">
        <f t="shared" si="3"/>
        <v>114347</v>
      </c>
    </row>
    <row r="98" spans="2:5" ht="18.75" customHeight="1">
      <c r="B98" s="7">
        <v>89</v>
      </c>
      <c r="C98" s="10">
        <v>89</v>
      </c>
      <c r="D98" s="10">
        <f t="shared" si="2"/>
        <v>3925</v>
      </c>
      <c r="E98" s="10">
        <f t="shared" si="3"/>
        <v>118272</v>
      </c>
    </row>
    <row r="99" spans="2:5" ht="18.75" customHeight="1">
      <c r="B99" s="10">
        <v>90</v>
      </c>
      <c r="C99" s="10">
        <v>90</v>
      </c>
      <c r="D99" s="10">
        <f t="shared" si="2"/>
        <v>4014</v>
      </c>
      <c r="E99" s="10">
        <f t="shared" si="3"/>
        <v>122286</v>
      </c>
    </row>
    <row r="100" spans="2:5" ht="18.75" customHeight="1">
      <c r="B100" s="7">
        <v>91</v>
      </c>
      <c r="C100" s="10">
        <v>91</v>
      </c>
      <c r="D100" s="10">
        <f t="shared" si="2"/>
        <v>4104</v>
      </c>
      <c r="E100" s="10">
        <f t="shared" si="3"/>
        <v>126390</v>
      </c>
    </row>
    <row r="101" spans="2:5" ht="18.75" customHeight="1">
      <c r="B101" s="10">
        <v>92</v>
      </c>
      <c r="C101" s="10">
        <v>92</v>
      </c>
      <c r="D101" s="10">
        <f t="shared" si="2"/>
        <v>4195</v>
      </c>
      <c r="E101" s="10">
        <f t="shared" si="3"/>
        <v>130585</v>
      </c>
    </row>
    <row r="102" spans="2:5" ht="18.75" customHeight="1">
      <c r="B102" s="7">
        <v>93</v>
      </c>
      <c r="C102" s="10">
        <v>93</v>
      </c>
      <c r="D102" s="10">
        <f t="shared" si="2"/>
        <v>4287</v>
      </c>
      <c r="E102" s="10">
        <f t="shared" si="3"/>
        <v>134872</v>
      </c>
    </row>
    <row r="103" spans="2:5" ht="18.75" customHeight="1">
      <c r="B103" s="10">
        <v>94</v>
      </c>
      <c r="C103" s="10">
        <v>94</v>
      </c>
      <c r="D103" s="10">
        <f t="shared" si="2"/>
        <v>4380</v>
      </c>
      <c r="E103" s="10">
        <f t="shared" si="3"/>
        <v>139252</v>
      </c>
    </row>
    <row r="104" spans="2:5" ht="18.75" customHeight="1">
      <c r="B104" s="7">
        <v>95</v>
      </c>
      <c r="C104" s="10">
        <v>95</v>
      </c>
      <c r="D104" s="10">
        <f t="shared" si="2"/>
        <v>4474</v>
      </c>
      <c r="E104" s="10">
        <f t="shared" si="3"/>
        <v>143726</v>
      </c>
    </row>
    <row r="105" spans="2:5" ht="18.75" customHeight="1">
      <c r="B105" s="10">
        <v>96</v>
      </c>
      <c r="C105" s="10">
        <v>96</v>
      </c>
      <c r="D105" s="10">
        <f t="shared" si="2"/>
        <v>4569</v>
      </c>
      <c r="E105" s="10">
        <f t="shared" si="3"/>
        <v>148295</v>
      </c>
    </row>
    <row r="106" spans="2:5" ht="18.75" customHeight="1">
      <c r="B106" s="7">
        <v>97</v>
      </c>
      <c r="C106" s="10">
        <v>97</v>
      </c>
      <c r="D106" s="10">
        <f t="shared" si="2"/>
        <v>4665</v>
      </c>
      <c r="E106" s="10">
        <f t="shared" si="3"/>
        <v>152960</v>
      </c>
    </row>
    <row r="107" spans="2:5" ht="18.75" customHeight="1">
      <c r="B107" s="10">
        <v>98</v>
      </c>
      <c r="C107" s="10">
        <v>98</v>
      </c>
      <c r="D107" s="10">
        <f t="shared" si="2"/>
        <v>4762</v>
      </c>
      <c r="E107" s="10">
        <f t="shared" si="3"/>
        <v>157722</v>
      </c>
    </row>
    <row r="108" spans="2:5" ht="18.75" customHeight="1">
      <c r="B108" s="7">
        <v>99</v>
      </c>
      <c r="C108" s="10">
        <v>99</v>
      </c>
      <c r="D108" s="10">
        <f t="shared" si="2"/>
        <v>4860</v>
      </c>
      <c r="E108" s="10">
        <f t="shared" si="3"/>
        <v>162582</v>
      </c>
    </row>
    <row r="109" spans="2:5" ht="18.75" customHeight="1">
      <c r="B109" s="10">
        <v>100</v>
      </c>
      <c r="C109" s="10">
        <v>100</v>
      </c>
      <c r="D109" s="10">
        <f t="shared" si="2"/>
        <v>4959</v>
      </c>
      <c r="E109" s="10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L1001"/>
  <sheetViews>
    <sheetView topLeftCell="A13" workbookViewId="0">
      <selection activeCell="K13" sqref="K1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295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289</v>
      </c>
      <c r="D4" s="5" t="s">
        <v>296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290</v>
      </c>
      <c r="D8" s="8" t="s">
        <v>297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288</v>
      </c>
      <c r="B10" s="7">
        <v>1</v>
      </c>
      <c r="C10" s="8">
        <v>1</v>
      </c>
      <c r="D10" s="8">
        <v>10</v>
      </c>
      <c r="E10" s="8"/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12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v>14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v>16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8">
        <v>18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v>20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v>22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8">
        <v>24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v>26</v>
      </c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v>28</v>
      </c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v>30</v>
      </c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8">
        <v>32</v>
      </c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v>34</v>
      </c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v>36</v>
      </c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8">
        <v>38</v>
      </c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v>40</v>
      </c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v>42</v>
      </c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v>44</v>
      </c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8">
        <v>46</v>
      </c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v>48</v>
      </c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v>50</v>
      </c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8">
        <v>52</v>
      </c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v>54</v>
      </c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v>56</v>
      </c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v>58</v>
      </c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8">
        <v>60</v>
      </c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v>62</v>
      </c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v>64</v>
      </c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8">
        <v>66</v>
      </c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v>68</v>
      </c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v>70</v>
      </c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v>72</v>
      </c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8">
        <v>74</v>
      </c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v>76</v>
      </c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v>78</v>
      </c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8">
        <v>80</v>
      </c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v>82</v>
      </c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v>84</v>
      </c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v>86</v>
      </c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8">
        <v>88</v>
      </c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v>90</v>
      </c>
      <c r="E50" s="10"/>
    </row>
    <row r="51" spans="1:38" ht="18.75" customHeight="1">
      <c r="B51" s="10">
        <v>42</v>
      </c>
      <c r="C51" s="10">
        <v>42</v>
      </c>
      <c r="D51" s="10">
        <v>92</v>
      </c>
      <c r="E51" s="10"/>
    </row>
    <row r="52" spans="1:38" ht="18.75" customHeight="1">
      <c r="B52" s="7">
        <v>43</v>
      </c>
      <c r="C52" s="10">
        <v>43</v>
      </c>
      <c r="D52" s="8">
        <v>94</v>
      </c>
      <c r="E52" s="10"/>
    </row>
    <row r="53" spans="1:38" ht="18.75" customHeight="1">
      <c r="B53" s="10">
        <v>44</v>
      </c>
      <c r="C53" s="10">
        <v>44</v>
      </c>
      <c r="D53" s="10">
        <v>96</v>
      </c>
      <c r="E53" s="10"/>
    </row>
    <row r="54" spans="1:38" ht="18.75" customHeight="1">
      <c r="B54" s="7">
        <v>45</v>
      </c>
      <c r="C54" s="10">
        <v>45</v>
      </c>
      <c r="D54" s="10">
        <v>98</v>
      </c>
      <c r="E54" s="10"/>
    </row>
    <row r="55" spans="1:38" ht="18.75" customHeight="1">
      <c r="B55" s="10">
        <v>46</v>
      </c>
      <c r="C55" s="10">
        <v>46</v>
      </c>
      <c r="D55" s="10">
        <v>100</v>
      </c>
      <c r="E55" s="10"/>
    </row>
    <row r="56" spans="1:38" ht="18.75" customHeight="1">
      <c r="B56" s="7">
        <v>47</v>
      </c>
      <c r="C56" s="10">
        <v>47</v>
      </c>
      <c r="D56" s="8">
        <v>102</v>
      </c>
      <c r="E56" s="10"/>
    </row>
    <row r="57" spans="1:38" ht="18.75" customHeight="1">
      <c r="B57" s="10">
        <v>48</v>
      </c>
      <c r="C57" s="10">
        <v>48</v>
      </c>
      <c r="D57" s="10">
        <v>104</v>
      </c>
      <c r="E57" s="10"/>
    </row>
    <row r="58" spans="1:38" ht="18.75" customHeight="1">
      <c r="B58" s="7">
        <v>49</v>
      </c>
      <c r="C58" s="10">
        <v>49</v>
      </c>
      <c r="D58" s="10">
        <v>106</v>
      </c>
      <c r="E58" s="10"/>
    </row>
    <row r="59" spans="1:38" ht="18.75" customHeight="1">
      <c r="B59" s="10">
        <v>50</v>
      </c>
      <c r="C59" s="10">
        <v>50</v>
      </c>
      <c r="D59" s="8">
        <v>108</v>
      </c>
      <c r="E59" s="10"/>
    </row>
    <row r="60" spans="1:38" ht="18.75" customHeight="1">
      <c r="B60" s="7">
        <v>51</v>
      </c>
      <c r="C60" s="10">
        <v>51</v>
      </c>
      <c r="D60" s="10">
        <v>110</v>
      </c>
      <c r="E60" s="10"/>
    </row>
    <row r="61" spans="1:38" ht="18.75" customHeight="1">
      <c r="B61" s="10">
        <v>52</v>
      </c>
      <c r="C61" s="10">
        <v>52</v>
      </c>
      <c r="D61" s="10">
        <v>112</v>
      </c>
      <c r="E61" s="10"/>
    </row>
    <row r="62" spans="1:38" ht="18.75" customHeight="1">
      <c r="B62" s="7">
        <v>53</v>
      </c>
      <c r="C62" s="10">
        <v>53</v>
      </c>
      <c r="D62" s="10">
        <v>114</v>
      </c>
      <c r="E62" s="10"/>
    </row>
    <row r="63" spans="1:38" ht="18.75" customHeight="1">
      <c r="B63" s="10">
        <v>54</v>
      </c>
      <c r="C63" s="10">
        <v>54</v>
      </c>
      <c r="D63" s="8">
        <v>116</v>
      </c>
      <c r="E63" s="10"/>
    </row>
    <row r="64" spans="1:38" ht="18.75" customHeight="1">
      <c r="B64" s="7">
        <v>55</v>
      </c>
      <c r="C64" s="10">
        <v>55</v>
      </c>
      <c r="D64" s="10">
        <v>118</v>
      </c>
      <c r="E64" s="10"/>
    </row>
    <row r="65" spans="2:5" ht="18.75" customHeight="1">
      <c r="B65" s="10">
        <v>56</v>
      </c>
      <c r="C65" s="10">
        <v>56</v>
      </c>
      <c r="D65" s="10">
        <v>120</v>
      </c>
      <c r="E65" s="10"/>
    </row>
    <row r="66" spans="2:5" ht="18.75" customHeight="1">
      <c r="B66" s="7">
        <v>57</v>
      </c>
      <c r="C66" s="10">
        <v>57</v>
      </c>
      <c r="D66" s="8">
        <v>122</v>
      </c>
      <c r="E66" s="10"/>
    </row>
    <row r="67" spans="2:5" ht="18.75" customHeight="1">
      <c r="B67" s="10">
        <v>58</v>
      </c>
      <c r="C67" s="10">
        <v>58</v>
      </c>
      <c r="D67" s="10">
        <v>124</v>
      </c>
      <c r="E67" s="10"/>
    </row>
    <row r="68" spans="2:5" ht="18.75" customHeight="1">
      <c r="B68" s="7">
        <v>59</v>
      </c>
      <c r="C68" s="10">
        <v>59</v>
      </c>
      <c r="D68" s="10">
        <v>126</v>
      </c>
      <c r="E68" s="10"/>
    </row>
    <row r="69" spans="2:5" ht="18.75" customHeight="1">
      <c r="B69" s="10">
        <v>60</v>
      </c>
      <c r="C69" s="10">
        <v>60</v>
      </c>
      <c r="D69" s="10">
        <v>128</v>
      </c>
      <c r="E69" s="10"/>
    </row>
    <row r="70" spans="2:5" ht="18.75" customHeight="1">
      <c r="B70" s="7">
        <v>61</v>
      </c>
      <c r="C70" s="10">
        <v>61</v>
      </c>
      <c r="D70" s="8">
        <v>130</v>
      </c>
      <c r="E70" s="10"/>
    </row>
    <row r="71" spans="2:5" ht="18.75" customHeight="1">
      <c r="B71" s="10">
        <v>62</v>
      </c>
      <c r="C71" s="10">
        <v>62</v>
      </c>
      <c r="D71" s="10">
        <v>132</v>
      </c>
      <c r="E71" s="10"/>
    </row>
    <row r="72" spans="2:5" ht="18.75" customHeight="1">
      <c r="B72" s="7">
        <v>63</v>
      </c>
      <c r="C72" s="10">
        <v>63</v>
      </c>
      <c r="D72" s="10">
        <v>134</v>
      </c>
      <c r="E72" s="10"/>
    </row>
    <row r="73" spans="2:5" ht="18.75" customHeight="1">
      <c r="B73" s="10">
        <v>64</v>
      </c>
      <c r="C73" s="10">
        <v>64</v>
      </c>
      <c r="D73" s="8">
        <v>136</v>
      </c>
      <c r="E73" s="10"/>
    </row>
    <row r="74" spans="2:5" ht="18.75" customHeight="1">
      <c r="B74" s="7">
        <v>65</v>
      </c>
      <c r="C74" s="10">
        <v>65</v>
      </c>
      <c r="D74" s="10">
        <v>138</v>
      </c>
      <c r="E74" s="10"/>
    </row>
    <row r="75" spans="2:5" ht="18.75" customHeight="1">
      <c r="B75" s="10">
        <v>66</v>
      </c>
      <c r="C75" s="10">
        <v>66</v>
      </c>
      <c r="D75" s="10">
        <v>140</v>
      </c>
      <c r="E75" s="10"/>
    </row>
    <row r="76" spans="2:5" ht="18.75" customHeight="1">
      <c r="B76" s="7">
        <v>67</v>
      </c>
      <c r="C76" s="10">
        <v>67</v>
      </c>
      <c r="D76" s="10">
        <v>142</v>
      </c>
      <c r="E76" s="10"/>
    </row>
    <row r="77" spans="2:5" ht="18.75" customHeight="1">
      <c r="B77" s="10">
        <v>68</v>
      </c>
      <c r="C77" s="10">
        <v>68</v>
      </c>
      <c r="D77" s="8">
        <v>144</v>
      </c>
      <c r="E77" s="10"/>
    </row>
    <row r="78" spans="2:5" ht="18.75" customHeight="1">
      <c r="B78" s="7">
        <v>69</v>
      </c>
      <c r="C78" s="10">
        <v>69</v>
      </c>
      <c r="D78" s="10">
        <v>146</v>
      </c>
      <c r="E78" s="10"/>
    </row>
    <row r="79" spans="2:5" ht="18.75" customHeight="1">
      <c r="B79" s="10">
        <v>70</v>
      </c>
      <c r="C79" s="10">
        <v>70</v>
      </c>
      <c r="D79" s="10">
        <v>148</v>
      </c>
      <c r="E79" s="10"/>
    </row>
    <row r="80" spans="2:5" ht="18.75" customHeight="1">
      <c r="B80" s="7">
        <v>71</v>
      </c>
      <c r="C80" s="10">
        <v>71</v>
      </c>
      <c r="D80" s="8">
        <v>150</v>
      </c>
      <c r="E80" s="10"/>
    </row>
    <row r="81" spans="2:5" ht="18.75" customHeight="1">
      <c r="B81" s="10">
        <v>72</v>
      </c>
      <c r="C81" s="10">
        <v>72</v>
      </c>
      <c r="D81" s="10">
        <v>152</v>
      </c>
      <c r="E81" s="10"/>
    </row>
    <row r="82" spans="2:5" ht="18.75" customHeight="1">
      <c r="B82" s="7">
        <v>73</v>
      </c>
      <c r="C82" s="10">
        <v>73</v>
      </c>
      <c r="D82" s="10">
        <v>154</v>
      </c>
      <c r="E82" s="10"/>
    </row>
    <row r="83" spans="2:5" ht="18.75" customHeight="1">
      <c r="B83" s="10">
        <v>74</v>
      </c>
      <c r="C83" s="10">
        <v>74</v>
      </c>
      <c r="D83" s="10">
        <v>156</v>
      </c>
      <c r="E83" s="10"/>
    </row>
    <row r="84" spans="2:5" ht="18.75" customHeight="1">
      <c r="B84" s="7">
        <v>75</v>
      </c>
      <c r="C84" s="10">
        <v>75</v>
      </c>
      <c r="D84" s="8">
        <v>158</v>
      </c>
      <c r="E84" s="10"/>
    </row>
    <row r="85" spans="2:5" ht="18.75" customHeight="1">
      <c r="B85" s="10">
        <v>76</v>
      </c>
      <c r="C85" s="10">
        <v>76</v>
      </c>
      <c r="D85" s="10">
        <v>160</v>
      </c>
      <c r="E85" s="10"/>
    </row>
    <row r="86" spans="2:5" ht="18.75" customHeight="1">
      <c r="B86" s="7">
        <v>77</v>
      </c>
      <c r="C86" s="10">
        <v>77</v>
      </c>
      <c r="D86" s="10">
        <v>162</v>
      </c>
      <c r="E86" s="10"/>
    </row>
    <row r="87" spans="2:5" ht="18.75" customHeight="1">
      <c r="B87" s="10">
        <v>78</v>
      </c>
      <c r="C87" s="10">
        <v>78</v>
      </c>
      <c r="D87" s="8">
        <v>164</v>
      </c>
      <c r="E87" s="10"/>
    </row>
    <row r="88" spans="2:5" ht="18.75" customHeight="1">
      <c r="B88" s="7">
        <v>79</v>
      </c>
      <c r="C88" s="10">
        <v>79</v>
      </c>
      <c r="D88" s="10">
        <v>166</v>
      </c>
      <c r="E88" s="10"/>
    </row>
    <row r="89" spans="2:5" ht="18.75" customHeight="1">
      <c r="B89" s="10">
        <v>80</v>
      </c>
      <c r="C89" s="10">
        <v>80</v>
      </c>
      <c r="D89" s="10">
        <v>168</v>
      </c>
      <c r="E89" s="10"/>
    </row>
    <row r="90" spans="2:5" ht="18.75" customHeight="1">
      <c r="B90" s="7">
        <v>81</v>
      </c>
      <c r="C90" s="10">
        <v>81</v>
      </c>
      <c r="D90" s="10">
        <v>170</v>
      </c>
      <c r="E90" s="10"/>
    </row>
    <row r="91" spans="2:5" ht="18.75" customHeight="1">
      <c r="B91" s="10">
        <v>82</v>
      </c>
      <c r="C91" s="10">
        <v>82</v>
      </c>
      <c r="D91" s="8">
        <v>172</v>
      </c>
      <c r="E91" s="10"/>
    </row>
    <row r="92" spans="2:5" ht="18.75" customHeight="1">
      <c r="B92" s="7">
        <v>83</v>
      </c>
      <c r="C92" s="10">
        <v>83</v>
      </c>
      <c r="D92" s="10">
        <v>174</v>
      </c>
      <c r="E92" s="10"/>
    </row>
    <row r="93" spans="2:5" ht="18.75" customHeight="1">
      <c r="B93" s="10">
        <v>84</v>
      </c>
      <c r="C93" s="10">
        <v>84</v>
      </c>
      <c r="D93" s="10">
        <v>176</v>
      </c>
      <c r="E93" s="10"/>
    </row>
    <row r="94" spans="2:5" ht="18.75" customHeight="1">
      <c r="B94" s="7">
        <v>85</v>
      </c>
      <c r="C94" s="10">
        <v>85</v>
      </c>
      <c r="D94" s="8">
        <v>178</v>
      </c>
      <c r="E94" s="10"/>
    </row>
    <row r="95" spans="2:5" ht="18.75" customHeight="1">
      <c r="B95" s="10">
        <v>86</v>
      </c>
      <c r="C95" s="10">
        <v>86</v>
      </c>
      <c r="D95" s="10">
        <v>180</v>
      </c>
      <c r="E95" s="10"/>
    </row>
    <row r="96" spans="2:5" ht="18.75" customHeight="1">
      <c r="B96" s="7">
        <v>87</v>
      </c>
      <c r="C96" s="10">
        <v>87</v>
      </c>
      <c r="D96" s="10">
        <v>182</v>
      </c>
      <c r="E96" s="10"/>
    </row>
    <row r="97" spans="2:5" ht="18.75" customHeight="1">
      <c r="B97" s="10">
        <v>88</v>
      </c>
      <c r="C97" s="10">
        <v>88</v>
      </c>
      <c r="D97" s="10">
        <v>184</v>
      </c>
      <c r="E97" s="10"/>
    </row>
    <row r="98" spans="2:5" ht="18.75" customHeight="1">
      <c r="B98" s="7">
        <v>89</v>
      </c>
      <c r="C98" s="10">
        <v>89</v>
      </c>
      <c r="D98" s="8">
        <v>186</v>
      </c>
      <c r="E98" s="10"/>
    </row>
    <row r="99" spans="2:5" ht="18.75" customHeight="1">
      <c r="B99" s="10">
        <v>90</v>
      </c>
      <c r="C99" s="10">
        <v>90</v>
      </c>
      <c r="D99" s="10">
        <v>188</v>
      </c>
      <c r="E99" s="10"/>
    </row>
    <row r="100" spans="2:5" ht="18.75" customHeight="1">
      <c r="B100" s="7">
        <v>91</v>
      </c>
      <c r="C100" s="10">
        <v>91</v>
      </c>
      <c r="D100" s="10">
        <v>190</v>
      </c>
      <c r="E100" s="10"/>
    </row>
    <row r="101" spans="2:5" ht="18.75" customHeight="1">
      <c r="B101" s="10">
        <v>92</v>
      </c>
      <c r="C101" s="10">
        <v>92</v>
      </c>
      <c r="D101" s="8">
        <v>192</v>
      </c>
      <c r="E101" s="10"/>
    </row>
    <row r="102" spans="2:5" ht="18.75" customHeight="1">
      <c r="B102" s="7">
        <v>93</v>
      </c>
      <c r="C102" s="10">
        <v>93</v>
      </c>
      <c r="D102" s="10">
        <v>194</v>
      </c>
      <c r="E102" s="10"/>
    </row>
    <row r="103" spans="2:5" ht="18.75" customHeight="1">
      <c r="B103" s="10">
        <v>94</v>
      </c>
      <c r="C103" s="10">
        <v>94</v>
      </c>
      <c r="D103" s="10">
        <v>196</v>
      </c>
      <c r="E103" s="10"/>
    </row>
    <row r="104" spans="2:5" ht="18.75" customHeight="1">
      <c r="B104" s="7">
        <v>95</v>
      </c>
      <c r="C104" s="10">
        <v>95</v>
      </c>
      <c r="D104" s="10">
        <v>198</v>
      </c>
      <c r="E104" s="10"/>
    </row>
    <row r="105" spans="2:5" ht="18.75" customHeight="1">
      <c r="B105" s="10">
        <v>96</v>
      </c>
      <c r="C105" s="10">
        <v>96</v>
      </c>
      <c r="D105" s="8">
        <v>200</v>
      </c>
      <c r="E105" s="10"/>
    </row>
    <row r="106" spans="2:5" ht="18.75" customHeight="1">
      <c r="B106" s="7">
        <v>97</v>
      </c>
      <c r="C106" s="10">
        <v>97</v>
      </c>
      <c r="D106" s="10">
        <v>202</v>
      </c>
      <c r="E106" s="10"/>
    </row>
    <row r="107" spans="2:5" ht="18.75" customHeight="1">
      <c r="B107" s="10">
        <v>98</v>
      </c>
      <c r="C107" s="10">
        <v>98</v>
      </c>
      <c r="D107" s="10">
        <v>204</v>
      </c>
      <c r="E107" s="10"/>
    </row>
    <row r="108" spans="2:5" ht="18.75" customHeight="1">
      <c r="B108" s="7">
        <v>99</v>
      </c>
      <c r="C108" s="10">
        <v>99</v>
      </c>
      <c r="D108" s="8">
        <v>206</v>
      </c>
      <c r="E108" s="10"/>
    </row>
    <row r="109" spans="2:5" ht="18.75" customHeight="1">
      <c r="B109" s="10">
        <v>100</v>
      </c>
      <c r="C109" s="10">
        <v>100</v>
      </c>
      <c r="D109" s="10">
        <v>208</v>
      </c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AL1001"/>
  <sheetViews>
    <sheetView topLeftCell="A16" workbookViewId="0">
      <selection activeCell="B30" sqref="B30"/>
    </sheetView>
  </sheetViews>
  <sheetFormatPr defaultColWidth="12.625" defaultRowHeight="15" customHeight="1"/>
  <cols>
    <col min="1" max="1" width="7.625" customWidth="1"/>
    <col min="2" max="2" width="29.625" customWidth="1"/>
    <col min="3" max="3" width="46.625" customWidth="1"/>
    <col min="4" max="18" width="10" customWidth="1"/>
    <col min="19" max="38" width="12.625" customWidth="1"/>
  </cols>
  <sheetData>
    <row r="1" spans="1:38" ht="12" customHeight="1"/>
    <row r="2" spans="1:38" ht="40.5" customHeight="1">
      <c r="A2" s="1" t="s">
        <v>0</v>
      </c>
      <c r="B2" s="2" t="s">
        <v>298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300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>
        <v>1</v>
      </c>
      <c r="E5" s="5"/>
      <c r="F5" s="5"/>
      <c r="G5" s="5">
        <v>2</v>
      </c>
      <c r="H5" s="5"/>
      <c r="I5" s="5"/>
      <c r="J5" s="5">
        <v>3</v>
      </c>
      <c r="K5" s="5"/>
      <c r="L5" s="5"/>
      <c r="M5" s="5">
        <v>4</v>
      </c>
      <c r="N5" s="5"/>
      <c r="O5" s="5"/>
      <c r="P5" s="5">
        <v>5</v>
      </c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 t="s">
        <v>150</v>
      </c>
      <c r="E6" s="5" t="s">
        <v>151</v>
      </c>
      <c r="F6" s="5" t="s">
        <v>153</v>
      </c>
      <c r="G6" s="5" t="s">
        <v>150</v>
      </c>
      <c r="H6" s="5" t="s">
        <v>151</v>
      </c>
      <c r="I6" s="5" t="s">
        <v>153</v>
      </c>
      <c r="J6" s="5" t="s">
        <v>150</v>
      </c>
      <c r="K6" s="5" t="s">
        <v>151</v>
      </c>
      <c r="L6" s="5" t="s">
        <v>153</v>
      </c>
      <c r="M6" s="5" t="s">
        <v>150</v>
      </c>
      <c r="N6" s="5" t="s">
        <v>151</v>
      </c>
      <c r="O6" s="5" t="s">
        <v>153</v>
      </c>
      <c r="P6" s="5" t="s">
        <v>150</v>
      </c>
      <c r="Q6" s="5" t="s">
        <v>151</v>
      </c>
      <c r="R6" s="5" t="s">
        <v>153</v>
      </c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 t="s">
        <v>33</v>
      </c>
      <c r="F7" s="6" t="s">
        <v>33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33</v>
      </c>
      <c r="M7" s="6" t="s">
        <v>33</v>
      </c>
      <c r="N7" s="6" t="s">
        <v>33</v>
      </c>
      <c r="O7" s="6" t="s">
        <v>33</v>
      </c>
      <c r="P7" s="6" t="s">
        <v>33</v>
      </c>
      <c r="Q7" s="6" t="s">
        <v>33</v>
      </c>
      <c r="R7" s="6" t="s">
        <v>33</v>
      </c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138.94999999999999" customHeight="1">
      <c r="A8" s="1" t="s">
        <v>37</v>
      </c>
      <c r="B8" s="7" t="s">
        <v>38</v>
      </c>
      <c r="C8" s="7" t="s">
        <v>155</v>
      </c>
      <c r="D8" s="8" t="s">
        <v>304</v>
      </c>
      <c r="E8" s="8" t="s">
        <v>299</v>
      </c>
      <c r="F8" s="7" t="s">
        <v>154</v>
      </c>
      <c r="G8" s="8" t="s">
        <v>336</v>
      </c>
      <c r="H8" s="8" t="s">
        <v>299</v>
      </c>
      <c r="I8" s="7" t="s">
        <v>154</v>
      </c>
      <c r="J8" s="8" t="s">
        <v>336</v>
      </c>
      <c r="K8" s="8" t="s">
        <v>299</v>
      </c>
      <c r="L8" s="7" t="s">
        <v>154</v>
      </c>
      <c r="M8" s="8" t="s">
        <v>336</v>
      </c>
      <c r="N8" s="8" t="s">
        <v>299</v>
      </c>
      <c r="O8" s="7" t="s">
        <v>154</v>
      </c>
      <c r="P8" s="8" t="s">
        <v>336</v>
      </c>
      <c r="Q8" s="8" t="s">
        <v>299</v>
      </c>
      <c r="R8" s="7" t="s">
        <v>154</v>
      </c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68.099999999999994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288</v>
      </c>
      <c r="B10" s="7">
        <v>1001001</v>
      </c>
      <c r="C10" s="8" t="s">
        <v>352</v>
      </c>
      <c r="D10" s="8">
        <v>1</v>
      </c>
      <c r="E10" s="8">
        <v>2</v>
      </c>
      <c r="F10" s="8">
        <v>100</v>
      </c>
      <c r="G10" s="8">
        <v>4</v>
      </c>
      <c r="H10" s="8">
        <v>1001001</v>
      </c>
      <c r="I10" s="7">
        <v>1</v>
      </c>
      <c r="J10" s="7">
        <v>1</v>
      </c>
      <c r="K10" s="7">
        <v>3</v>
      </c>
      <c r="L10" s="7">
        <v>10</v>
      </c>
      <c r="M10" s="8">
        <v>1</v>
      </c>
      <c r="N10" s="7">
        <v>4</v>
      </c>
      <c r="O10" s="7">
        <v>100</v>
      </c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7">
        <v>1002001</v>
      </c>
      <c r="C11" s="8" t="s">
        <v>353</v>
      </c>
      <c r="D11" s="8">
        <v>2</v>
      </c>
      <c r="E11" s="8">
        <v>1</v>
      </c>
      <c r="F11" s="8">
        <v>1</v>
      </c>
      <c r="G11" s="8">
        <v>4</v>
      </c>
      <c r="H11" s="8">
        <v>1002001</v>
      </c>
      <c r="I11" s="7">
        <v>1</v>
      </c>
      <c r="J11" s="10">
        <v>1</v>
      </c>
      <c r="K11" s="10">
        <v>3</v>
      </c>
      <c r="L11" s="10">
        <v>15</v>
      </c>
      <c r="M11" s="10">
        <v>1</v>
      </c>
      <c r="N11" s="10">
        <v>4</v>
      </c>
      <c r="O11" s="10">
        <v>150</v>
      </c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6">
        <v>1002002</v>
      </c>
      <c r="C12" s="17" t="s">
        <v>354</v>
      </c>
      <c r="D12" s="17">
        <v>1</v>
      </c>
      <c r="E12" s="17">
        <v>2</v>
      </c>
      <c r="F12" s="17">
        <v>100</v>
      </c>
      <c r="G12" s="17">
        <v>2</v>
      </c>
      <c r="H12" s="17">
        <v>1</v>
      </c>
      <c r="I12" s="18">
        <v>1</v>
      </c>
      <c r="J12" s="10">
        <v>4</v>
      </c>
      <c r="K12" s="10">
        <v>1002002</v>
      </c>
      <c r="L12" s="10">
        <v>1</v>
      </c>
      <c r="M12" s="10">
        <v>1</v>
      </c>
      <c r="N12" s="10">
        <v>3</v>
      </c>
      <c r="O12" s="10">
        <v>20</v>
      </c>
      <c r="P12" s="10">
        <v>1</v>
      </c>
      <c r="Q12" s="10">
        <v>4</v>
      </c>
      <c r="R12" s="10">
        <v>200</v>
      </c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7">
        <v>2001001</v>
      </c>
      <c r="C13" s="8" t="s">
        <v>355</v>
      </c>
      <c r="D13" s="8">
        <v>1</v>
      </c>
      <c r="E13" s="8">
        <v>2</v>
      </c>
      <c r="F13" s="8">
        <v>100</v>
      </c>
      <c r="G13" s="8">
        <v>1</v>
      </c>
      <c r="H13" s="8">
        <v>1</v>
      </c>
      <c r="I13" s="7">
        <v>1</v>
      </c>
      <c r="J13" s="7"/>
      <c r="K13" s="7"/>
      <c r="L13" s="7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2002001</v>
      </c>
      <c r="C14" s="8" t="s">
        <v>356</v>
      </c>
      <c r="D14" s="8">
        <v>1</v>
      </c>
      <c r="E14" s="8">
        <v>2</v>
      </c>
      <c r="F14" s="8">
        <v>200</v>
      </c>
      <c r="G14" s="8">
        <v>1</v>
      </c>
      <c r="H14" s="8">
        <v>1</v>
      </c>
      <c r="I14" s="7">
        <v>2</v>
      </c>
      <c r="J14" s="7"/>
      <c r="K14" s="7"/>
      <c r="L14" s="7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7">
        <v>2002002</v>
      </c>
      <c r="C15" s="8" t="s">
        <v>357</v>
      </c>
      <c r="D15" s="8">
        <v>1</v>
      </c>
      <c r="E15" s="8">
        <v>2</v>
      </c>
      <c r="F15" s="8">
        <v>300</v>
      </c>
      <c r="G15" s="8">
        <v>1</v>
      </c>
      <c r="H15" s="8">
        <v>1</v>
      </c>
      <c r="I15" s="7">
        <v>5</v>
      </c>
      <c r="J15" s="7"/>
      <c r="K15" s="7"/>
      <c r="L15" s="7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3001001</v>
      </c>
      <c r="C16" s="10" t="s">
        <v>348</v>
      </c>
      <c r="D16" s="10">
        <v>4</v>
      </c>
      <c r="E16" s="10">
        <v>3001001</v>
      </c>
      <c r="F16" s="10">
        <v>1</v>
      </c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3001002</v>
      </c>
      <c r="C17" s="10" t="s">
        <v>349</v>
      </c>
      <c r="D17" s="8">
        <v>4</v>
      </c>
      <c r="E17" s="10">
        <v>3001001</v>
      </c>
      <c r="F17" s="10">
        <v>10</v>
      </c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3002001</v>
      </c>
      <c r="C18" s="10" t="s">
        <v>350</v>
      </c>
      <c r="D18" s="10">
        <v>4</v>
      </c>
      <c r="E18" s="10">
        <v>3002001</v>
      </c>
      <c r="F18" s="10">
        <v>1</v>
      </c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3002002</v>
      </c>
      <c r="C19" s="10" t="s">
        <v>351</v>
      </c>
      <c r="D19" s="10">
        <v>4</v>
      </c>
      <c r="E19" s="10">
        <v>3002001</v>
      </c>
      <c r="F19" s="10">
        <v>10</v>
      </c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9001001</v>
      </c>
      <c r="C20" s="10" t="s">
        <v>384</v>
      </c>
      <c r="D20" s="10">
        <v>1</v>
      </c>
      <c r="E20" s="10">
        <v>1</v>
      </c>
      <c r="F20" s="10">
        <v>999999</v>
      </c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7">
        <v>9001002</v>
      </c>
      <c r="C21" s="10" t="s">
        <v>386</v>
      </c>
      <c r="D21" s="10">
        <v>1</v>
      </c>
      <c r="E21" s="10">
        <v>2</v>
      </c>
      <c r="F21" s="10">
        <v>9999999</v>
      </c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9001003</v>
      </c>
      <c r="C22" s="10" t="s">
        <v>392</v>
      </c>
      <c r="D22" s="10">
        <v>1</v>
      </c>
      <c r="E22" s="10">
        <v>3</v>
      </c>
      <c r="F22" s="10">
        <v>9999999</v>
      </c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7">
        <v>9001004</v>
      </c>
      <c r="C23" s="10" t="s">
        <v>385</v>
      </c>
      <c r="D23" s="10">
        <v>1</v>
      </c>
      <c r="E23" s="10">
        <v>4</v>
      </c>
      <c r="F23" s="10">
        <v>9999999</v>
      </c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4001001</v>
      </c>
      <c r="C24" s="10" t="s">
        <v>495</v>
      </c>
      <c r="D24" s="8">
        <v>1</v>
      </c>
      <c r="E24" s="10">
        <v>1</v>
      </c>
      <c r="F24" s="10">
        <v>5</v>
      </c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4001002</v>
      </c>
      <c r="C25" s="10" t="s">
        <v>496</v>
      </c>
      <c r="D25" s="10">
        <v>1</v>
      </c>
      <c r="E25" s="10">
        <v>1</v>
      </c>
      <c r="F25" s="10">
        <v>10</v>
      </c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4001003</v>
      </c>
      <c r="C26" s="10" t="s">
        <v>497</v>
      </c>
      <c r="D26" s="10">
        <v>1</v>
      </c>
      <c r="E26" s="10">
        <v>1</v>
      </c>
      <c r="F26" s="10">
        <v>15</v>
      </c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5001001</v>
      </c>
      <c r="C27" s="10" t="s">
        <v>502</v>
      </c>
      <c r="D27" s="10">
        <v>1</v>
      </c>
      <c r="E27" s="10">
        <v>1</v>
      </c>
      <c r="F27" s="10">
        <v>1</v>
      </c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5001002</v>
      </c>
      <c r="C28" s="10" t="s">
        <v>503</v>
      </c>
      <c r="D28" s="8">
        <v>1</v>
      </c>
      <c r="E28" s="10">
        <v>1</v>
      </c>
      <c r="F28" s="10">
        <v>1</v>
      </c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5001003</v>
      </c>
      <c r="C29" s="10" t="s">
        <v>504</v>
      </c>
      <c r="D29" s="10">
        <v>1</v>
      </c>
      <c r="E29" s="10">
        <v>1</v>
      </c>
      <c r="F29" s="10">
        <v>5</v>
      </c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6001001</v>
      </c>
      <c r="C30" s="10" t="s">
        <v>509</v>
      </c>
      <c r="D30" s="8">
        <v>1</v>
      </c>
      <c r="E30" s="10">
        <v>1</v>
      </c>
      <c r="F30" s="10">
        <v>5</v>
      </c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6001002</v>
      </c>
      <c r="C31" s="10" t="s">
        <v>510</v>
      </c>
      <c r="D31" s="10">
        <v>1</v>
      </c>
      <c r="E31" s="10">
        <v>1</v>
      </c>
      <c r="F31" s="10">
        <v>10</v>
      </c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6001003</v>
      </c>
      <c r="C32" s="10" t="s">
        <v>511</v>
      </c>
      <c r="D32" s="10">
        <v>1</v>
      </c>
      <c r="E32" s="10">
        <v>1</v>
      </c>
      <c r="F32" s="10">
        <v>15</v>
      </c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6001004</v>
      </c>
      <c r="C33" s="10" t="s">
        <v>512</v>
      </c>
      <c r="D33" s="10">
        <v>1</v>
      </c>
      <c r="E33" s="10">
        <v>1</v>
      </c>
      <c r="F33" s="10">
        <v>1</v>
      </c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6001005</v>
      </c>
      <c r="C34" s="10" t="s">
        <v>513</v>
      </c>
      <c r="D34" s="8">
        <v>1</v>
      </c>
      <c r="E34" s="10">
        <v>1</v>
      </c>
      <c r="F34" s="10">
        <v>1</v>
      </c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2"/>
  <sheetViews>
    <sheetView topLeftCell="AB16" workbookViewId="0">
      <selection activeCell="AR13" sqref="AR13"/>
    </sheetView>
  </sheetViews>
  <sheetFormatPr defaultColWidth="12.625" defaultRowHeight="15" customHeight="1"/>
  <cols>
    <col min="1" max="1" width="7.625" customWidth="1"/>
    <col min="2" max="2" width="29.625" customWidth="1"/>
    <col min="3" max="3" width="46.625" customWidth="1"/>
    <col min="4" max="22" width="10" customWidth="1"/>
    <col min="23" max="42" width="12.625" customWidth="1"/>
  </cols>
  <sheetData>
    <row r="1" spans="1:115" ht="12" customHeight="1"/>
    <row r="2" spans="1:115" ht="40.5" customHeight="1">
      <c r="A2" s="1" t="s">
        <v>0</v>
      </c>
      <c r="B2" s="2" t="s">
        <v>301</v>
      </c>
      <c r="J2" s="12"/>
    </row>
    <row r="3" spans="1:115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</row>
    <row r="4" spans="1:115" ht="18.75" customHeight="1">
      <c r="A4" s="1" t="s">
        <v>3</v>
      </c>
      <c r="B4" s="5" t="s">
        <v>4</v>
      </c>
      <c r="C4" s="5" t="s">
        <v>128</v>
      </c>
      <c r="D4" s="5" t="s">
        <v>300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</row>
    <row r="5" spans="1:115" ht="18.75" customHeight="1">
      <c r="A5" s="1" t="s">
        <v>19</v>
      </c>
      <c r="B5" s="5"/>
      <c r="C5" s="5"/>
      <c r="D5" s="5">
        <v>1</v>
      </c>
      <c r="E5" s="5"/>
      <c r="F5" s="5"/>
      <c r="G5" s="5"/>
      <c r="H5" s="5">
        <v>2</v>
      </c>
      <c r="I5" s="5"/>
      <c r="J5" s="5"/>
      <c r="K5" s="5"/>
      <c r="L5" s="5">
        <v>3</v>
      </c>
      <c r="M5" s="5"/>
      <c r="N5" s="5"/>
      <c r="O5" s="5"/>
      <c r="P5" s="5">
        <v>4</v>
      </c>
      <c r="Q5" s="5"/>
      <c r="R5" s="5"/>
      <c r="S5" s="5"/>
      <c r="T5" s="5">
        <v>5</v>
      </c>
      <c r="U5" s="5"/>
      <c r="V5" s="5"/>
      <c r="W5" s="5"/>
      <c r="X5" s="5">
        <v>6</v>
      </c>
      <c r="Y5" s="5"/>
      <c r="Z5" s="5"/>
      <c r="AA5" s="5"/>
      <c r="AB5" s="5">
        <v>7</v>
      </c>
      <c r="AC5" s="5"/>
      <c r="AD5" s="5"/>
      <c r="AE5" s="5"/>
      <c r="AF5" s="5">
        <v>8</v>
      </c>
      <c r="AG5" s="5"/>
      <c r="AH5" s="5"/>
      <c r="AI5" s="5"/>
      <c r="AJ5" s="5">
        <v>9</v>
      </c>
      <c r="AK5" s="5"/>
      <c r="AL5" s="5"/>
      <c r="AM5" s="5"/>
      <c r="AN5" s="5">
        <v>10</v>
      </c>
      <c r="AO5" s="5"/>
      <c r="AP5" s="5"/>
      <c r="AQ5" s="5"/>
      <c r="AR5" s="5">
        <v>11</v>
      </c>
      <c r="AS5" s="5"/>
      <c r="AT5" s="5"/>
      <c r="AU5" s="5"/>
      <c r="AV5" s="5">
        <v>12</v>
      </c>
      <c r="AW5" s="5"/>
      <c r="AX5" s="5"/>
      <c r="AY5" s="5"/>
      <c r="AZ5" s="5">
        <v>13</v>
      </c>
      <c r="BA5" s="5"/>
      <c r="BB5" s="5"/>
      <c r="BC5" s="5"/>
      <c r="BD5" s="5">
        <v>14</v>
      </c>
      <c r="BE5" s="5"/>
      <c r="BF5" s="5"/>
      <c r="BG5" s="5"/>
      <c r="BH5" s="5">
        <v>15</v>
      </c>
      <c r="BI5" s="5"/>
      <c r="BJ5" s="5"/>
      <c r="BK5" s="5"/>
      <c r="BL5" s="5">
        <v>16</v>
      </c>
      <c r="BM5" s="5"/>
      <c r="BN5" s="5"/>
      <c r="BO5" s="5"/>
      <c r="BP5" s="5">
        <v>17</v>
      </c>
      <c r="BQ5" s="5"/>
      <c r="BR5" s="5"/>
      <c r="BS5" s="5"/>
      <c r="BT5" s="5">
        <v>18</v>
      </c>
      <c r="BU5" s="5"/>
      <c r="BV5" s="5"/>
      <c r="BW5" s="5"/>
      <c r="BX5" s="5">
        <v>19</v>
      </c>
      <c r="BY5" s="5"/>
      <c r="BZ5" s="5"/>
      <c r="CA5" s="5"/>
      <c r="CB5" s="5">
        <v>20</v>
      </c>
      <c r="CC5" s="5"/>
      <c r="CD5" s="5"/>
      <c r="CE5" s="5"/>
      <c r="CF5" s="5">
        <v>21</v>
      </c>
      <c r="CG5" s="5"/>
      <c r="CH5" s="5"/>
      <c r="CI5" s="5"/>
      <c r="CJ5" s="5">
        <v>22</v>
      </c>
      <c r="CK5" s="5"/>
      <c r="CL5" s="5"/>
      <c r="CM5" s="5"/>
      <c r="CN5" s="5">
        <v>23</v>
      </c>
      <c r="CO5" s="5"/>
      <c r="CP5" s="5"/>
      <c r="CQ5" s="5"/>
      <c r="CR5" s="5">
        <v>24</v>
      </c>
      <c r="CS5" s="5"/>
      <c r="CT5" s="5"/>
      <c r="CU5" s="5"/>
    </row>
    <row r="6" spans="1:115" ht="18.75" customHeight="1">
      <c r="A6" s="1" t="s">
        <v>25</v>
      </c>
      <c r="B6" s="5"/>
      <c r="C6" s="5"/>
      <c r="D6" s="5" t="s">
        <v>150</v>
      </c>
      <c r="E6" s="5" t="s">
        <v>151</v>
      </c>
      <c r="F6" s="5" t="s">
        <v>153</v>
      </c>
      <c r="G6" s="5" t="s">
        <v>302</v>
      </c>
      <c r="H6" s="5" t="s">
        <v>150</v>
      </c>
      <c r="I6" s="5" t="s">
        <v>151</v>
      </c>
      <c r="J6" s="5" t="s">
        <v>153</v>
      </c>
      <c r="K6" s="5" t="s">
        <v>302</v>
      </c>
      <c r="L6" s="5" t="s">
        <v>150</v>
      </c>
      <c r="M6" s="5" t="s">
        <v>151</v>
      </c>
      <c r="N6" s="5" t="s">
        <v>153</v>
      </c>
      <c r="O6" s="5" t="s">
        <v>302</v>
      </c>
      <c r="P6" s="5" t="s">
        <v>150</v>
      </c>
      <c r="Q6" s="5" t="s">
        <v>151</v>
      </c>
      <c r="R6" s="5" t="s">
        <v>153</v>
      </c>
      <c r="S6" s="5" t="s">
        <v>302</v>
      </c>
      <c r="T6" s="5" t="s">
        <v>150</v>
      </c>
      <c r="U6" s="5" t="s">
        <v>151</v>
      </c>
      <c r="V6" s="5" t="s">
        <v>153</v>
      </c>
      <c r="W6" s="5" t="s">
        <v>302</v>
      </c>
      <c r="X6" s="5" t="s">
        <v>150</v>
      </c>
      <c r="Y6" s="5" t="s">
        <v>151</v>
      </c>
      <c r="Z6" s="5" t="s">
        <v>153</v>
      </c>
      <c r="AA6" s="5" t="s">
        <v>302</v>
      </c>
      <c r="AB6" s="5" t="s">
        <v>150</v>
      </c>
      <c r="AC6" s="5" t="s">
        <v>151</v>
      </c>
      <c r="AD6" s="5" t="s">
        <v>153</v>
      </c>
      <c r="AE6" s="5" t="s">
        <v>302</v>
      </c>
      <c r="AF6" s="5" t="s">
        <v>150</v>
      </c>
      <c r="AG6" s="5" t="s">
        <v>151</v>
      </c>
      <c r="AH6" s="5" t="s">
        <v>153</v>
      </c>
      <c r="AI6" s="5" t="s">
        <v>302</v>
      </c>
      <c r="AJ6" s="5" t="s">
        <v>150</v>
      </c>
      <c r="AK6" s="5" t="s">
        <v>151</v>
      </c>
      <c r="AL6" s="5" t="s">
        <v>153</v>
      </c>
      <c r="AM6" s="5" t="s">
        <v>302</v>
      </c>
      <c r="AN6" s="5" t="s">
        <v>150</v>
      </c>
      <c r="AO6" s="5" t="s">
        <v>151</v>
      </c>
      <c r="AP6" s="5" t="s">
        <v>153</v>
      </c>
      <c r="AQ6" s="5" t="s">
        <v>302</v>
      </c>
      <c r="AR6" s="5" t="s">
        <v>150</v>
      </c>
      <c r="AS6" s="5" t="s">
        <v>151</v>
      </c>
      <c r="AT6" s="5" t="s">
        <v>153</v>
      </c>
      <c r="AU6" s="5" t="s">
        <v>302</v>
      </c>
      <c r="AV6" s="5" t="s">
        <v>150</v>
      </c>
      <c r="AW6" s="5" t="s">
        <v>151</v>
      </c>
      <c r="AX6" s="5" t="s">
        <v>153</v>
      </c>
      <c r="AY6" s="5" t="s">
        <v>302</v>
      </c>
      <c r="AZ6" s="5" t="s">
        <v>150</v>
      </c>
      <c r="BA6" s="5" t="s">
        <v>151</v>
      </c>
      <c r="BB6" s="5" t="s">
        <v>153</v>
      </c>
      <c r="BC6" s="5" t="s">
        <v>302</v>
      </c>
      <c r="BD6" s="5" t="s">
        <v>150</v>
      </c>
      <c r="BE6" s="5" t="s">
        <v>151</v>
      </c>
      <c r="BF6" s="5" t="s">
        <v>153</v>
      </c>
      <c r="BG6" s="5" t="s">
        <v>302</v>
      </c>
      <c r="BH6" s="5" t="s">
        <v>150</v>
      </c>
      <c r="BI6" s="5" t="s">
        <v>151</v>
      </c>
      <c r="BJ6" s="5" t="s">
        <v>153</v>
      </c>
      <c r="BK6" s="5" t="s">
        <v>302</v>
      </c>
      <c r="BL6" s="5" t="s">
        <v>150</v>
      </c>
      <c r="BM6" s="5" t="s">
        <v>151</v>
      </c>
      <c r="BN6" s="5" t="s">
        <v>153</v>
      </c>
      <c r="BO6" s="5" t="s">
        <v>302</v>
      </c>
      <c r="BP6" s="5" t="s">
        <v>150</v>
      </c>
      <c r="BQ6" s="5" t="s">
        <v>151</v>
      </c>
      <c r="BR6" s="5" t="s">
        <v>153</v>
      </c>
      <c r="BS6" s="5" t="s">
        <v>302</v>
      </c>
      <c r="BT6" s="5" t="s">
        <v>150</v>
      </c>
      <c r="BU6" s="5" t="s">
        <v>151</v>
      </c>
      <c r="BV6" s="5" t="s">
        <v>153</v>
      </c>
      <c r="BW6" s="5" t="s">
        <v>302</v>
      </c>
      <c r="BX6" s="5" t="s">
        <v>150</v>
      </c>
      <c r="BY6" s="5" t="s">
        <v>151</v>
      </c>
      <c r="BZ6" s="5" t="s">
        <v>153</v>
      </c>
      <c r="CA6" s="5" t="s">
        <v>302</v>
      </c>
      <c r="CB6" s="5" t="s">
        <v>150</v>
      </c>
      <c r="CC6" s="5" t="s">
        <v>151</v>
      </c>
      <c r="CD6" s="5" t="s">
        <v>153</v>
      </c>
      <c r="CE6" s="5" t="s">
        <v>302</v>
      </c>
      <c r="CF6" s="5" t="s">
        <v>150</v>
      </c>
      <c r="CG6" s="5" t="s">
        <v>151</v>
      </c>
      <c r="CH6" s="5" t="s">
        <v>153</v>
      </c>
      <c r="CI6" s="5" t="s">
        <v>302</v>
      </c>
      <c r="CJ6" s="5" t="s">
        <v>150</v>
      </c>
      <c r="CK6" s="5" t="s">
        <v>151</v>
      </c>
      <c r="CL6" s="5" t="s">
        <v>153</v>
      </c>
      <c r="CM6" s="5" t="s">
        <v>302</v>
      </c>
      <c r="CN6" s="5" t="s">
        <v>150</v>
      </c>
      <c r="CO6" s="5" t="s">
        <v>151</v>
      </c>
      <c r="CP6" s="5" t="s">
        <v>153</v>
      </c>
      <c r="CQ6" s="5" t="s">
        <v>302</v>
      </c>
      <c r="CR6" s="5" t="s">
        <v>150</v>
      </c>
      <c r="CS6" s="5" t="s">
        <v>151</v>
      </c>
      <c r="CT6" s="5" t="s">
        <v>153</v>
      </c>
      <c r="CU6" s="5" t="s">
        <v>302</v>
      </c>
    </row>
    <row r="7" spans="1:115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 t="s">
        <v>33</v>
      </c>
      <c r="F7" s="6" t="s">
        <v>33</v>
      </c>
      <c r="G7" s="6" t="s">
        <v>141</v>
      </c>
      <c r="H7" s="6" t="s">
        <v>33</v>
      </c>
      <c r="I7" s="6" t="s">
        <v>33</v>
      </c>
      <c r="J7" s="6" t="s">
        <v>33</v>
      </c>
      <c r="K7" s="6" t="s">
        <v>141</v>
      </c>
      <c r="L7" s="6" t="s">
        <v>33</v>
      </c>
      <c r="M7" s="6" t="s">
        <v>33</v>
      </c>
      <c r="N7" s="6" t="s">
        <v>33</v>
      </c>
      <c r="O7" s="6" t="s">
        <v>141</v>
      </c>
      <c r="P7" s="6" t="s">
        <v>33</v>
      </c>
      <c r="Q7" s="6" t="s">
        <v>33</v>
      </c>
      <c r="R7" s="6" t="s">
        <v>33</v>
      </c>
      <c r="S7" s="6" t="s">
        <v>141</v>
      </c>
      <c r="T7" s="6" t="s">
        <v>33</v>
      </c>
      <c r="U7" s="6" t="s">
        <v>33</v>
      </c>
      <c r="V7" s="6" t="s">
        <v>33</v>
      </c>
      <c r="W7" s="6" t="s">
        <v>141</v>
      </c>
      <c r="X7" s="6" t="s">
        <v>33</v>
      </c>
      <c r="Y7" s="6" t="s">
        <v>33</v>
      </c>
      <c r="Z7" s="6" t="s">
        <v>33</v>
      </c>
      <c r="AA7" s="6" t="s">
        <v>141</v>
      </c>
      <c r="AB7" s="6" t="s">
        <v>33</v>
      </c>
      <c r="AC7" s="6" t="s">
        <v>33</v>
      </c>
      <c r="AD7" s="6" t="s">
        <v>33</v>
      </c>
      <c r="AE7" s="6" t="s">
        <v>141</v>
      </c>
      <c r="AF7" s="6" t="s">
        <v>33</v>
      </c>
      <c r="AG7" s="6" t="s">
        <v>33</v>
      </c>
      <c r="AH7" s="6" t="s">
        <v>33</v>
      </c>
      <c r="AI7" s="6" t="s">
        <v>141</v>
      </c>
      <c r="AJ7" s="6" t="s">
        <v>33</v>
      </c>
      <c r="AK7" s="6" t="s">
        <v>33</v>
      </c>
      <c r="AL7" s="6" t="s">
        <v>33</v>
      </c>
      <c r="AM7" s="6" t="s">
        <v>141</v>
      </c>
      <c r="AN7" s="6" t="s">
        <v>33</v>
      </c>
      <c r="AO7" s="6" t="s">
        <v>33</v>
      </c>
      <c r="AP7" s="6" t="s">
        <v>33</v>
      </c>
      <c r="AQ7" s="6" t="s">
        <v>141</v>
      </c>
      <c r="AR7" s="6" t="s">
        <v>33</v>
      </c>
      <c r="AS7" s="6" t="s">
        <v>33</v>
      </c>
      <c r="AT7" s="6" t="s">
        <v>33</v>
      </c>
      <c r="AU7" s="6" t="s">
        <v>141</v>
      </c>
      <c r="AV7" s="6" t="s">
        <v>33</v>
      </c>
      <c r="AW7" s="6" t="s">
        <v>33</v>
      </c>
      <c r="AX7" s="6" t="s">
        <v>33</v>
      </c>
      <c r="AY7" s="6" t="s">
        <v>141</v>
      </c>
      <c r="AZ7" s="6" t="s">
        <v>33</v>
      </c>
      <c r="BA7" s="6" t="s">
        <v>33</v>
      </c>
      <c r="BB7" s="6" t="s">
        <v>33</v>
      </c>
      <c r="BC7" s="6" t="s">
        <v>141</v>
      </c>
      <c r="BD7" s="6" t="s">
        <v>33</v>
      </c>
      <c r="BE7" s="6" t="s">
        <v>33</v>
      </c>
      <c r="BF7" s="6" t="s">
        <v>33</v>
      </c>
      <c r="BG7" s="6" t="s">
        <v>141</v>
      </c>
      <c r="BH7" s="6" t="s">
        <v>33</v>
      </c>
      <c r="BI7" s="6" t="s">
        <v>33</v>
      </c>
      <c r="BJ7" s="6" t="s">
        <v>33</v>
      </c>
      <c r="BK7" s="6" t="s">
        <v>141</v>
      </c>
      <c r="BL7" s="6" t="s">
        <v>33</v>
      </c>
      <c r="BM7" s="6" t="s">
        <v>33</v>
      </c>
      <c r="BN7" s="6" t="s">
        <v>33</v>
      </c>
      <c r="BO7" s="6" t="s">
        <v>141</v>
      </c>
      <c r="BP7" s="6" t="s">
        <v>33</v>
      </c>
      <c r="BQ7" s="6" t="s">
        <v>33</v>
      </c>
      <c r="BR7" s="6" t="s">
        <v>33</v>
      </c>
      <c r="BS7" s="6" t="s">
        <v>141</v>
      </c>
      <c r="BT7" s="6" t="s">
        <v>33</v>
      </c>
      <c r="BU7" s="6" t="s">
        <v>33</v>
      </c>
      <c r="BV7" s="6" t="s">
        <v>33</v>
      </c>
      <c r="BW7" s="6" t="s">
        <v>141</v>
      </c>
      <c r="BX7" s="6" t="s">
        <v>33</v>
      </c>
      <c r="BY7" s="6" t="s">
        <v>33</v>
      </c>
      <c r="BZ7" s="6" t="s">
        <v>33</v>
      </c>
      <c r="CA7" s="6" t="s">
        <v>141</v>
      </c>
      <c r="CB7" s="6" t="s">
        <v>33</v>
      </c>
      <c r="CC7" s="6" t="s">
        <v>33</v>
      </c>
      <c r="CD7" s="6" t="s">
        <v>33</v>
      </c>
      <c r="CE7" s="6" t="s">
        <v>141</v>
      </c>
      <c r="CF7" s="6" t="s">
        <v>33</v>
      </c>
      <c r="CG7" s="6" t="s">
        <v>33</v>
      </c>
      <c r="CH7" s="6" t="s">
        <v>33</v>
      </c>
      <c r="CI7" s="6" t="s">
        <v>141</v>
      </c>
      <c r="CJ7" s="6" t="s">
        <v>33</v>
      </c>
      <c r="CK7" s="6" t="s">
        <v>33</v>
      </c>
      <c r="CL7" s="6" t="s">
        <v>33</v>
      </c>
      <c r="CM7" s="6" t="s">
        <v>141</v>
      </c>
      <c r="CN7" s="6" t="s">
        <v>33</v>
      </c>
      <c r="CO7" s="6" t="s">
        <v>33</v>
      </c>
      <c r="CP7" s="6" t="s">
        <v>33</v>
      </c>
      <c r="CQ7" s="6" t="s">
        <v>141</v>
      </c>
      <c r="CR7" s="6" t="s">
        <v>33</v>
      </c>
      <c r="CS7" s="6" t="s">
        <v>33</v>
      </c>
      <c r="CT7" s="6" t="s">
        <v>33</v>
      </c>
      <c r="CU7" s="6" t="s">
        <v>141</v>
      </c>
    </row>
    <row r="8" spans="1:115" ht="123" customHeight="1">
      <c r="A8" s="1" t="s">
        <v>37</v>
      </c>
      <c r="B8" s="7" t="s">
        <v>38</v>
      </c>
      <c r="C8" s="7" t="s">
        <v>155</v>
      </c>
      <c r="D8" s="8" t="s">
        <v>304</v>
      </c>
      <c r="E8" s="8" t="s">
        <v>299</v>
      </c>
      <c r="F8" s="7" t="s">
        <v>154</v>
      </c>
      <c r="G8" s="7" t="s">
        <v>303</v>
      </c>
      <c r="H8" s="8" t="s">
        <v>304</v>
      </c>
      <c r="I8" s="8" t="s">
        <v>299</v>
      </c>
      <c r="J8" s="7" t="s">
        <v>154</v>
      </c>
      <c r="K8" s="7" t="s">
        <v>303</v>
      </c>
      <c r="L8" s="8" t="s">
        <v>304</v>
      </c>
      <c r="M8" s="8" t="s">
        <v>299</v>
      </c>
      <c r="N8" s="7" t="s">
        <v>154</v>
      </c>
      <c r="O8" s="7" t="s">
        <v>303</v>
      </c>
      <c r="P8" s="8" t="s">
        <v>304</v>
      </c>
      <c r="Q8" s="8" t="s">
        <v>299</v>
      </c>
      <c r="R8" s="7" t="s">
        <v>154</v>
      </c>
      <c r="S8" s="7" t="s">
        <v>303</v>
      </c>
      <c r="T8" s="8" t="s">
        <v>304</v>
      </c>
      <c r="U8" s="8" t="s">
        <v>299</v>
      </c>
      <c r="V8" s="7" t="s">
        <v>154</v>
      </c>
      <c r="W8" s="7" t="s">
        <v>303</v>
      </c>
      <c r="X8" s="8" t="s">
        <v>304</v>
      </c>
      <c r="Y8" s="8" t="s">
        <v>299</v>
      </c>
      <c r="Z8" s="7" t="s">
        <v>154</v>
      </c>
      <c r="AA8" s="7" t="s">
        <v>303</v>
      </c>
      <c r="AB8" s="8" t="s">
        <v>304</v>
      </c>
      <c r="AC8" s="8" t="s">
        <v>299</v>
      </c>
      <c r="AD8" s="7" t="s">
        <v>154</v>
      </c>
      <c r="AE8" s="7" t="s">
        <v>303</v>
      </c>
      <c r="AF8" s="8" t="s">
        <v>304</v>
      </c>
      <c r="AG8" s="8" t="s">
        <v>299</v>
      </c>
      <c r="AH8" s="7" t="s">
        <v>154</v>
      </c>
      <c r="AI8" s="7" t="s">
        <v>303</v>
      </c>
      <c r="AJ8" s="8" t="s">
        <v>304</v>
      </c>
      <c r="AK8" s="8" t="s">
        <v>299</v>
      </c>
      <c r="AL8" s="7" t="s">
        <v>154</v>
      </c>
      <c r="AM8" s="7" t="s">
        <v>303</v>
      </c>
      <c r="AN8" s="8" t="s">
        <v>304</v>
      </c>
      <c r="AO8" s="8" t="s">
        <v>299</v>
      </c>
      <c r="AP8" s="7" t="s">
        <v>154</v>
      </c>
      <c r="AQ8" s="7" t="s">
        <v>303</v>
      </c>
      <c r="AR8" s="8" t="s">
        <v>304</v>
      </c>
      <c r="AS8" s="8" t="s">
        <v>299</v>
      </c>
      <c r="AT8" s="7" t="s">
        <v>154</v>
      </c>
      <c r="AU8" s="7" t="s">
        <v>303</v>
      </c>
      <c r="AV8" s="8" t="s">
        <v>304</v>
      </c>
      <c r="AW8" s="8" t="s">
        <v>299</v>
      </c>
      <c r="AX8" s="7" t="s">
        <v>154</v>
      </c>
      <c r="AY8" s="7" t="s">
        <v>303</v>
      </c>
      <c r="AZ8" s="8" t="s">
        <v>304</v>
      </c>
      <c r="BA8" s="8" t="s">
        <v>299</v>
      </c>
      <c r="BB8" s="7" t="s">
        <v>154</v>
      </c>
      <c r="BC8" s="7" t="s">
        <v>303</v>
      </c>
      <c r="BD8" s="8" t="s">
        <v>304</v>
      </c>
      <c r="BE8" s="8" t="s">
        <v>299</v>
      </c>
      <c r="BF8" s="7" t="s">
        <v>154</v>
      </c>
      <c r="BG8" s="7" t="s">
        <v>303</v>
      </c>
      <c r="BH8" s="8" t="s">
        <v>304</v>
      </c>
      <c r="BI8" s="8" t="s">
        <v>299</v>
      </c>
      <c r="BJ8" s="7" t="s">
        <v>154</v>
      </c>
      <c r="BK8" s="7" t="s">
        <v>303</v>
      </c>
      <c r="BL8" s="8" t="s">
        <v>304</v>
      </c>
      <c r="BM8" s="8" t="s">
        <v>299</v>
      </c>
      <c r="BN8" s="7" t="s">
        <v>154</v>
      </c>
      <c r="BO8" s="7" t="s">
        <v>303</v>
      </c>
      <c r="BP8" s="8" t="s">
        <v>304</v>
      </c>
      <c r="BQ8" s="8" t="s">
        <v>299</v>
      </c>
      <c r="BR8" s="7" t="s">
        <v>154</v>
      </c>
      <c r="BS8" s="7" t="s">
        <v>303</v>
      </c>
      <c r="BT8" s="8" t="s">
        <v>304</v>
      </c>
      <c r="BU8" s="8" t="s">
        <v>299</v>
      </c>
      <c r="BV8" s="7" t="s">
        <v>154</v>
      </c>
      <c r="BW8" s="7" t="s">
        <v>303</v>
      </c>
      <c r="BX8" s="8" t="s">
        <v>304</v>
      </c>
      <c r="BY8" s="8" t="s">
        <v>299</v>
      </c>
      <c r="BZ8" s="7" t="s">
        <v>154</v>
      </c>
      <c r="CA8" s="7" t="s">
        <v>303</v>
      </c>
      <c r="CB8" s="8" t="s">
        <v>304</v>
      </c>
      <c r="CC8" s="8" t="s">
        <v>299</v>
      </c>
      <c r="CD8" s="7" t="s">
        <v>154</v>
      </c>
      <c r="CE8" s="7" t="s">
        <v>303</v>
      </c>
      <c r="CF8" s="8" t="s">
        <v>344</v>
      </c>
      <c r="CG8" s="8" t="s">
        <v>299</v>
      </c>
      <c r="CH8" s="7" t="s">
        <v>154</v>
      </c>
      <c r="CI8" s="7" t="s">
        <v>303</v>
      </c>
      <c r="CJ8" s="8" t="s">
        <v>344</v>
      </c>
      <c r="CK8" s="8" t="s">
        <v>299</v>
      </c>
      <c r="CL8" s="7" t="s">
        <v>154</v>
      </c>
      <c r="CM8" s="7" t="s">
        <v>303</v>
      </c>
      <c r="CN8" s="8" t="s">
        <v>304</v>
      </c>
      <c r="CO8" s="8" t="s">
        <v>299</v>
      </c>
      <c r="CP8" s="7" t="s">
        <v>154</v>
      </c>
      <c r="CQ8" s="7" t="s">
        <v>303</v>
      </c>
      <c r="CR8" s="8" t="s">
        <v>304</v>
      </c>
      <c r="CS8" s="8" t="s">
        <v>299</v>
      </c>
      <c r="CT8" s="7" t="s">
        <v>154</v>
      </c>
      <c r="CU8" s="7" t="s">
        <v>303</v>
      </c>
    </row>
    <row r="9" spans="1:115" ht="68.099999999999994" customHeight="1">
      <c r="A9" s="1" t="s">
        <v>64</v>
      </c>
      <c r="B9" s="8" t="s">
        <v>337</v>
      </c>
      <c r="C9" s="8"/>
      <c r="D9" s="8"/>
      <c r="E9" s="8"/>
      <c r="F9" s="8"/>
      <c r="G9" s="8"/>
      <c r="H9" s="8"/>
      <c r="I9" s="8"/>
      <c r="J9" s="7"/>
      <c r="K9" s="8"/>
      <c r="L9" s="7"/>
      <c r="M9" s="7"/>
      <c r="N9" s="7"/>
      <c r="O9" s="8"/>
      <c r="P9" s="8"/>
      <c r="Q9" s="7"/>
      <c r="R9" s="7"/>
      <c r="S9" s="7"/>
      <c r="T9" s="7"/>
      <c r="U9" s="8"/>
      <c r="V9" s="8"/>
      <c r="W9" s="8"/>
      <c r="X9" s="8"/>
      <c r="Y9" s="8"/>
      <c r="Z9" s="8"/>
      <c r="AA9" s="8"/>
      <c r="AB9" s="8"/>
      <c r="AC9" s="8"/>
      <c r="AD9" s="7"/>
      <c r="AE9" s="7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</row>
    <row r="10" spans="1:115" ht="20.100000000000001" customHeight="1">
      <c r="A10" s="9" t="s">
        <v>288</v>
      </c>
      <c r="B10" s="7">
        <v>1001001</v>
      </c>
      <c r="C10" s="8" t="s">
        <v>338</v>
      </c>
      <c r="D10" s="8">
        <v>2</v>
      </c>
      <c r="E10" s="8">
        <v>1</v>
      </c>
      <c r="F10" s="8">
        <v>1</v>
      </c>
      <c r="G10" s="8">
        <v>1</v>
      </c>
      <c r="H10" s="8">
        <v>0</v>
      </c>
      <c r="I10" s="8">
        <v>1</v>
      </c>
      <c r="J10" s="7">
        <v>1</v>
      </c>
      <c r="K10" s="8">
        <v>9</v>
      </c>
      <c r="L10" s="7"/>
      <c r="M10" s="7"/>
      <c r="N10" s="7"/>
      <c r="O10" s="8"/>
      <c r="P10" s="8"/>
      <c r="Q10" s="7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8"/>
      <c r="AD10" s="7"/>
      <c r="AE10" s="7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</row>
    <row r="11" spans="1:115" ht="18.75" customHeight="1">
      <c r="A11" s="9"/>
      <c r="B11" s="7">
        <v>1002001</v>
      </c>
      <c r="C11" s="8" t="s">
        <v>339</v>
      </c>
      <c r="D11" s="8">
        <v>3</v>
      </c>
      <c r="E11" s="8">
        <v>1</v>
      </c>
      <c r="F11" s="8">
        <v>100</v>
      </c>
      <c r="G11" s="8">
        <v>1</v>
      </c>
      <c r="H11" s="8">
        <v>0</v>
      </c>
      <c r="I11" s="8">
        <v>1</v>
      </c>
      <c r="J11" s="7">
        <v>1</v>
      </c>
      <c r="K11" s="8">
        <v>9</v>
      </c>
      <c r="L11" s="10"/>
      <c r="M11" s="10"/>
      <c r="N11" s="10"/>
      <c r="O11" s="8"/>
      <c r="P11" s="10"/>
      <c r="Q11" s="10"/>
      <c r="R11" s="10"/>
      <c r="S11" s="10"/>
      <c r="T11" s="10"/>
      <c r="U11" s="10"/>
      <c r="V11" s="8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</row>
    <row r="12" spans="1:115" ht="18.75" customHeight="1">
      <c r="A12" s="11"/>
      <c r="B12" s="16">
        <v>1002002</v>
      </c>
      <c r="C12" s="17" t="s">
        <v>340</v>
      </c>
      <c r="D12" s="17">
        <v>2</v>
      </c>
      <c r="E12" s="17">
        <v>1</v>
      </c>
      <c r="F12" s="17">
        <v>1</v>
      </c>
      <c r="G12" s="17">
        <v>1</v>
      </c>
      <c r="H12" s="17">
        <v>2</v>
      </c>
      <c r="I12" s="17">
        <v>2</v>
      </c>
      <c r="J12" s="18">
        <v>1</v>
      </c>
      <c r="K12" s="17">
        <v>1</v>
      </c>
      <c r="L12" s="10">
        <v>2</v>
      </c>
      <c r="M12" s="10">
        <v>3</v>
      </c>
      <c r="N12" s="10">
        <v>1</v>
      </c>
      <c r="O12" s="17">
        <v>1</v>
      </c>
      <c r="P12" s="10"/>
      <c r="Q12" s="10"/>
      <c r="R12" s="10"/>
      <c r="S12" s="10"/>
      <c r="T12" s="10"/>
      <c r="U12" s="10"/>
      <c r="V12" s="17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</row>
    <row r="13" spans="1:115" ht="18.75" customHeight="1">
      <c r="A13" s="11"/>
      <c r="B13" s="10">
        <v>2001001</v>
      </c>
      <c r="C13" s="10" t="s">
        <v>342</v>
      </c>
      <c r="D13" s="10">
        <v>2</v>
      </c>
      <c r="E13" s="10">
        <v>1</v>
      </c>
      <c r="F13" s="10">
        <v>1</v>
      </c>
      <c r="G13" s="10">
        <v>1</v>
      </c>
      <c r="H13" s="10">
        <v>2</v>
      </c>
      <c r="I13" s="10">
        <v>2</v>
      </c>
      <c r="J13" s="10">
        <v>1</v>
      </c>
      <c r="K13" s="10">
        <v>1</v>
      </c>
      <c r="L13" s="10">
        <v>2</v>
      </c>
      <c r="M13" s="10">
        <v>3</v>
      </c>
      <c r="N13" s="10">
        <v>1</v>
      </c>
      <c r="O13" s="10">
        <v>1</v>
      </c>
      <c r="P13" s="10">
        <v>2</v>
      </c>
      <c r="Q13" s="10">
        <v>4</v>
      </c>
      <c r="R13" s="10">
        <v>1</v>
      </c>
      <c r="S13" s="10">
        <v>1</v>
      </c>
      <c r="T13" s="10">
        <v>2</v>
      </c>
      <c r="U13" s="10">
        <v>5</v>
      </c>
      <c r="V13" s="10">
        <v>1</v>
      </c>
      <c r="W13" s="10">
        <v>1</v>
      </c>
      <c r="X13" s="10">
        <v>2</v>
      </c>
      <c r="Y13" s="10">
        <v>6</v>
      </c>
      <c r="Z13" s="10">
        <v>1</v>
      </c>
      <c r="AA13" s="10">
        <v>1</v>
      </c>
      <c r="AB13" s="10">
        <v>2</v>
      </c>
      <c r="AC13" s="10">
        <v>7</v>
      </c>
      <c r="AD13" s="10">
        <v>1</v>
      </c>
      <c r="AE13" s="10">
        <v>1</v>
      </c>
      <c r="AF13" s="10">
        <v>2</v>
      </c>
      <c r="AG13" s="10">
        <v>8</v>
      </c>
      <c r="AH13" s="10">
        <v>1</v>
      </c>
      <c r="AI13" s="10">
        <v>1</v>
      </c>
      <c r="AJ13" s="10">
        <v>2</v>
      </c>
      <c r="AK13" s="10">
        <v>9</v>
      </c>
      <c r="AL13" s="10">
        <v>1</v>
      </c>
      <c r="AM13" s="10">
        <v>1</v>
      </c>
      <c r="AN13" s="10">
        <v>2</v>
      </c>
      <c r="AO13" s="10">
        <v>10</v>
      </c>
      <c r="AP13" s="10">
        <v>1</v>
      </c>
      <c r="AQ13" s="10">
        <v>1</v>
      </c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21"/>
      <c r="CU13" s="23"/>
      <c r="CV13" s="22"/>
      <c r="CW13" s="22"/>
      <c r="CX13" s="22"/>
      <c r="CY13" s="22"/>
      <c r="CZ13" s="22"/>
      <c r="DA13" s="22"/>
      <c r="DB13" s="22"/>
      <c r="DC13" s="22"/>
      <c r="DD13" s="22"/>
      <c r="DE13" s="22"/>
      <c r="DF13" s="22"/>
      <c r="DG13" s="22"/>
      <c r="DH13" s="22"/>
      <c r="DI13" s="22"/>
      <c r="DJ13" s="22"/>
      <c r="DK13" s="22"/>
    </row>
    <row r="14" spans="1:115" ht="18.75" customHeight="1">
      <c r="A14" s="11"/>
      <c r="B14" s="10">
        <v>2001002</v>
      </c>
      <c r="C14" s="10" t="s">
        <v>341</v>
      </c>
      <c r="D14" s="10">
        <v>2</v>
      </c>
      <c r="E14" s="10">
        <v>11</v>
      </c>
      <c r="F14" s="10">
        <v>1</v>
      </c>
      <c r="G14" s="10">
        <v>1</v>
      </c>
      <c r="H14" s="10">
        <v>2</v>
      </c>
      <c r="I14" s="10">
        <v>12</v>
      </c>
      <c r="J14" s="10">
        <v>1</v>
      </c>
      <c r="K14" s="10">
        <v>1</v>
      </c>
      <c r="L14" s="10">
        <v>2</v>
      </c>
      <c r="M14" s="10">
        <v>13</v>
      </c>
      <c r="N14" s="10">
        <v>1</v>
      </c>
      <c r="O14" s="10">
        <v>1</v>
      </c>
      <c r="P14" s="10">
        <v>2</v>
      </c>
      <c r="Q14" s="10">
        <v>14</v>
      </c>
      <c r="R14" s="10">
        <v>1</v>
      </c>
      <c r="S14" s="10">
        <v>1</v>
      </c>
      <c r="T14" s="10">
        <v>2</v>
      </c>
      <c r="U14" s="10">
        <v>15</v>
      </c>
      <c r="V14" s="10">
        <v>1</v>
      </c>
      <c r="W14" s="10">
        <v>1</v>
      </c>
      <c r="X14" s="10">
        <v>2</v>
      </c>
      <c r="Y14" s="10">
        <v>16</v>
      </c>
      <c r="Z14" s="10">
        <v>1</v>
      </c>
      <c r="AA14" s="10">
        <v>1</v>
      </c>
      <c r="AB14" s="10">
        <v>2</v>
      </c>
      <c r="AC14" s="10">
        <v>17</v>
      </c>
      <c r="AD14" s="10">
        <v>1</v>
      </c>
      <c r="AE14" s="10">
        <v>1</v>
      </c>
      <c r="AF14" s="10">
        <v>2</v>
      </c>
      <c r="AG14" s="10">
        <v>18</v>
      </c>
      <c r="AH14" s="10">
        <v>1</v>
      </c>
      <c r="AI14" s="10">
        <v>1</v>
      </c>
      <c r="AJ14" s="10"/>
      <c r="AK14" s="10"/>
      <c r="AL14" s="10"/>
      <c r="AM14" s="10"/>
      <c r="AN14" s="10"/>
      <c r="AO14" s="10"/>
      <c r="AP14" s="10"/>
    </row>
    <row r="15" spans="1:115" ht="18.75" customHeight="1">
      <c r="A15" s="11"/>
      <c r="B15" s="10">
        <v>2002001</v>
      </c>
      <c r="C15" s="10" t="s">
        <v>343</v>
      </c>
      <c r="D15" s="10">
        <v>2</v>
      </c>
      <c r="E15" s="10">
        <v>19</v>
      </c>
      <c r="F15" s="10">
        <v>1</v>
      </c>
      <c r="G15" s="10">
        <v>1</v>
      </c>
      <c r="H15" s="10">
        <v>2</v>
      </c>
      <c r="I15" s="10">
        <v>20</v>
      </c>
      <c r="J15" s="10">
        <v>1</v>
      </c>
      <c r="K15" s="10">
        <v>1</v>
      </c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</row>
    <row r="16" spans="1:115" ht="18.75" customHeight="1">
      <c r="A16" s="11"/>
      <c r="B16" s="10">
        <v>2002002</v>
      </c>
      <c r="C16" s="10" t="s">
        <v>347</v>
      </c>
      <c r="D16" s="10">
        <v>4</v>
      </c>
      <c r="E16" s="10">
        <v>2001002</v>
      </c>
      <c r="F16" s="10">
        <v>1</v>
      </c>
      <c r="G16" s="10">
        <v>9</v>
      </c>
      <c r="H16" s="10">
        <v>4</v>
      </c>
      <c r="I16" s="10">
        <v>2002001</v>
      </c>
      <c r="J16" s="10">
        <v>1</v>
      </c>
      <c r="K16" s="10">
        <v>1</v>
      </c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</row>
    <row r="17" spans="1:42" ht="18.75" customHeight="1">
      <c r="A17" s="11"/>
      <c r="B17" s="10">
        <v>3001001</v>
      </c>
      <c r="C17" s="10" t="s">
        <v>345</v>
      </c>
      <c r="D17" s="10">
        <v>4</v>
      </c>
      <c r="E17" s="10">
        <v>2001001</v>
      </c>
      <c r="F17" s="10">
        <v>1</v>
      </c>
      <c r="G17" s="10">
        <v>9</v>
      </c>
      <c r="H17" s="10">
        <v>4</v>
      </c>
      <c r="I17" s="10">
        <v>2001002</v>
      </c>
      <c r="J17" s="10">
        <v>1</v>
      </c>
      <c r="K17" s="10">
        <v>1</v>
      </c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</row>
    <row r="18" spans="1:42" ht="18.75" customHeight="1">
      <c r="A18" s="11"/>
      <c r="B18" s="10">
        <v>3002001</v>
      </c>
      <c r="C18" s="10" t="s">
        <v>346</v>
      </c>
      <c r="D18" s="8">
        <v>4</v>
      </c>
      <c r="E18" s="10">
        <v>2001001</v>
      </c>
      <c r="F18" s="10">
        <v>1</v>
      </c>
      <c r="G18" s="10">
        <v>9</v>
      </c>
      <c r="H18" s="10">
        <v>4</v>
      </c>
      <c r="I18" s="10">
        <v>2002002</v>
      </c>
      <c r="J18" s="10">
        <v>1</v>
      </c>
      <c r="K18" s="10">
        <v>1</v>
      </c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</row>
    <row r="19" spans="1:42" ht="18.75" customHeight="1">
      <c r="A19" s="11"/>
      <c r="B19" s="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</row>
    <row r="20" spans="1:42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</row>
    <row r="21" spans="1:42" ht="18.75" customHeight="1">
      <c r="A21" s="11"/>
      <c r="B21" s="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</row>
    <row r="22" spans="1:42" ht="18.75" customHeight="1">
      <c r="A22" s="11"/>
      <c r="B22" s="10"/>
      <c r="C22" s="10"/>
      <c r="D22" s="8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</row>
    <row r="23" spans="1:42" ht="18.75" customHeight="1">
      <c r="A23" s="11"/>
      <c r="B23" s="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</row>
    <row r="24" spans="1:42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</row>
    <row r="25" spans="1:42" ht="18.75" customHeight="1">
      <c r="A25" s="11"/>
      <c r="B25" s="7"/>
      <c r="C25" s="10"/>
      <c r="D25" s="8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</row>
    <row r="26" spans="1:42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</row>
    <row r="27" spans="1:42" ht="18.75" customHeight="1">
      <c r="A27" s="11"/>
      <c r="B27" s="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</row>
    <row r="28" spans="1:42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</row>
    <row r="29" spans="1:42" ht="18.75" customHeight="1">
      <c r="A29" s="11"/>
      <c r="B29" s="7"/>
      <c r="C29" s="10"/>
      <c r="D29" s="8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</row>
    <row r="30" spans="1:42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</row>
    <row r="31" spans="1:42" ht="18.75" customHeight="1">
      <c r="A31" s="11"/>
      <c r="B31" s="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</row>
    <row r="32" spans="1:42" ht="18.75" customHeight="1">
      <c r="A32" s="11"/>
      <c r="B32" s="10"/>
      <c r="C32" s="10"/>
      <c r="D32" s="8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</row>
    <row r="33" spans="1:42" ht="18.75" customHeight="1">
      <c r="A33" s="11"/>
      <c r="B33" s="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</row>
    <row r="34" spans="1:42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</row>
    <row r="35" spans="1:42" ht="18.75" customHeight="1">
      <c r="A35" s="11"/>
      <c r="B35" s="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</row>
    <row r="36" spans="1:42" ht="18.75" customHeight="1">
      <c r="A36" s="11"/>
      <c r="B36" s="10"/>
      <c r="C36" s="10"/>
      <c r="D36" s="8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</row>
    <row r="37" spans="1:42" ht="18.75" customHeight="1">
      <c r="A37" s="11"/>
      <c r="B37" s="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</row>
    <row r="38" spans="1:42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</row>
    <row r="39" spans="1:42" ht="18.75" customHeight="1">
      <c r="A39" s="11"/>
      <c r="B39" s="7"/>
      <c r="C39" s="10"/>
      <c r="D39" s="8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</row>
    <row r="40" spans="1:42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</row>
    <row r="41" spans="1:42" ht="18.75" customHeight="1">
      <c r="A41" s="11"/>
      <c r="B41" s="7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</row>
    <row r="42" spans="1:42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</row>
    <row r="43" spans="1:42" ht="18.75" customHeight="1">
      <c r="A43" s="11"/>
      <c r="B43" s="7"/>
      <c r="C43" s="10"/>
      <c r="D43" s="8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</row>
    <row r="44" spans="1:42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</row>
    <row r="45" spans="1:42" ht="18.75" customHeight="1">
      <c r="A45" s="11"/>
      <c r="B45" s="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</row>
    <row r="46" spans="1:42" ht="18.75" customHeight="1">
      <c r="A46" s="11"/>
      <c r="B46" s="10"/>
      <c r="C46" s="10"/>
      <c r="D46" s="8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</row>
    <row r="47" spans="1:42" ht="18.75" customHeight="1">
      <c r="A47" s="11"/>
      <c r="B47" s="7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</row>
    <row r="48" spans="1:42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</row>
    <row r="49" spans="1:42" ht="18.75" customHeight="1">
      <c r="A49" s="11"/>
      <c r="B49" s="7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</row>
    <row r="50" spans="1:42" ht="18.75" customHeight="1">
      <c r="A50" s="11"/>
      <c r="B50" s="10"/>
      <c r="C50" s="10"/>
      <c r="D50" s="8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</row>
    <row r="51" spans="1:42" ht="18.75" customHeight="1">
      <c r="B51" s="7"/>
      <c r="C51" s="10"/>
      <c r="D51" s="10"/>
      <c r="E51" s="10"/>
    </row>
    <row r="52" spans="1:42" ht="18.75" customHeight="1">
      <c r="B52" s="10"/>
      <c r="C52" s="10"/>
      <c r="D52" s="10"/>
      <c r="E52" s="10"/>
    </row>
    <row r="53" spans="1:42" ht="18.75" customHeight="1">
      <c r="B53" s="7"/>
      <c r="C53" s="10"/>
      <c r="D53" s="8"/>
      <c r="E53" s="10"/>
    </row>
    <row r="54" spans="1:42" ht="18.75" customHeight="1">
      <c r="B54" s="10"/>
      <c r="C54" s="10"/>
      <c r="D54" s="10"/>
      <c r="E54" s="10"/>
    </row>
    <row r="55" spans="1:42" ht="18.75" customHeight="1">
      <c r="B55" s="7"/>
      <c r="C55" s="10"/>
      <c r="D55" s="10"/>
      <c r="E55" s="10"/>
    </row>
    <row r="56" spans="1:42" ht="18.75" customHeight="1">
      <c r="B56" s="10"/>
      <c r="C56" s="10"/>
      <c r="D56" s="10"/>
      <c r="E56" s="10"/>
    </row>
    <row r="57" spans="1:42" ht="18.75" customHeight="1">
      <c r="B57" s="7"/>
      <c r="C57" s="10"/>
      <c r="D57" s="8"/>
      <c r="E57" s="10"/>
    </row>
    <row r="58" spans="1:42" ht="18.75" customHeight="1">
      <c r="B58" s="10"/>
      <c r="C58" s="10"/>
      <c r="D58" s="10"/>
      <c r="E58" s="10"/>
    </row>
    <row r="59" spans="1:42" ht="18.75" customHeight="1">
      <c r="B59" s="7"/>
      <c r="C59" s="10"/>
      <c r="D59" s="10"/>
      <c r="E59" s="10"/>
    </row>
    <row r="60" spans="1:42" ht="18.75" customHeight="1">
      <c r="B60" s="10"/>
      <c r="C60" s="10"/>
      <c r="D60" s="8"/>
      <c r="E60" s="10"/>
    </row>
    <row r="61" spans="1:42" ht="18.75" customHeight="1">
      <c r="B61" s="7"/>
      <c r="C61" s="10"/>
      <c r="D61" s="10"/>
      <c r="E61" s="10"/>
    </row>
    <row r="62" spans="1:42" ht="18.75" customHeight="1">
      <c r="B62" s="10"/>
      <c r="C62" s="10"/>
      <c r="D62" s="10"/>
      <c r="E62" s="10"/>
    </row>
    <row r="63" spans="1:42" ht="18.75" customHeight="1">
      <c r="B63" s="7"/>
      <c r="C63" s="10"/>
      <c r="D63" s="10"/>
      <c r="E63" s="10"/>
    </row>
    <row r="64" spans="1:42" ht="18.75" customHeight="1">
      <c r="B64" s="10"/>
      <c r="C64" s="10"/>
      <c r="D64" s="8"/>
      <c r="E64" s="10"/>
    </row>
    <row r="65" spans="2:5" ht="18.75" customHeight="1">
      <c r="B65" s="7"/>
      <c r="C65" s="10"/>
      <c r="D65" s="10"/>
      <c r="E65" s="10"/>
    </row>
    <row r="66" spans="2:5" ht="18.75" customHeight="1">
      <c r="B66" s="10"/>
      <c r="C66" s="10"/>
      <c r="D66" s="10"/>
      <c r="E66" s="10"/>
    </row>
    <row r="67" spans="2:5" ht="18.75" customHeight="1">
      <c r="B67" s="7"/>
      <c r="C67" s="10"/>
      <c r="D67" s="8"/>
      <c r="E67" s="10"/>
    </row>
    <row r="68" spans="2:5" ht="18.75" customHeight="1">
      <c r="B68" s="10"/>
      <c r="C68" s="10"/>
      <c r="D68" s="10"/>
      <c r="E68" s="10"/>
    </row>
    <row r="69" spans="2:5" ht="18.75" customHeight="1">
      <c r="B69" s="7"/>
      <c r="C69" s="10"/>
      <c r="D69" s="10"/>
      <c r="E69" s="10"/>
    </row>
    <row r="70" spans="2:5" ht="18.75" customHeight="1">
      <c r="B70" s="10"/>
      <c r="C70" s="10"/>
      <c r="D70" s="10"/>
      <c r="E70" s="10"/>
    </row>
    <row r="71" spans="2:5" ht="18.75" customHeight="1">
      <c r="B71" s="7"/>
      <c r="C71" s="10"/>
      <c r="D71" s="8"/>
      <c r="E71" s="10"/>
    </row>
    <row r="72" spans="2:5" ht="18.75" customHeight="1">
      <c r="B72" s="10"/>
      <c r="C72" s="10"/>
      <c r="D72" s="10"/>
      <c r="E72" s="10"/>
    </row>
    <row r="73" spans="2:5" ht="18.75" customHeight="1">
      <c r="B73" s="7"/>
      <c r="C73" s="10"/>
      <c r="D73" s="10"/>
      <c r="E73" s="10"/>
    </row>
    <row r="74" spans="2:5" ht="18.75" customHeight="1">
      <c r="B74" s="10"/>
      <c r="C74" s="10"/>
      <c r="D74" s="8"/>
      <c r="E74" s="10"/>
    </row>
    <row r="75" spans="2:5" ht="18.75" customHeight="1">
      <c r="B75" s="7"/>
      <c r="C75" s="10"/>
      <c r="D75" s="10"/>
      <c r="E75" s="10"/>
    </row>
    <row r="76" spans="2:5" ht="18.75" customHeight="1">
      <c r="B76" s="10"/>
      <c r="C76" s="10"/>
      <c r="D76" s="10"/>
      <c r="E76" s="10"/>
    </row>
    <row r="77" spans="2:5" ht="18.75" customHeight="1">
      <c r="B77" s="7"/>
      <c r="C77" s="10"/>
      <c r="D77" s="10"/>
      <c r="E77" s="10"/>
    </row>
    <row r="78" spans="2:5" ht="18.75" customHeight="1">
      <c r="B78" s="10"/>
      <c r="C78" s="10"/>
      <c r="D78" s="8"/>
      <c r="E78" s="10"/>
    </row>
    <row r="79" spans="2:5" ht="18.75" customHeight="1">
      <c r="B79" s="7"/>
      <c r="C79" s="10"/>
      <c r="D79" s="10"/>
      <c r="E79" s="10"/>
    </row>
    <row r="80" spans="2:5" ht="18.75" customHeight="1">
      <c r="B80" s="10"/>
      <c r="C80" s="10"/>
      <c r="D80" s="10"/>
      <c r="E80" s="10"/>
    </row>
    <row r="81" spans="2:5" ht="18.75" customHeight="1">
      <c r="B81" s="7"/>
      <c r="C81" s="10"/>
      <c r="D81" s="8"/>
      <c r="E81" s="10"/>
    </row>
    <row r="82" spans="2:5" ht="18.75" customHeight="1">
      <c r="B82" s="10"/>
      <c r="C82" s="10"/>
      <c r="D82" s="10"/>
      <c r="E82" s="10"/>
    </row>
    <row r="83" spans="2:5" ht="18.75" customHeight="1">
      <c r="B83" s="7"/>
      <c r="C83" s="10"/>
      <c r="D83" s="10"/>
      <c r="E83" s="10"/>
    </row>
    <row r="84" spans="2:5" ht="18.75" customHeight="1">
      <c r="B84" s="10"/>
      <c r="C84" s="10"/>
      <c r="D84" s="10"/>
      <c r="E84" s="10"/>
    </row>
    <row r="85" spans="2:5" ht="18.75" customHeight="1">
      <c r="B85" s="7"/>
      <c r="C85" s="10"/>
      <c r="D85" s="8"/>
      <c r="E85" s="10"/>
    </row>
    <row r="86" spans="2:5" ht="18.75" customHeight="1">
      <c r="B86" s="10"/>
      <c r="C86" s="10"/>
      <c r="D86" s="10"/>
      <c r="E86" s="10"/>
    </row>
    <row r="87" spans="2:5" ht="18.75" customHeight="1">
      <c r="B87" s="7"/>
      <c r="C87" s="10"/>
      <c r="D87" s="10"/>
      <c r="E87" s="10"/>
    </row>
    <row r="88" spans="2:5" ht="18.75" customHeight="1">
      <c r="B88" s="10"/>
      <c r="C88" s="10"/>
      <c r="D88" s="8"/>
      <c r="E88" s="10"/>
    </row>
    <row r="89" spans="2:5" ht="18.75" customHeight="1">
      <c r="B89" s="7"/>
      <c r="C89" s="10"/>
      <c r="D89" s="10"/>
      <c r="E89" s="10"/>
    </row>
    <row r="90" spans="2:5" ht="18.75" customHeight="1">
      <c r="B90" s="10"/>
      <c r="C90" s="10"/>
      <c r="D90" s="10"/>
      <c r="E90" s="10"/>
    </row>
    <row r="91" spans="2:5" ht="18.75" customHeight="1">
      <c r="B91" s="7"/>
      <c r="C91" s="10"/>
      <c r="D91" s="10"/>
      <c r="E91" s="10"/>
    </row>
    <row r="92" spans="2:5" ht="18.75" customHeight="1">
      <c r="B92" s="10"/>
      <c r="C92" s="10"/>
      <c r="D92" s="8"/>
      <c r="E92" s="10"/>
    </row>
    <row r="93" spans="2:5" ht="18.75" customHeight="1">
      <c r="B93" s="7"/>
      <c r="C93" s="10"/>
      <c r="D93" s="10"/>
      <c r="E93" s="10"/>
    </row>
    <row r="94" spans="2:5" ht="18.75" customHeight="1">
      <c r="B94" s="10"/>
      <c r="C94" s="10"/>
      <c r="D94" s="10"/>
      <c r="E94" s="10"/>
    </row>
    <row r="95" spans="2:5" ht="18.75" customHeight="1">
      <c r="B95" s="7"/>
      <c r="C95" s="10"/>
      <c r="D95" s="8"/>
      <c r="E95" s="10"/>
    </row>
    <row r="96" spans="2:5" ht="18.75" customHeight="1">
      <c r="B96" s="10"/>
      <c r="C96" s="10"/>
      <c r="D96" s="10"/>
      <c r="E96" s="10"/>
    </row>
    <row r="97" spans="2:5" ht="18.75" customHeight="1">
      <c r="B97" s="7"/>
      <c r="C97" s="10"/>
      <c r="D97" s="10"/>
      <c r="E97" s="10"/>
    </row>
    <row r="98" spans="2:5" ht="18.75" customHeight="1">
      <c r="B98" s="10"/>
      <c r="C98" s="10"/>
      <c r="D98" s="10"/>
      <c r="E98" s="10"/>
    </row>
    <row r="99" spans="2:5" ht="18.75" customHeight="1">
      <c r="B99" s="7"/>
      <c r="C99" s="10"/>
      <c r="D99" s="8"/>
      <c r="E99" s="10"/>
    </row>
    <row r="100" spans="2:5" ht="18.75" customHeight="1">
      <c r="B100" s="10"/>
      <c r="C100" s="10"/>
      <c r="D100" s="10"/>
      <c r="E100" s="10"/>
    </row>
    <row r="101" spans="2:5" ht="18.75" customHeight="1">
      <c r="B101" s="7"/>
      <c r="C101" s="10"/>
      <c r="D101" s="10"/>
      <c r="E101" s="10"/>
    </row>
    <row r="102" spans="2:5" ht="18.75" customHeight="1">
      <c r="B102" s="10"/>
      <c r="C102" s="10"/>
      <c r="D102" s="8"/>
      <c r="E102" s="10"/>
    </row>
    <row r="103" spans="2:5" ht="18.75" customHeight="1">
      <c r="B103" s="7"/>
      <c r="C103" s="10"/>
      <c r="D103" s="10"/>
      <c r="E103" s="10"/>
    </row>
    <row r="104" spans="2:5" ht="18.75" customHeight="1">
      <c r="B104" s="10"/>
      <c r="C104" s="10"/>
      <c r="D104" s="10"/>
      <c r="E104" s="10"/>
    </row>
    <row r="105" spans="2:5" ht="18.75" customHeight="1">
      <c r="B105" s="7"/>
      <c r="C105" s="10"/>
      <c r="D105" s="10"/>
      <c r="E105" s="10"/>
    </row>
    <row r="106" spans="2:5" ht="18.75" customHeight="1">
      <c r="B106" s="10"/>
      <c r="C106" s="10"/>
      <c r="D106" s="8"/>
      <c r="E106" s="10"/>
    </row>
    <row r="107" spans="2:5" ht="18.75" customHeight="1">
      <c r="B107" s="7"/>
      <c r="C107" s="10"/>
      <c r="D107" s="10"/>
      <c r="E107" s="10"/>
    </row>
    <row r="108" spans="2:5" ht="18.75" customHeight="1">
      <c r="B108" s="10"/>
      <c r="C108" s="10"/>
      <c r="D108" s="10"/>
      <c r="E108" s="10"/>
    </row>
    <row r="109" spans="2:5" ht="18.75" customHeight="1">
      <c r="B109" s="7"/>
      <c r="C109" s="10"/>
      <c r="D109" s="8"/>
      <c r="E109" s="10"/>
    </row>
    <row r="110" spans="2:5" ht="18.75" customHeight="1">
      <c r="B110" s="10"/>
      <c r="C110" s="10"/>
      <c r="D110" s="10"/>
      <c r="E110" s="10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8"/>
  <dataValidations count="1">
    <dataValidation type="list" allowBlank="1" showErrorMessage="1" sqref="B7:CU7" xr:uid="{0CE6C500-093F-C94A-A350-EE8A2AF370E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L1000"/>
  <sheetViews>
    <sheetView workbookViewId="0">
      <selection activeCell="F11" sqref="F11"/>
    </sheetView>
  </sheetViews>
  <sheetFormatPr defaultColWidth="12.625" defaultRowHeight="15" customHeight="1"/>
  <cols>
    <col min="1" max="1" width="7.625" customWidth="1"/>
    <col min="2" max="2" width="17" customWidth="1"/>
    <col min="3" max="3" width="19" customWidth="1"/>
    <col min="4" max="4" width="14.5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163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165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164</v>
      </c>
      <c r="D8" s="8" t="s">
        <v>470</v>
      </c>
      <c r="E8" s="8"/>
      <c r="F8" s="8"/>
      <c r="G8" s="8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13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10001</v>
      </c>
      <c r="C10" s="10" t="s">
        <v>166</v>
      </c>
      <c r="D10" s="10">
        <v>1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10002</v>
      </c>
      <c r="C11" s="10" t="s">
        <v>167</v>
      </c>
      <c r="D11" s="10">
        <v>1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10003</v>
      </c>
      <c r="C12" s="10" t="s">
        <v>168</v>
      </c>
      <c r="D12" s="10">
        <v>1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10004</v>
      </c>
      <c r="C13" s="10" t="s">
        <v>169</v>
      </c>
      <c r="D13" s="10">
        <v>1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10005</v>
      </c>
      <c r="C14" s="10" t="s">
        <v>170</v>
      </c>
      <c r="D14" s="10">
        <v>1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10006</v>
      </c>
      <c r="C15" s="10" t="s">
        <v>363</v>
      </c>
      <c r="D15" s="10">
        <v>1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20001</v>
      </c>
      <c r="C16" s="10" t="s">
        <v>469</v>
      </c>
      <c r="D16" s="10">
        <v>2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AP1000"/>
  <sheetViews>
    <sheetView topLeftCell="A64" workbookViewId="0">
      <selection activeCell="B85" sqref="B85:B89"/>
    </sheetView>
  </sheetViews>
  <sheetFormatPr defaultColWidth="12.625" defaultRowHeight="15" customHeight="1"/>
  <cols>
    <col min="1" max="1" width="7.625" customWidth="1"/>
    <col min="2" max="3" width="17" customWidth="1"/>
    <col min="4" max="4" width="19" customWidth="1"/>
    <col min="5" max="5" width="15.375" customWidth="1"/>
    <col min="6" max="6" width="15.5" customWidth="1"/>
    <col min="7" max="15" width="18.625" customWidth="1"/>
    <col min="16" max="16" width="18.375" customWidth="1"/>
    <col min="17" max="17" width="18.625" customWidth="1"/>
    <col min="18" max="19" width="18.375" customWidth="1"/>
    <col min="20" max="20" width="18.625" customWidth="1"/>
    <col min="21" max="22" width="18.375" customWidth="1"/>
    <col min="23" max="23" width="18.625" customWidth="1"/>
    <col min="24" max="24" width="15.125" customWidth="1"/>
    <col min="25" max="42" width="12.625" customWidth="1"/>
  </cols>
  <sheetData>
    <row r="1" spans="1:42" ht="12" customHeight="1"/>
    <row r="2" spans="1:42" ht="40.5" customHeight="1">
      <c r="A2" s="1" t="s">
        <v>0</v>
      </c>
      <c r="B2" s="2" t="s">
        <v>171</v>
      </c>
      <c r="C2" s="14"/>
      <c r="I2" s="12"/>
      <c r="P2" s="12"/>
    </row>
    <row r="3" spans="1:42" ht="18.75" customHeight="1">
      <c r="A3" s="3"/>
      <c r="B3" s="3" t="s">
        <v>2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</row>
    <row r="4" spans="1:42" ht="18.75" customHeight="1">
      <c r="A4" s="1" t="s">
        <v>3</v>
      </c>
      <c r="B4" s="5" t="s">
        <v>4</v>
      </c>
      <c r="C4" s="5" t="s">
        <v>172</v>
      </c>
      <c r="D4" s="5" t="s">
        <v>128</v>
      </c>
      <c r="E4" s="5" t="s">
        <v>305</v>
      </c>
      <c r="F4" s="5" t="s">
        <v>306</v>
      </c>
      <c r="G4" s="5" t="s">
        <v>367</v>
      </c>
      <c r="H4" s="5"/>
      <c r="I4" s="5"/>
      <c r="J4" s="5"/>
      <c r="K4" s="5"/>
      <c r="L4" s="5" t="s">
        <v>378</v>
      </c>
      <c r="M4" s="5"/>
      <c r="N4" s="5"/>
      <c r="O4" s="5"/>
      <c r="P4" s="5"/>
      <c r="Q4" s="5"/>
      <c r="R4" s="5" t="s">
        <v>381</v>
      </c>
      <c r="S4" s="5"/>
      <c r="T4" s="5"/>
      <c r="U4" s="5"/>
      <c r="V4" s="5"/>
      <c r="W4" s="5"/>
      <c r="X4" s="5" t="s">
        <v>481</v>
      </c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</row>
    <row r="5" spans="1:42" ht="18.75" customHeight="1">
      <c r="A5" s="1" t="s">
        <v>19</v>
      </c>
      <c r="B5" s="5"/>
      <c r="C5" s="5"/>
      <c r="D5" s="5"/>
      <c r="E5" s="5"/>
      <c r="F5" s="5"/>
      <c r="G5" s="5">
        <v>1</v>
      </c>
      <c r="H5" s="5">
        <v>2</v>
      </c>
      <c r="I5" s="5">
        <v>3</v>
      </c>
      <c r="J5" s="5">
        <v>4</v>
      </c>
      <c r="K5" s="5">
        <v>5</v>
      </c>
      <c r="L5" s="5">
        <v>1</v>
      </c>
      <c r="M5" s="5"/>
      <c r="N5" s="5"/>
      <c r="O5" s="5">
        <v>2</v>
      </c>
      <c r="P5" s="5"/>
      <c r="Q5" s="5"/>
      <c r="R5" s="5">
        <v>1</v>
      </c>
      <c r="S5" s="5"/>
      <c r="T5" s="5"/>
      <c r="U5" s="5">
        <v>2</v>
      </c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</row>
    <row r="6" spans="1:42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 t="s">
        <v>379</v>
      </c>
      <c r="M6" s="5" t="s">
        <v>380</v>
      </c>
      <c r="N6" s="5" t="s">
        <v>466</v>
      </c>
      <c r="O6" s="5" t="s">
        <v>379</v>
      </c>
      <c r="P6" s="5" t="s">
        <v>380</v>
      </c>
      <c r="Q6" s="5" t="s">
        <v>466</v>
      </c>
      <c r="R6" s="5" t="s">
        <v>379</v>
      </c>
      <c r="S6" s="5" t="s">
        <v>380</v>
      </c>
      <c r="T6" s="5" t="s">
        <v>466</v>
      </c>
      <c r="U6" s="5" t="s">
        <v>379</v>
      </c>
      <c r="V6" s="5" t="s">
        <v>380</v>
      </c>
      <c r="W6" s="5" t="s">
        <v>466</v>
      </c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2" ht="18.75" customHeight="1">
      <c r="A7" s="1" t="s">
        <v>32</v>
      </c>
      <c r="B7" s="6" t="s">
        <v>33</v>
      </c>
      <c r="C7" s="6" t="s">
        <v>141</v>
      </c>
      <c r="D7" s="6" t="s">
        <v>34</v>
      </c>
      <c r="E7" s="6" t="s">
        <v>141</v>
      </c>
      <c r="F7" s="6" t="s">
        <v>141</v>
      </c>
      <c r="G7" s="6" t="s">
        <v>141</v>
      </c>
      <c r="H7" s="6" t="s">
        <v>141</v>
      </c>
      <c r="I7" s="6" t="s">
        <v>141</v>
      </c>
      <c r="J7" s="6" t="s">
        <v>141</v>
      </c>
      <c r="K7" s="6" t="s">
        <v>141</v>
      </c>
      <c r="L7" s="6" t="s">
        <v>33</v>
      </c>
      <c r="M7" s="6" t="s">
        <v>33</v>
      </c>
      <c r="N7" s="6" t="s">
        <v>250</v>
      </c>
      <c r="O7" s="6" t="s">
        <v>33</v>
      </c>
      <c r="P7" s="6" t="s">
        <v>33</v>
      </c>
      <c r="Q7" s="6" t="s">
        <v>250</v>
      </c>
      <c r="R7" s="6" t="s">
        <v>33</v>
      </c>
      <c r="S7" s="6" t="s">
        <v>33</v>
      </c>
      <c r="T7" s="6" t="s">
        <v>250</v>
      </c>
      <c r="U7" s="6" t="s">
        <v>33</v>
      </c>
      <c r="V7" s="6" t="s">
        <v>33</v>
      </c>
      <c r="W7" s="6" t="s">
        <v>250</v>
      </c>
      <c r="X7" s="6" t="s">
        <v>141</v>
      </c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</row>
    <row r="8" spans="1:42" ht="76.5" customHeight="1">
      <c r="A8" s="1" t="s">
        <v>37</v>
      </c>
      <c r="B8" s="7" t="s">
        <v>38</v>
      </c>
      <c r="C8" s="7" t="s">
        <v>173</v>
      </c>
      <c r="D8" s="7" t="s">
        <v>174</v>
      </c>
      <c r="E8" s="8" t="s">
        <v>307</v>
      </c>
      <c r="F8" s="8" t="s">
        <v>308</v>
      </c>
      <c r="G8" s="8" t="s">
        <v>368</v>
      </c>
      <c r="H8" s="8"/>
      <c r="I8" s="8"/>
      <c r="J8" s="8"/>
      <c r="K8" s="8"/>
      <c r="L8" s="8" t="s">
        <v>382</v>
      </c>
      <c r="M8" s="8" t="s">
        <v>383</v>
      </c>
      <c r="N8" s="8" t="s">
        <v>467</v>
      </c>
      <c r="O8" s="8" t="s">
        <v>382</v>
      </c>
      <c r="P8" s="8" t="s">
        <v>383</v>
      </c>
      <c r="Q8" s="8" t="s">
        <v>467</v>
      </c>
      <c r="R8" s="8" t="s">
        <v>382</v>
      </c>
      <c r="S8" s="8" t="s">
        <v>383</v>
      </c>
      <c r="T8" s="8" t="s">
        <v>467</v>
      </c>
      <c r="U8" s="8" t="s">
        <v>382</v>
      </c>
      <c r="V8" s="8" t="s">
        <v>383</v>
      </c>
      <c r="W8" s="8" t="s">
        <v>467</v>
      </c>
      <c r="X8" s="7" t="s">
        <v>482</v>
      </c>
      <c r="Y8" s="7"/>
      <c r="Z8" s="7"/>
      <c r="AA8" s="7"/>
      <c r="AB8" s="7"/>
      <c r="AC8" s="7"/>
      <c r="AD8" s="7"/>
      <c r="AE8" s="7"/>
      <c r="AF8" s="8"/>
      <c r="AG8" s="8"/>
      <c r="AH8" s="7"/>
      <c r="AI8" s="7"/>
      <c r="AJ8" s="7"/>
      <c r="AK8" s="7"/>
      <c r="AL8" s="7"/>
      <c r="AM8" s="7"/>
      <c r="AN8" s="7"/>
      <c r="AO8" s="7"/>
      <c r="AP8" s="7"/>
    </row>
    <row r="9" spans="1:42" ht="132" customHeight="1">
      <c r="A9" s="1" t="s">
        <v>64</v>
      </c>
      <c r="B9" s="29"/>
      <c r="C9" s="29"/>
      <c r="D9" s="30"/>
      <c r="E9" s="31"/>
      <c r="F9" s="30"/>
      <c r="G9" s="30"/>
      <c r="H9" s="30"/>
      <c r="I9" s="29"/>
      <c r="J9" s="29"/>
      <c r="K9" s="31"/>
      <c r="L9" s="30" t="s">
        <v>468</v>
      </c>
      <c r="M9" s="30"/>
      <c r="N9" s="30"/>
      <c r="O9" s="30" t="s">
        <v>468</v>
      </c>
      <c r="P9" s="30"/>
      <c r="Q9" s="30"/>
      <c r="R9" s="30" t="s">
        <v>468</v>
      </c>
      <c r="S9" s="29"/>
      <c r="T9" s="30"/>
      <c r="U9" s="30" t="s">
        <v>468</v>
      </c>
      <c r="V9" s="30"/>
      <c r="W9" s="30"/>
      <c r="X9" s="30"/>
      <c r="Y9" s="30"/>
      <c r="Z9" s="30"/>
      <c r="AA9" s="30"/>
      <c r="AB9" s="30"/>
      <c r="AC9" s="30"/>
      <c r="AD9" s="29"/>
      <c r="AE9" s="29"/>
      <c r="AF9" s="30"/>
      <c r="AG9" s="30"/>
      <c r="AH9" s="30"/>
      <c r="AI9" s="8"/>
      <c r="AJ9" s="8"/>
      <c r="AK9" s="8"/>
      <c r="AL9" s="8"/>
      <c r="AM9" s="8"/>
      <c r="AN9" s="8"/>
      <c r="AO9" s="8"/>
      <c r="AP9" s="8"/>
    </row>
    <row r="10" spans="1:42" ht="18.75" customHeight="1">
      <c r="A10" s="9" t="s">
        <v>70</v>
      </c>
      <c r="B10" s="23">
        <v>100010001</v>
      </c>
      <c r="C10" s="23">
        <v>10001</v>
      </c>
      <c r="D10" s="23" t="s">
        <v>175</v>
      </c>
      <c r="E10" s="23">
        <v>2001001</v>
      </c>
      <c r="F10" s="23">
        <v>1001001</v>
      </c>
      <c r="G10" s="32">
        <v>100010001001</v>
      </c>
      <c r="H10" s="23"/>
      <c r="I10" s="23"/>
      <c r="J10" s="33"/>
      <c r="K10" s="33"/>
      <c r="L10" s="23"/>
      <c r="M10" s="33"/>
      <c r="N10" s="34"/>
      <c r="O10" s="23"/>
      <c r="P10" s="23"/>
      <c r="Q10" s="33"/>
      <c r="R10" s="23"/>
      <c r="S10" s="33"/>
      <c r="T10" s="33"/>
      <c r="U10" s="23"/>
      <c r="V10" s="23"/>
      <c r="W10" s="33"/>
      <c r="X10" s="23">
        <v>1</v>
      </c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6"/>
      <c r="AJ10" s="10"/>
      <c r="AK10" s="10"/>
      <c r="AL10" s="10"/>
      <c r="AM10" s="10"/>
      <c r="AN10" s="10"/>
      <c r="AO10" s="10"/>
      <c r="AP10" s="10"/>
    </row>
    <row r="11" spans="1:42" ht="18.75" customHeight="1">
      <c r="A11" s="11"/>
      <c r="B11" s="23">
        <v>100020001</v>
      </c>
      <c r="C11" s="23">
        <v>10002</v>
      </c>
      <c r="D11" s="23" t="s">
        <v>176</v>
      </c>
      <c r="E11" s="23">
        <v>2002001</v>
      </c>
      <c r="F11" s="23">
        <v>1002001</v>
      </c>
      <c r="G11" s="32">
        <v>100020001001</v>
      </c>
      <c r="H11" s="23"/>
      <c r="I11" s="23"/>
      <c r="J11" s="23"/>
      <c r="K11" s="23"/>
      <c r="L11" s="23"/>
      <c r="M11" s="23"/>
      <c r="N11" s="35"/>
      <c r="O11" s="23"/>
      <c r="P11" s="23"/>
      <c r="Q11" s="23"/>
      <c r="R11" s="23">
        <v>1</v>
      </c>
      <c r="S11" s="23">
        <v>100010001</v>
      </c>
      <c r="T11" s="23"/>
      <c r="U11" s="23"/>
      <c r="V11" s="23"/>
      <c r="W11" s="23"/>
      <c r="X11" s="23">
        <v>2</v>
      </c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6"/>
      <c r="AJ11" s="10"/>
      <c r="AK11" s="10"/>
      <c r="AL11" s="10"/>
      <c r="AM11" s="10"/>
      <c r="AN11" s="10"/>
      <c r="AO11" s="10"/>
      <c r="AP11" s="10"/>
    </row>
    <row r="12" spans="1:42" ht="18.75" customHeight="1">
      <c r="A12" s="11"/>
      <c r="B12" s="23">
        <v>100020002</v>
      </c>
      <c r="C12" s="23">
        <v>10002</v>
      </c>
      <c r="D12" s="23" t="s">
        <v>177</v>
      </c>
      <c r="E12" s="23">
        <v>2002002</v>
      </c>
      <c r="F12" s="23">
        <v>1002002</v>
      </c>
      <c r="G12" s="32">
        <v>100020001001</v>
      </c>
      <c r="H12" s="32">
        <v>100020001001</v>
      </c>
      <c r="I12" s="23"/>
      <c r="J12" s="23"/>
      <c r="K12" s="23"/>
      <c r="L12" s="23"/>
      <c r="M12" s="23"/>
      <c r="N12" s="35"/>
      <c r="O12" s="23"/>
      <c r="P12" s="23"/>
      <c r="Q12" s="23"/>
      <c r="R12" s="23">
        <v>1</v>
      </c>
      <c r="S12" s="23">
        <v>100020001</v>
      </c>
      <c r="T12" s="23"/>
      <c r="U12" s="23"/>
      <c r="V12" s="23"/>
      <c r="W12" s="23"/>
      <c r="X12" s="23">
        <v>3</v>
      </c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6"/>
      <c r="AJ12" s="10"/>
      <c r="AK12" s="10"/>
      <c r="AL12" s="10"/>
      <c r="AM12" s="10"/>
      <c r="AN12" s="10"/>
      <c r="AO12" s="10"/>
      <c r="AP12" s="10"/>
    </row>
    <row r="13" spans="1:42" ht="18.75" customHeight="1">
      <c r="A13" s="11"/>
      <c r="B13" s="23">
        <v>100020003</v>
      </c>
      <c r="C13" s="23">
        <v>10002</v>
      </c>
      <c r="D13" s="23" t="s">
        <v>178</v>
      </c>
      <c r="E13" s="23">
        <v>2001001</v>
      </c>
      <c r="F13" s="23">
        <v>1001001</v>
      </c>
      <c r="G13" s="32">
        <v>100020001001</v>
      </c>
      <c r="H13" s="32">
        <v>100020001001</v>
      </c>
      <c r="I13" s="32">
        <v>100020001001</v>
      </c>
      <c r="J13" s="23"/>
      <c r="K13" s="23"/>
      <c r="L13" s="23"/>
      <c r="M13" s="23"/>
      <c r="N13" s="35"/>
      <c r="O13" s="23"/>
      <c r="P13" s="23"/>
      <c r="Q13" s="23"/>
      <c r="R13" s="23">
        <v>1</v>
      </c>
      <c r="S13" s="23">
        <v>100020002</v>
      </c>
      <c r="T13" s="23"/>
      <c r="U13" s="23"/>
      <c r="V13" s="23"/>
      <c r="W13" s="23"/>
      <c r="X13" s="23">
        <v>4</v>
      </c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6"/>
      <c r="AJ13" s="10"/>
      <c r="AK13" s="10"/>
      <c r="AL13" s="10"/>
      <c r="AM13" s="10"/>
      <c r="AN13" s="10"/>
      <c r="AO13" s="10"/>
      <c r="AP13" s="10"/>
    </row>
    <row r="14" spans="1:42" ht="18.75" customHeight="1">
      <c r="A14" s="11"/>
      <c r="B14" s="23">
        <v>100020004</v>
      </c>
      <c r="C14" s="23">
        <v>10002</v>
      </c>
      <c r="D14" s="23" t="s">
        <v>179</v>
      </c>
      <c r="E14" s="23">
        <v>2002001</v>
      </c>
      <c r="F14" s="23">
        <v>1002001</v>
      </c>
      <c r="G14" s="32">
        <v>100020001001</v>
      </c>
      <c r="H14" s="32">
        <v>100020001001</v>
      </c>
      <c r="I14" s="32">
        <v>100020001001</v>
      </c>
      <c r="J14" s="32">
        <v>100020001001</v>
      </c>
      <c r="K14" s="23"/>
      <c r="L14" s="23"/>
      <c r="M14" s="23"/>
      <c r="N14" s="35"/>
      <c r="O14" s="23"/>
      <c r="P14" s="23"/>
      <c r="Q14" s="23"/>
      <c r="R14" s="23">
        <v>1</v>
      </c>
      <c r="S14" s="23">
        <v>100020003</v>
      </c>
      <c r="T14" s="23"/>
      <c r="U14" s="23"/>
      <c r="V14" s="23"/>
      <c r="W14" s="23"/>
      <c r="X14" s="23">
        <v>5</v>
      </c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6"/>
      <c r="AJ14" s="10"/>
      <c r="AK14" s="10"/>
      <c r="AL14" s="10"/>
      <c r="AM14" s="10"/>
      <c r="AN14" s="10"/>
      <c r="AO14" s="10"/>
      <c r="AP14" s="10"/>
    </row>
    <row r="15" spans="1:42" ht="18.75" customHeight="1">
      <c r="A15" s="11"/>
      <c r="B15" s="23">
        <v>100020005</v>
      </c>
      <c r="C15" s="23">
        <v>10002</v>
      </c>
      <c r="D15" s="23" t="s">
        <v>180</v>
      </c>
      <c r="E15" s="23">
        <v>2002002</v>
      </c>
      <c r="F15" s="23">
        <v>1002002</v>
      </c>
      <c r="G15" s="32">
        <v>100020001001</v>
      </c>
      <c r="H15" s="32">
        <v>100020001001</v>
      </c>
      <c r="I15" s="32">
        <v>100020001001</v>
      </c>
      <c r="J15" s="32">
        <v>100020001001</v>
      </c>
      <c r="K15" s="32">
        <v>100020001001</v>
      </c>
      <c r="L15" s="23"/>
      <c r="M15" s="23"/>
      <c r="N15" s="35"/>
      <c r="O15" s="23"/>
      <c r="P15" s="23"/>
      <c r="Q15" s="23"/>
      <c r="R15" s="23">
        <v>1</v>
      </c>
      <c r="S15" s="23">
        <v>100020004</v>
      </c>
      <c r="T15" s="23"/>
      <c r="U15" s="23"/>
      <c r="V15" s="23"/>
      <c r="W15" s="23"/>
      <c r="X15" s="23">
        <v>6</v>
      </c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6"/>
      <c r="AJ15" s="10"/>
      <c r="AK15" s="10"/>
      <c r="AL15" s="10"/>
      <c r="AM15" s="10"/>
      <c r="AN15" s="10"/>
      <c r="AO15" s="10"/>
      <c r="AP15" s="10"/>
    </row>
    <row r="16" spans="1:42" ht="18.75" customHeight="1">
      <c r="A16" s="11"/>
      <c r="B16" s="23">
        <v>100020006</v>
      </c>
      <c r="C16" s="23">
        <v>10002</v>
      </c>
      <c r="D16" s="23" t="s">
        <v>181</v>
      </c>
      <c r="E16" s="23">
        <v>2001001</v>
      </c>
      <c r="F16" s="23">
        <v>1001001</v>
      </c>
      <c r="G16" s="32">
        <v>100020001001</v>
      </c>
      <c r="H16" s="23"/>
      <c r="I16" s="23"/>
      <c r="J16" s="33"/>
      <c r="K16" s="33"/>
      <c r="L16" s="23"/>
      <c r="M16" s="23"/>
      <c r="N16" s="35"/>
      <c r="O16" s="23"/>
      <c r="P16" s="23"/>
      <c r="Q16" s="23"/>
      <c r="R16" s="23">
        <v>1</v>
      </c>
      <c r="S16" s="23">
        <v>100020005</v>
      </c>
      <c r="T16" s="23"/>
      <c r="U16" s="23"/>
      <c r="V16" s="23"/>
      <c r="W16" s="23"/>
      <c r="X16" s="23">
        <v>7</v>
      </c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6"/>
      <c r="AJ16" s="10"/>
      <c r="AK16" s="10"/>
      <c r="AL16" s="10"/>
      <c r="AM16" s="10"/>
      <c r="AN16" s="10"/>
      <c r="AO16" s="10"/>
      <c r="AP16" s="10"/>
    </row>
    <row r="17" spans="1:42" ht="18.75" customHeight="1">
      <c r="A17" s="11"/>
      <c r="B17" s="23">
        <v>100020007</v>
      </c>
      <c r="C17" s="23">
        <v>10002</v>
      </c>
      <c r="D17" s="23" t="s">
        <v>182</v>
      </c>
      <c r="E17" s="23">
        <v>2002001</v>
      </c>
      <c r="F17" s="23">
        <v>1002001</v>
      </c>
      <c r="G17" s="32">
        <v>100020001001</v>
      </c>
      <c r="H17" s="23"/>
      <c r="I17" s="23"/>
      <c r="J17" s="23"/>
      <c r="K17" s="23"/>
      <c r="L17" s="23"/>
      <c r="M17" s="23"/>
      <c r="N17" s="35"/>
      <c r="O17" s="23"/>
      <c r="P17" s="23"/>
      <c r="Q17" s="23"/>
      <c r="R17" s="23">
        <v>1</v>
      </c>
      <c r="S17" s="23">
        <v>100020006</v>
      </c>
      <c r="T17" s="23"/>
      <c r="U17" s="23"/>
      <c r="V17" s="23"/>
      <c r="W17" s="23"/>
      <c r="X17" s="23">
        <v>8</v>
      </c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6"/>
      <c r="AJ17" s="10"/>
      <c r="AK17" s="10"/>
      <c r="AL17" s="10"/>
      <c r="AM17" s="10"/>
      <c r="AN17" s="10"/>
      <c r="AO17" s="10"/>
      <c r="AP17" s="10"/>
    </row>
    <row r="18" spans="1:42" ht="18.75" customHeight="1">
      <c r="A18" s="11"/>
      <c r="B18" s="23">
        <v>100020008</v>
      </c>
      <c r="C18" s="23">
        <v>10002</v>
      </c>
      <c r="D18" s="23" t="s">
        <v>183</v>
      </c>
      <c r="E18" s="23">
        <v>2002002</v>
      </c>
      <c r="F18" s="23">
        <v>1002002</v>
      </c>
      <c r="G18" s="32">
        <v>100020001001</v>
      </c>
      <c r="H18" s="23"/>
      <c r="I18" s="23"/>
      <c r="J18" s="23"/>
      <c r="K18" s="23"/>
      <c r="L18" s="23"/>
      <c r="M18" s="23"/>
      <c r="N18" s="35"/>
      <c r="O18" s="23"/>
      <c r="P18" s="23"/>
      <c r="Q18" s="23"/>
      <c r="R18" s="23">
        <v>1</v>
      </c>
      <c r="S18" s="23">
        <v>100020007</v>
      </c>
      <c r="T18" s="23"/>
      <c r="U18" s="23"/>
      <c r="V18" s="23"/>
      <c r="W18" s="23"/>
      <c r="X18" s="23">
        <v>9</v>
      </c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6"/>
      <c r="AJ18" s="10"/>
      <c r="AK18" s="10"/>
      <c r="AL18" s="10"/>
      <c r="AM18" s="10"/>
      <c r="AN18" s="10"/>
      <c r="AO18" s="10"/>
      <c r="AP18" s="10"/>
    </row>
    <row r="19" spans="1:42" ht="18.75" customHeight="1">
      <c r="A19" s="11"/>
      <c r="B19" s="23">
        <v>100020009</v>
      </c>
      <c r="C19" s="23">
        <v>10002</v>
      </c>
      <c r="D19" s="23" t="s">
        <v>184</v>
      </c>
      <c r="E19" s="23">
        <v>2001001</v>
      </c>
      <c r="F19" s="23">
        <v>1001001</v>
      </c>
      <c r="G19" s="32">
        <v>100020001001</v>
      </c>
      <c r="H19" s="23"/>
      <c r="I19" s="23"/>
      <c r="J19" s="23"/>
      <c r="K19" s="23"/>
      <c r="L19" s="23"/>
      <c r="M19" s="23"/>
      <c r="N19" s="35"/>
      <c r="O19" s="23"/>
      <c r="P19" s="23"/>
      <c r="Q19" s="23"/>
      <c r="R19" s="23">
        <v>1</v>
      </c>
      <c r="S19" s="23">
        <v>100020008</v>
      </c>
      <c r="T19" s="23"/>
      <c r="U19" s="23"/>
      <c r="V19" s="23"/>
      <c r="W19" s="23"/>
      <c r="X19" s="23">
        <v>10</v>
      </c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6"/>
      <c r="AJ19" s="10"/>
      <c r="AK19" s="10"/>
      <c r="AL19" s="10"/>
      <c r="AM19" s="10"/>
      <c r="AN19" s="10"/>
      <c r="AO19" s="10"/>
      <c r="AP19" s="10"/>
    </row>
    <row r="20" spans="1:42" ht="18.75" customHeight="1">
      <c r="A20" s="11"/>
      <c r="B20" s="23">
        <v>100020010</v>
      </c>
      <c r="C20" s="23">
        <v>10002</v>
      </c>
      <c r="D20" s="23" t="s">
        <v>185</v>
      </c>
      <c r="E20" s="23">
        <v>2002001</v>
      </c>
      <c r="F20" s="23">
        <v>1002001</v>
      </c>
      <c r="G20" s="32">
        <v>100020001001</v>
      </c>
      <c r="H20" s="23"/>
      <c r="I20" s="23"/>
      <c r="J20" s="23"/>
      <c r="K20" s="23"/>
      <c r="L20" s="23"/>
      <c r="M20" s="23"/>
      <c r="N20" s="35"/>
      <c r="O20" s="23"/>
      <c r="P20" s="23"/>
      <c r="Q20" s="23"/>
      <c r="R20" s="23">
        <v>1</v>
      </c>
      <c r="S20" s="23">
        <v>100020009</v>
      </c>
      <c r="T20" s="23"/>
      <c r="U20" s="23"/>
      <c r="V20" s="23"/>
      <c r="W20" s="23"/>
      <c r="X20" s="23">
        <v>10</v>
      </c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6"/>
      <c r="AJ20" s="10"/>
      <c r="AK20" s="10"/>
      <c r="AL20" s="10"/>
      <c r="AM20" s="10"/>
      <c r="AN20" s="10"/>
      <c r="AO20" s="10"/>
      <c r="AP20" s="10"/>
    </row>
    <row r="21" spans="1:42" ht="18.75" customHeight="1">
      <c r="A21" s="11"/>
      <c r="B21" s="23">
        <v>100020011</v>
      </c>
      <c r="C21" s="23">
        <v>10002</v>
      </c>
      <c r="D21" s="23" t="s">
        <v>186</v>
      </c>
      <c r="E21" s="23">
        <v>2002002</v>
      </c>
      <c r="F21" s="23">
        <v>1002002</v>
      </c>
      <c r="G21" s="32">
        <v>100020001001</v>
      </c>
      <c r="H21" s="23"/>
      <c r="I21" s="23"/>
      <c r="J21" s="23"/>
      <c r="K21" s="23"/>
      <c r="L21" s="23"/>
      <c r="M21" s="23"/>
      <c r="N21" s="35"/>
      <c r="O21" s="23"/>
      <c r="P21" s="23"/>
      <c r="Q21" s="23"/>
      <c r="R21" s="23">
        <v>1</v>
      </c>
      <c r="S21" s="23">
        <v>100020010</v>
      </c>
      <c r="T21" s="23"/>
      <c r="U21" s="23"/>
      <c r="V21" s="23"/>
      <c r="W21" s="23"/>
      <c r="X21" s="23">
        <v>10</v>
      </c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6"/>
      <c r="AJ21" s="10"/>
      <c r="AK21" s="10"/>
      <c r="AL21" s="10"/>
      <c r="AM21" s="10"/>
      <c r="AN21" s="10"/>
      <c r="AO21" s="10"/>
      <c r="AP21" s="10"/>
    </row>
    <row r="22" spans="1:42" ht="18.75" customHeight="1">
      <c r="A22" s="11"/>
      <c r="B22" s="23">
        <v>100020012</v>
      </c>
      <c r="C22" s="23">
        <v>10002</v>
      </c>
      <c r="D22" s="23" t="s">
        <v>187</v>
      </c>
      <c r="E22" s="23">
        <v>2001001</v>
      </c>
      <c r="F22" s="23">
        <v>1001001</v>
      </c>
      <c r="G22" s="32">
        <v>100020001001</v>
      </c>
      <c r="H22" s="23"/>
      <c r="I22" s="23"/>
      <c r="J22" s="33"/>
      <c r="K22" s="33"/>
      <c r="L22" s="23"/>
      <c r="M22" s="23"/>
      <c r="N22" s="35"/>
      <c r="O22" s="23"/>
      <c r="P22" s="23"/>
      <c r="Q22" s="23"/>
      <c r="R22" s="23">
        <v>1</v>
      </c>
      <c r="S22" s="23">
        <v>100020011</v>
      </c>
      <c r="T22" s="23"/>
      <c r="U22" s="23"/>
      <c r="V22" s="23"/>
      <c r="W22" s="23"/>
      <c r="X22" s="23">
        <v>10</v>
      </c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6"/>
      <c r="AJ22" s="10"/>
      <c r="AK22" s="10"/>
      <c r="AL22" s="10"/>
      <c r="AM22" s="10"/>
      <c r="AN22" s="10"/>
      <c r="AO22" s="10"/>
      <c r="AP22" s="10"/>
    </row>
    <row r="23" spans="1:42" ht="18.75" customHeight="1">
      <c r="A23" s="11"/>
      <c r="B23" s="23">
        <v>100020013</v>
      </c>
      <c r="C23" s="23">
        <v>10002</v>
      </c>
      <c r="D23" s="23" t="s">
        <v>188</v>
      </c>
      <c r="E23" s="23">
        <v>2002001</v>
      </c>
      <c r="F23" s="23">
        <v>1002001</v>
      </c>
      <c r="G23" s="32">
        <v>100020001001</v>
      </c>
      <c r="H23" s="23"/>
      <c r="I23" s="23"/>
      <c r="J23" s="23"/>
      <c r="K23" s="23"/>
      <c r="L23" s="23"/>
      <c r="M23" s="23"/>
      <c r="N23" s="35"/>
      <c r="O23" s="23"/>
      <c r="P23" s="23"/>
      <c r="Q23" s="23"/>
      <c r="R23" s="23">
        <v>1</v>
      </c>
      <c r="S23" s="23">
        <v>100020012</v>
      </c>
      <c r="T23" s="23"/>
      <c r="U23" s="23"/>
      <c r="V23" s="23"/>
      <c r="W23" s="23"/>
      <c r="X23" s="23">
        <v>10</v>
      </c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6"/>
      <c r="AJ23" s="10"/>
      <c r="AK23" s="10"/>
      <c r="AL23" s="10"/>
      <c r="AM23" s="10"/>
      <c r="AN23" s="10"/>
      <c r="AO23" s="10"/>
      <c r="AP23" s="10"/>
    </row>
    <row r="24" spans="1:42" ht="18.75" customHeight="1">
      <c r="A24" s="11"/>
      <c r="B24" s="23">
        <v>100020014</v>
      </c>
      <c r="C24" s="23">
        <v>10002</v>
      </c>
      <c r="D24" s="23" t="s">
        <v>189</v>
      </c>
      <c r="E24" s="23">
        <v>2002002</v>
      </c>
      <c r="F24" s="23">
        <v>1002002</v>
      </c>
      <c r="G24" s="32">
        <v>100020001001</v>
      </c>
      <c r="H24" s="23"/>
      <c r="I24" s="23"/>
      <c r="J24" s="23"/>
      <c r="K24" s="23"/>
      <c r="L24" s="23"/>
      <c r="M24" s="23"/>
      <c r="N24" s="35"/>
      <c r="O24" s="23"/>
      <c r="P24" s="23"/>
      <c r="Q24" s="23"/>
      <c r="R24" s="23">
        <v>1</v>
      </c>
      <c r="S24" s="23">
        <v>100020013</v>
      </c>
      <c r="T24" s="23"/>
      <c r="U24" s="23"/>
      <c r="V24" s="23"/>
      <c r="W24" s="23"/>
      <c r="X24" s="23">
        <v>10</v>
      </c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6"/>
      <c r="AJ24" s="10"/>
      <c r="AK24" s="10"/>
      <c r="AL24" s="10"/>
      <c r="AM24" s="10"/>
      <c r="AN24" s="10"/>
      <c r="AO24" s="10"/>
      <c r="AP24" s="10"/>
    </row>
    <row r="25" spans="1:42" ht="18.75" customHeight="1">
      <c r="A25" s="11"/>
      <c r="B25" s="23">
        <v>100020015</v>
      </c>
      <c r="C25" s="23">
        <v>10002</v>
      </c>
      <c r="D25" s="23" t="s">
        <v>190</v>
      </c>
      <c r="E25" s="23">
        <v>2001001</v>
      </c>
      <c r="F25" s="23">
        <v>1001001</v>
      </c>
      <c r="G25" s="32">
        <v>100020001001</v>
      </c>
      <c r="H25" s="23"/>
      <c r="I25" s="23"/>
      <c r="J25" s="23"/>
      <c r="K25" s="23"/>
      <c r="L25" s="23"/>
      <c r="M25" s="23"/>
      <c r="N25" s="35"/>
      <c r="O25" s="23"/>
      <c r="P25" s="23"/>
      <c r="Q25" s="23"/>
      <c r="R25" s="23">
        <v>1</v>
      </c>
      <c r="S25" s="23">
        <v>100020014</v>
      </c>
      <c r="T25" s="23"/>
      <c r="U25" s="23"/>
      <c r="V25" s="23"/>
      <c r="W25" s="23"/>
      <c r="X25" s="23">
        <v>10</v>
      </c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6"/>
      <c r="AJ25" s="10"/>
      <c r="AK25" s="10"/>
      <c r="AL25" s="10"/>
      <c r="AM25" s="10"/>
      <c r="AN25" s="10"/>
      <c r="AO25" s="10"/>
      <c r="AP25" s="10"/>
    </row>
    <row r="26" spans="1:42" ht="18.75" customHeight="1">
      <c r="A26" s="11"/>
      <c r="B26" s="23">
        <v>100030001</v>
      </c>
      <c r="C26" s="23">
        <v>10003</v>
      </c>
      <c r="D26" s="23" t="s">
        <v>191</v>
      </c>
      <c r="E26" s="23">
        <v>2002001</v>
      </c>
      <c r="F26" s="23">
        <v>1002001</v>
      </c>
      <c r="G26" s="32">
        <v>100020001001</v>
      </c>
      <c r="H26" s="23"/>
      <c r="I26" s="23"/>
      <c r="J26" s="23"/>
      <c r="K26" s="23"/>
      <c r="L26" s="23"/>
      <c r="M26" s="23"/>
      <c r="N26" s="35"/>
      <c r="O26" s="23"/>
      <c r="P26" s="23"/>
      <c r="Q26" s="23"/>
      <c r="R26" s="23">
        <v>1</v>
      </c>
      <c r="S26" s="23">
        <v>100020015</v>
      </c>
      <c r="T26" s="23"/>
      <c r="U26" s="23"/>
      <c r="V26" s="23"/>
      <c r="W26" s="23"/>
      <c r="X26" s="23">
        <v>10</v>
      </c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6"/>
      <c r="AJ26" s="10"/>
      <c r="AK26" s="10"/>
      <c r="AL26" s="10"/>
      <c r="AM26" s="10"/>
      <c r="AN26" s="10"/>
      <c r="AO26" s="10"/>
      <c r="AP26" s="10"/>
    </row>
    <row r="27" spans="1:42" ht="18.75" customHeight="1">
      <c r="A27" s="11"/>
      <c r="B27" s="23">
        <v>100030002</v>
      </c>
      <c r="C27" s="23">
        <v>10003</v>
      </c>
      <c r="D27" s="23" t="s">
        <v>192</v>
      </c>
      <c r="E27" s="23">
        <v>2002002</v>
      </c>
      <c r="F27" s="23">
        <v>1002002</v>
      </c>
      <c r="G27" s="32">
        <v>100020001001</v>
      </c>
      <c r="H27" s="23"/>
      <c r="I27" s="23"/>
      <c r="J27" s="23"/>
      <c r="K27" s="23"/>
      <c r="L27" s="23"/>
      <c r="M27" s="23"/>
      <c r="N27" s="35"/>
      <c r="O27" s="23"/>
      <c r="P27" s="23"/>
      <c r="Q27" s="23"/>
      <c r="R27" s="23">
        <v>1</v>
      </c>
      <c r="S27" s="23">
        <v>100030001</v>
      </c>
      <c r="T27" s="23"/>
      <c r="U27" s="23"/>
      <c r="V27" s="23"/>
      <c r="W27" s="23"/>
      <c r="X27" s="23">
        <v>10</v>
      </c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6"/>
      <c r="AJ27" s="10"/>
      <c r="AK27" s="10"/>
      <c r="AL27" s="10"/>
      <c r="AM27" s="10"/>
      <c r="AN27" s="10"/>
      <c r="AO27" s="10"/>
      <c r="AP27" s="10"/>
    </row>
    <row r="28" spans="1:42" ht="18.75" customHeight="1">
      <c r="A28" s="11"/>
      <c r="B28" s="23">
        <v>100030003</v>
      </c>
      <c r="C28" s="23">
        <v>10003</v>
      </c>
      <c r="D28" s="23" t="s">
        <v>193</v>
      </c>
      <c r="E28" s="23">
        <v>2001001</v>
      </c>
      <c r="F28" s="23">
        <v>1001001</v>
      </c>
      <c r="G28" s="32">
        <v>100020001001</v>
      </c>
      <c r="H28" s="23"/>
      <c r="I28" s="23"/>
      <c r="J28" s="33"/>
      <c r="K28" s="33"/>
      <c r="L28" s="23"/>
      <c r="M28" s="33"/>
      <c r="N28" s="34"/>
      <c r="O28" s="23"/>
      <c r="P28" s="23"/>
      <c r="Q28" s="33"/>
      <c r="R28" s="23">
        <v>1</v>
      </c>
      <c r="S28" s="33">
        <v>100030002</v>
      </c>
      <c r="T28" s="33"/>
      <c r="U28" s="23"/>
      <c r="V28" s="23"/>
      <c r="W28" s="33"/>
      <c r="X28" s="23">
        <v>10</v>
      </c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6"/>
      <c r="AJ28" s="10"/>
      <c r="AK28" s="10"/>
      <c r="AL28" s="10"/>
      <c r="AM28" s="10"/>
      <c r="AN28" s="10"/>
      <c r="AO28" s="10"/>
      <c r="AP28" s="10"/>
    </row>
    <row r="29" spans="1:42" ht="18.75" customHeight="1">
      <c r="A29" s="11"/>
      <c r="B29" s="23">
        <v>100030004</v>
      </c>
      <c r="C29" s="23">
        <v>10003</v>
      </c>
      <c r="D29" s="23" t="s">
        <v>194</v>
      </c>
      <c r="E29" s="23">
        <v>2002001</v>
      </c>
      <c r="F29" s="23">
        <v>1002001</v>
      </c>
      <c r="G29" s="32">
        <v>100020001001</v>
      </c>
      <c r="H29" s="23"/>
      <c r="I29" s="23"/>
      <c r="J29" s="23"/>
      <c r="K29" s="23"/>
      <c r="L29" s="23"/>
      <c r="M29" s="23"/>
      <c r="N29" s="35"/>
      <c r="O29" s="23"/>
      <c r="P29" s="23"/>
      <c r="Q29" s="23"/>
      <c r="R29" s="23">
        <v>1</v>
      </c>
      <c r="S29" s="23">
        <v>100030003</v>
      </c>
      <c r="T29" s="23"/>
      <c r="U29" s="23"/>
      <c r="V29" s="23"/>
      <c r="W29" s="23"/>
      <c r="X29" s="23">
        <v>10</v>
      </c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6"/>
      <c r="AJ29" s="10"/>
      <c r="AK29" s="10"/>
      <c r="AL29" s="10"/>
      <c r="AM29" s="10"/>
      <c r="AN29" s="10"/>
      <c r="AO29" s="10"/>
      <c r="AP29" s="10"/>
    </row>
    <row r="30" spans="1:42" ht="18.75" customHeight="1">
      <c r="A30" s="11"/>
      <c r="B30" s="23">
        <v>100030005</v>
      </c>
      <c r="C30" s="23">
        <v>10003</v>
      </c>
      <c r="D30" s="23" t="s">
        <v>195</v>
      </c>
      <c r="E30" s="23">
        <v>2002002</v>
      </c>
      <c r="F30" s="23">
        <v>1002002</v>
      </c>
      <c r="G30" s="32">
        <v>100020001001</v>
      </c>
      <c r="H30" s="23"/>
      <c r="I30" s="23"/>
      <c r="J30" s="23"/>
      <c r="K30" s="23"/>
      <c r="L30" s="23"/>
      <c r="M30" s="23"/>
      <c r="N30" s="35"/>
      <c r="O30" s="23"/>
      <c r="P30" s="23"/>
      <c r="Q30" s="23"/>
      <c r="R30" s="23">
        <v>1</v>
      </c>
      <c r="S30" s="23">
        <v>100030004</v>
      </c>
      <c r="T30" s="23"/>
      <c r="U30" s="23"/>
      <c r="V30" s="23"/>
      <c r="W30" s="23"/>
      <c r="X30" s="23">
        <v>10</v>
      </c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6"/>
      <c r="AJ30" s="10"/>
      <c r="AK30" s="10"/>
      <c r="AL30" s="10"/>
      <c r="AM30" s="10"/>
      <c r="AN30" s="10"/>
      <c r="AO30" s="10"/>
      <c r="AP30" s="10"/>
    </row>
    <row r="31" spans="1:42" ht="18.75" customHeight="1">
      <c r="A31" s="11"/>
      <c r="B31" s="23">
        <v>100030006</v>
      </c>
      <c r="C31" s="23">
        <v>10003</v>
      </c>
      <c r="D31" s="23" t="s">
        <v>196</v>
      </c>
      <c r="E31" s="23">
        <v>2001001</v>
      </c>
      <c r="F31" s="23">
        <v>1001001</v>
      </c>
      <c r="G31" s="32">
        <v>100020001001</v>
      </c>
      <c r="H31" s="23"/>
      <c r="I31" s="23"/>
      <c r="J31" s="23"/>
      <c r="K31" s="23"/>
      <c r="L31" s="23"/>
      <c r="M31" s="33"/>
      <c r="N31" s="34"/>
      <c r="O31" s="23"/>
      <c r="P31" s="23"/>
      <c r="Q31" s="33"/>
      <c r="R31" s="23">
        <v>1</v>
      </c>
      <c r="S31" s="33">
        <v>100030005</v>
      </c>
      <c r="T31" s="33"/>
      <c r="U31" s="23"/>
      <c r="V31" s="23"/>
      <c r="W31" s="33"/>
      <c r="X31" s="23">
        <v>10</v>
      </c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6"/>
      <c r="AJ31" s="10"/>
      <c r="AK31" s="10"/>
      <c r="AL31" s="10"/>
      <c r="AM31" s="10"/>
      <c r="AN31" s="10"/>
      <c r="AO31" s="10"/>
      <c r="AP31" s="10"/>
    </row>
    <row r="32" spans="1:42" ht="18.75" customHeight="1">
      <c r="A32" s="11"/>
      <c r="B32" s="23">
        <v>100030007</v>
      </c>
      <c r="C32" s="23">
        <v>10003</v>
      </c>
      <c r="D32" s="23" t="s">
        <v>197</v>
      </c>
      <c r="E32" s="23">
        <v>2002001</v>
      </c>
      <c r="F32" s="23">
        <v>1002001</v>
      </c>
      <c r="G32" s="32">
        <v>100020001001</v>
      </c>
      <c r="H32" s="23"/>
      <c r="I32" s="23"/>
      <c r="J32" s="23"/>
      <c r="K32" s="23"/>
      <c r="L32" s="23"/>
      <c r="M32" s="23"/>
      <c r="N32" s="35"/>
      <c r="O32" s="23"/>
      <c r="P32" s="23"/>
      <c r="Q32" s="23"/>
      <c r="R32" s="23">
        <v>1</v>
      </c>
      <c r="S32" s="23">
        <v>100030006</v>
      </c>
      <c r="T32" s="23"/>
      <c r="U32" s="23"/>
      <c r="V32" s="23"/>
      <c r="W32" s="23"/>
      <c r="X32" s="23">
        <v>10</v>
      </c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6"/>
      <c r="AJ32" s="10"/>
      <c r="AK32" s="10"/>
      <c r="AL32" s="10"/>
      <c r="AM32" s="10"/>
      <c r="AN32" s="10"/>
      <c r="AO32" s="10"/>
      <c r="AP32" s="10"/>
    </row>
    <row r="33" spans="1:42" ht="18.75" customHeight="1">
      <c r="A33" s="11"/>
      <c r="B33" s="23">
        <v>100030008</v>
      </c>
      <c r="C33" s="23">
        <v>10003</v>
      </c>
      <c r="D33" s="23" t="s">
        <v>198</v>
      </c>
      <c r="E33" s="23">
        <v>2002002</v>
      </c>
      <c r="F33" s="23">
        <v>1002002</v>
      </c>
      <c r="G33" s="32">
        <v>100020001001</v>
      </c>
      <c r="H33" s="23"/>
      <c r="I33" s="23"/>
      <c r="J33" s="23"/>
      <c r="K33" s="23"/>
      <c r="L33" s="23"/>
      <c r="M33" s="23"/>
      <c r="N33" s="35"/>
      <c r="O33" s="23"/>
      <c r="P33" s="23"/>
      <c r="Q33" s="23"/>
      <c r="R33" s="23">
        <v>1</v>
      </c>
      <c r="S33" s="23">
        <v>100030007</v>
      </c>
      <c r="T33" s="23"/>
      <c r="U33" s="23"/>
      <c r="V33" s="23"/>
      <c r="W33" s="23"/>
      <c r="X33" s="23">
        <v>10</v>
      </c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6"/>
      <c r="AJ33" s="10"/>
      <c r="AK33" s="10"/>
      <c r="AL33" s="10"/>
      <c r="AM33" s="10"/>
      <c r="AN33" s="10"/>
      <c r="AO33" s="10"/>
      <c r="AP33" s="10"/>
    </row>
    <row r="34" spans="1:42" ht="18.75" customHeight="1">
      <c r="A34" s="11"/>
      <c r="B34" s="23">
        <v>100030009</v>
      </c>
      <c r="C34" s="23">
        <v>10003</v>
      </c>
      <c r="D34" s="23" t="s">
        <v>199</v>
      </c>
      <c r="E34" s="23">
        <v>2001001</v>
      </c>
      <c r="F34" s="23">
        <v>1001001</v>
      </c>
      <c r="G34" s="32">
        <v>100020001001</v>
      </c>
      <c r="H34" s="23"/>
      <c r="I34" s="23"/>
      <c r="J34" s="33"/>
      <c r="K34" s="33"/>
      <c r="L34" s="23"/>
      <c r="M34" s="33"/>
      <c r="N34" s="34"/>
      <c r="O34" s="23"/>
      <c r="P34" s="23"/>
      <c r="Q34" s="33"/>
      <c r="R34" s="23">
        <v>1</v>
      </c>
      <c r="S34" s="33">
        <v>100030008</v>
      </c>
      <c r="T34" s="33"/>
      <c r="U34" s="23"/>
      <c r="V34" s="23"/>
      <c r="W34" s="33"/>
      <c r="X34" s="23">
        <v>10</v>
      </c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6"/>
      <c r="AJ34" s="10"/>
      <c r="AK34" s="10"/>
      <c r="AL34" s="10"/>
      <c r="AM34" s="10"/>
      <c r="AN34" s="10"/>
      <c r="AO34" s="10"/>
      <c r="AP34" s="10"/>
    </row>
    <row r="35" spans="1:42" ht="18.75" customHeight="1">
      <c r="A35" s="11"/>
      <c r="B35" s="23">
        <v>100030010</v>
      </c>
      <c r="C35" s="23">
        <v>10003</v>
      </c>
      <c r="D35" s="23" t="s">
        <v>200</v>
      </c>
      <c r="E35" s="23">
        <v>2002001</v>
      </c>
      <c r="F35" s="23">
        <v>1002001</v>
      </c>
      <c r="G35" s="32">
        <v>100020001001</v>
      </c>
      <c r="H35" s="23"/>
      <c r="I35" s="23"/>
      <c r="J35" s="23"/>
      <c r="K35" s="23"/>
      <c r="L35" s="23"/>
      <c r="M35" s="23"/>
      <c r="N35" s="35"/>
      <c r="O35" s="23"/>
      <c r="P35" s="23"/>
      <c r="Q35" s="23"/>
      <c r="R35" s="23">
        <v>1</v>
      </c>
      <c r="S35" s="23">
        <v>100030009</v>
      </c>
      <c r="T35" s="23"/>
      <c r="U35" s="23"/>
      <c r="V35" s="23"/>
      <c r="W35" s="23"/>
      <c r="X35" s="23">
        <v>10</v>
      </c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6"/>
      <c r="AJ35" s="10"/>
      <c r="AK35" s="10"/>
      <c r="AL35" s="10"/>
      <c r="AM35" s="10"/>
      <c r="AN35" s="10"/>
      <c r="AO35" s="10"/>
      <c r="AP35" s="10"/>
    </row>
    <row r="36" spans="1:42" ht="18.75" customHeight="1">
      <c r="A36" s="11"/>
      <c r="B36" s="23">
        <v>100030011</v>
      </c>
      <c r="C36" s="23">
        <v>10003</v>
      </c>
      <c r="D36" s="23" t="s">
        <v>201</v>
      </c>
      <c r="E36" s="23">
        <v>2002002</v>
      </c>
      <c r="F36" s="23">
        <v>1002002</v>
      </c>
      <c r="G36" s="32">
        <v>100020001001</v>
      </c>
      <c r="H36" s="23"/>
      <c r="I36" s="23"/>
      <c r="J36" s="23"/>
      <c r="K36" s="23"/>
      <c r="L36" s="23"/>
      <c r="M36" s="23"/>
      <c r="N36" s="35"/>
      <c r="O36" s="23"/>
      <c r="P36" s="23"/>
      <c r="Q36" s="23"/>
      <c r="R36" s="23">
        <v>1</v>
      </c>
      <c r="S36" s="23">
        <v>100030010</v>
      </c>
      <c r="T36" s="23"/>
      <c r="U36" s="23"/>
      <c r="V36" s="23"/>
      <c r="W36" s="23"/>
      <c r="X36" s="23">
        <v>10</v>
      </c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6"/>
      <c r="AJ36" s="10"/>
      <c r="AK36" s="10"/>
      <c r="AL36" s="10"/>
      <c r="AM36" s="10"/>
      <c r="AN36" s="10"/>
      <c r="AO36" s="10"/>
      <c r="AP36" s="10"/>
    </row>
    <row r="37" spans="1:42" ht="18.75" customHeight="1">
      <c r="A37" s="11"/>
      <c r="B37" s="23">
        <v>100030012</v>
      </c>
      <c r="C37" s="23">
        <v>10003</v>
      </c>
      <c r="D37" s="23" t="s">
        <v>202</v>
      </c>
      <c r="E37" s="23">
        <v>2001001</v>
      </c>
      <c r="F37" s="23">
        <v>1001001</v>
      </c>
      <c r="G37" s="32">
        <v>100020001001</v>
      </c>
      <c r="H37" s="23"/>
      <c r="I37" s="23"/>
      <c r="J37" s="23"/>
      <c r="K37" s="23"/>
      <c r="L37" s="23"/>
      <c r="M37" s="33"/>
      <c r="N37" s="34"/>
      <c r="O37" s="23"/>
      <c r="P37" s="23"/>
      <c r="Q37" s="33"/>
      <c r="R37" s="23">
        <v>1</v>
      </c>
      <c r="S37" s="33">
        <v>100030011</v>
      </c>
      <c r="T37" s="33"/>
      <c r="U37" s="23"/>
      <c r="V37" s="23"/>
      <c r="W37" s="33"/>
      <c r="X37" s="23">
        <v>10</v>
      </c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6"/>
      <c r="AJ37" s="10"/>
      <c r="AK37" s="10"/>
      <c r="AL37" s="10"/>
      <c r="AM37" s="10"/>
      <c r="AN37" s="10"/>
      <c r="AO37" s="10"/>
      <c r="AP37" s="10"/>
    </row>
    <row r="38" spans="1:42" ht="18.75" customHeight="1">
      <c r="A38" s="11"/>
      <c r="B38" s="23">
        <v>100030013</v>
      </c>
      <c r="C38" s="23">
        <v>10003</v>
      </c>
      <c r="D38" s="23" t="s">
        <v>203</v>
      </c>
      <c r="E38" s="23">
        <v>2002001</v>
      </c>
      <c r="F38" s="23">
        <v>1002001</v>
      </c>
      <c r="G38" s="32">
        <v>100020001001</v>
      </c>
      <c r="H38" s="23"/>
      <c r="I38" s="23"/>
      <c r="J38" s="23"/>
      <c r="K38" s="23"/>
      <c r="L38" s="23"/>
      <c r="M38" s="23"/>
      <c r="N38" s="35"/>
      <c r="O38" s="23"/>
      <c r="P38" s="23"/>
      <c r="Q38" s="23"/>
      <c r="R38" s="23">
        <v>1</v>
      </c>
      <c r="S38" s="23">
        <v>100030012</v>
      </c>
      <c r="T38" s="23"/>
      <c r="U38" s="23"/>
      <c r="V38" s="23"/>
      <c r="W38" s="23"/>
      <c r="X38" s="23">
        <v>10</v>
      </c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6"/>
      <c r="AJ38" s="10"/>
      <c r="AK38" s="10"/>
      <c r="AL38" s="10"/>
      <c r="AM38" s="10"/>
      <c r="AN38" s="10"/>
      <c r="AO38" s="10"/>
      <c r="AP38" s="10"/>
    </row>
    <row r="39" spans="1:42" ht="18.75" customHeight="1">
      <c r="A39" s="11"/>
      <c r="B39" s="23">
        <v>100030014</v>
      </c>
      <c r="C39" s="23">
        <v>10003</v>
      </c>
      <c r="D39" s="23" t="s">
        <v>204</v>
      </c>
      <c r="E39" s="23">
        <v>2002002</v>
      </c>
      <c r="F39" s="23">
        <v>1002002</v>
      </c>
      <c r="G39" s="32">
        <v>100020001001</v>
      </c>
      <c r="H39" s="23"/>
      <c r="I39" s="23"/>
      <c r="J39" s="23"/>
      <c r="K39" s="23"/>
      <c r="L39" s="23"/>
      <c r="M39" s="23"/>
      <c r="N39" s="35"/>
      <c r="O39" s="23"/>
      <c r="P39" s="23"/>
      <c r="Q39" s="23"/>
      <c r="R39" s="23">
        <v>1</v>
      </c>
      <c r="S39" s="23">
        <v>100030013</v>
      </c>
      <c r="T39" s="23"/>
      <c r="U39" s="23"/>
      <c r="V39" s="23"/>
      <c r="W39" s="23"/>
      <c r="X39" s="23">
        <v>10</v>
      </c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6"/>
      <c r="AJ39" s="10"/>
      <c r="AK39" s="10"/>
      <c r="AL39" s="10"/>
      <c r="AM39" s="10"/>
      <c r="AN39" s="10"/>
      <c r="AO39" s="10"/>
      <c r="AP39" s="10"/>
    </row>
    <row r="40" spans="1:42" ht="18.75" customHeight="1">
      <c r="A40" s="11"/>
      <c r="B40" s="23">
        <v>100030015</v>
      </c>
      <c r="C40" s="23">
        <v>10003</v>
      </c>
      <c r="D40" s="23" t="s">
        <v>205</v>
      </c>
      <c r="E40" s="23">
        <v>2001001</v>
      </c>
      <c r="F40" s="23">
        <v>1001001</v>
      </c>
      <c r="G40" s="32">
        <v>100020001001</v>
      </c>
      <c r="H40" s="23"/>
      <c r="I40" s="23"/>
      <c r="J40" s="33"/>
      <c r="K40" s="33"/>
      <c r="L40" s="23"/>
      <c r="M40" s="33"/>
      <c r="N40" s="34"/>
      <c r="O40" s="23"/>
      <c r="P40" s="23"/>
      <c r="Q40" s="33"/>
      <c r="R40" s="23">
        <v>1</v>
      </c>
      <c r="S40" s="33">
        <v>100030014</v>
      </c>
      <c r="T40" s="33"/>
      <c r="U40" s="23"/>
      <c r="V40" s="23"/>
      <c r="W40" s="33"/>
      <c r="X40" s="23">
        <v>10</v>
      </c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6"/>
      <c r="AJ40" s="10"/>
      <c r="AK40" s="10"/>
      <c r="AL40" s="10"/>
      <c r="AM40" s="10"/>
      <c r="AN40" s="10"/>
      <c r="AO40" s="10"/>
      <c r="AP40" s="10"/>
    </row>
    <row r="41" spans="1:42" ht="18.75" customHeight="1">
      <c r="A41" s="11"/>
      <c r="B41" s="23">
        <v>100040001</v>
      </c>
      <c r="C41" s="23">
        <v>10004</v>
      </c>
      <c r="D41" s="23" t="s">
        <v>206</v>
      </c>
      <c r="E41" s="23">
        <v>2002001</v>
      </c>
      <c r="F41" s="23">
        <v>1002001</v>
      </c>
      <c r="G41" s="32">
        <v>100020001001</v>
      </c>
      <c r="H41" s="23"/>
      <c r="I41" s="23"/>
      <c r="J41" s="23"/>
      <c r="K41" s="23"/>
      <c r="L41" s="23"/>
      <c r="M41" s="23"/>
      <c r="N41" s="35"/>
      <c r="O41" s="23"/>
      <c r="P41" s="23"/>
      <c r="Q41" s="23"/>
      <c r="R41" s="23">
        <v>1</v>
      </c>
      <c r="S41" s="23">
        <v>100030015</v>
      </c>
      <c r="T41" s="23"/>
      <c r="U41" s="23"/>
      <c r="V41" s="23"/>
      <c r="W41" s="23"/>
      <c r="X41" s="23">
        <v>10</v>
      </c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6"/>
      <c r="AJ41" s="10"/>
      <c r="AK41" s="10"/>
      <c r="AL41" s="10"/>
      <c r="AM41" s="10"/>
      <c r="AN41" s="10"/>
      <c r="AO41" s="10"/>
      <c r="AP41" s="10"/>
    </row>
    <row r="42" spans="1:42" ht="18.75" customHeight="1">
      <c r="A42" s="11"/>
      <c r="B42" s="23">
        <v>100040002</v>
      </c>
      <c r="C42" s="23">
        <v>10004</v>
      </c>
      <c r="D42" s="23" t="s">
        <v>207</v>
      </c>
      <c r="E42" s="23">
        <v>2002002</v>
      </c>
      <c r="F42" s="23">
        <v>1002002</v>
      </c>
      <c r="G42" s="32">
        <v>100020001001</v>
      </c>
      <c r="H42" s="23"/>
      <c r="I42" s="23"/>
      <c r="J42" s="23"/>
      <c r="K42" s="23"/>
      <c r="L42" s="23"/>
      <c r="M42" s="23"/>
      <c r="N42" s="35"/>
      <c r="O42" s="23"/>
      <c r="P42" s="23"/>
      <c r="Q42" s="23"/>
      <c r="R42" s="23">
        <v>1</v>
      </c>
      <c r="S42" s="23">
        <v>100040001</v>
      </c>
      <c r="T42" s="23"/>
      <c r="U42" s="23"/>
      <c r="V42" s="23"/>
      <c r="W42" s="23"/>
      <c r="X42" s="23">
        <v>10</v>
      </c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6"/>
      <c r="AJ42" s="10"/>
      <c r="AK42" s="10"/>
      <c r="AL42" s="10"/>
      <c r="AM42" s="10"/>
      <c r="AN42" s="10"/>
      <c r="AO42" s="10"/>
      <c r="AP42" s="10"/>
    </row>
    <row r="43" spans="1:42" ht="18.75" customHeight="1">
      <c r="A43" s="11"/>
      <c r="B43" s="23">
        <v>100040003</v>
      </c>
      <c r="C43" s="23">
        <v>10004</v>
      </c>
      <c r="D43" s="23" t="s">
        <v>208</v>
      </c>
      <c r="E43" s="23">
        <v>2001001</v>
      </c>
      <c r="F43" s="23">
        <v>1001001</v>
      </c>
      <c r="G43" s="32">
        <v>100020001001</v>
      </c>
      <c r="H43" s="23"/>
      <c r="I43" s="23"/>
      <c r="J43" s="23"/>
      <c r="K43" s="23"/>
      <c r="L43" s="23"/>
      <c r="M43" s="23"/>
      <c r="N43" s="35"/>
      <c r="O43" s="23"/>
      <c r="P43" s="23"/>
      <c r="Q43" s="23"/>
      <c r="R43" s="23">
        <v>1</v>
      </c>
      <c r="S43" s="23">
        <v>100040002</v>
      </c>
      <c r="T43" s="23"/>
      <c r="U43" s="23"/>
      <c r="V43" s="23"/>
      <c r="W43" s="23"/>
      <c r="X43" s="23">
        <v>10</v>
      </c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6"/>
      <c r="AJ43" s="10"/>
      <c r="AK43" s="10"/>
      <c r="AL43" s="10"/>
      <c r="AM43" s="10"/>
      <c r="AN43" s="10"/>
      <c r="AO43" s="10"/>
      <c r="AP43" s="10"/>
    </row>
    <row r="44" spans="1:42" ht="18.75" customHeight="1">
      <c r="A44" s="11"/>
      <c r="B44" s="23">
        <v>100040004</v>
      </c>
      <c r="C44" s="23">
        <v>10004</v>
      </c>
      <c r="D44" s="23" t="s">
        <v>209</v>
      </c>
      <c r="E44" s="23">
        <v>2002001</v>
      </c>
      <c r="F44" s="23">
        <v>1002001</v>
      </c>
      <c r="G44" s="32">
        <v>100020001001</v>
      </c>
      <c r="H44" s="23"/>
      <c r="I44" s="23"/>
      <c r="J44" s="23"/>
      <c r="K44" s="23"/>
      <c r="L44" s="23"/>
      <c r="M44" s="23"/>
      <c r="N44" s="35"/>
      <c r="O44" s="23"/>
      <c r="P44" s="23"/>
      <c r="Q44" s="23"/>
      <c r="R44" s="23">
        <v>1</v>
      </c>
      <c r="S44" s="23">
        <v>100040003</v>
      </c>
      <c r="T44" s="23"/>
      <c r="U44" s="23"/>
      <c r="V44" s="23"/>
      <c r="W44" s="23"/>
      <c r="X44" s="23">
        <v>10</v>
      </c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6"/>
      <c r="AJ44" s="10"/>
      <c r="AK44" s="10"/>
      <c r="AL44" s="10"/>
      <c r="AM44" s="10"/>
      <c r="AN44" s="10"/>
      <c r="AO44" s="10"/>
      <c r="AP44" s="10"/>
    </row>
    <row r="45" spans="1:42" ht="18.75" customHeight="1">
      <c r="A45" s="11"/>
      <c r="B45" s="23">
        <v>100040005</v>
      </c>
      <c r="C45" s="23">
        <v>10004</v>
      </c>
      <c r="D45" s="23" t="s">
        <v>210</v>
      </c>
      <c r="E45" s="23">
        <v>2002002</v>
      </c>
      <c r="F45" s="23">
        <v>1002002</v>
      </c>
      <c r="G45" s="32">
        <v>100020001001</v>
      </c>
      <c r="H45" s="23"/>
      <c r="I45" s="23"/>
      <c r="J45" s="23"/>
      <c r="K45" s="23"/>
      <c r="L45" s="23"/>
      <c r="M45" s="23"/>
      <c r="N45" s="35"/>
      <c r="O45" s="23"/>
      <c r="P45" s="23"/>
      <c r="Q45" s="23"/>
      <c r="R45" s="23">
        <v>1</v>
      </c>
      <c r="S45" s="23">
        <v>100040004</v>
      </c>
      <c r="T45" s="23"/>
      <c r="U45" s="23"/>
      <c r="V45" s="23"/>
      <c r="W45" s="23"/>
      <c r="X45" s="23">
        <v>10</v>
      </c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6"/>
      <c r="AJ45" s="10"/>
      <c r="AK45" s="10"/>
      <c r="AL45" s="10"/>
      <c r="AM45" s="10"/>
      <c r="AN45" s="10"/>
      <c r="AO45" s="10"/>
      <c r="AP45" s="10"/>
    </row>
    <row r="46" spans="1:42" ht="18.75" customHeight="1">
      <c r="A46" s="11"/>
      <c r="B46" s="23">
        <v>100040006</v>
      </c>
      <c r="C46" s="23">
        <v>10004</v>
      </c>
      <c r="D46" s="23" t="s">
        <v>211</v>
      </c>
      <c r="E46" s="23">
        <v>2001001</v>
      </c>
      <c r="F46" s="23">
        <v>1001001</v>
      </c>
      <c r="G46" s="32">
        <v>100020001001</v>
      </c>
      <c r="H46" s="23"/>
      <c r="I46" s="23"/>
      <c r="J46" s="33"/>
      <c r="K46" s="33"/>
      <c r="L46" s="23"/>
      <c r="M46" s="23"/>
      <c r="N46" s="35"/>
      <c r="O46" s="23"/>
      <c r="P46" s="23"/>
      <c r="Q46" s="23"/>
      <c r="R46" s="23">
        <v>1</v>
      </c>
      <c r="S46" s="23">
        <v>100040005</v>
      </c>
      <c r="T46" s="23"/>
      <c r="U46" s="23"/>
      <c r="V46" s="23"/>
      <c r="W46" s="23"/>
      <c r="X46" s="23">
        <v>10</v>
      </c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6"/>
      <c r="AJ46" s="10"/>
      <c r="AK46" s="10"/>
      <c r="AL46" s="10"/>
      <c r="AM46" s="10"/>
      <c r="AN46" s="10"/>
      <c r="AO46" s="10"/>
      <c r="AP46" s="10"/>
    </row>
    <row r="47" spans="1:42" ht="18.75" customHeight="1">
      <c r="A47" s="11"/>
      <c r="B47" s="23">
        <v>100040007</v>
      </c>
      <c r="C47" s="23">
        <v>10004</v>
      </c>
      <c r="D47" s="23" t="s">
        <v>212</v>
      </c>
      <c r="E47" s="23">
        <v>2002001</v>
      </c>
      <c r="F47" s="23">
        <v>1002001</v>
      </c>
      <c r="G47" s="32">
        <v>100020001001</v>
      </c>
      <c r="H47" s="23"/>
      <c r="I47" s="23"/>
      <c r="J47" s="23"/>
      <c r="K47" s="23"/>
      <c r="L47" s="23"/>
      <c r="M47" s="23"/>
      <c r="N47" s="35"/>
      <c r="O47" s="23"/>
      <c r="P47" s="23"/>
      <c r="Q47" s="23"/>
      <c r="R47" s="23">
        <v>1</v>
      </c>
      <c r="S47" s="23">
        <v>100040006</v>
      </c>
      <c r="T47" s="23"/>
      <c r="U47" s="23"/>
      <c r="V47" s="23"/>
      <c r="W47" s="23"/>
      <c r="X47" s="23">
        <v>10</v>
      </c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6"/>
      <c r="AJ47" s="10"/>
      <c r="AK47" s="10"/>
      <c r="AL47" s="10"/>
      <c r="AM47" s="10"/>
      <c r="AN47" s="10"/>
      <c r="AO47" s="10"/>
      <c r="AP47" s="10"/>
    </row>
    <row r="48" spans="1:42" ht="18.75" customHeight="1">
      <c r="A48" s="11"/>
      <c r="B48" s="23">
        <v>100040008</v>
      </c>
      <c r="C48" s="23">
        <v>10004</v>
      </c>
      <c r="D48" s="23" t="s">
        <v>213</v>
      </c>
      <c r="E48" s="23">
        <v>2002002</v>
      </c>
      <c r="F48" s="23">
        <v>1002002</v>
      </c>
      <c r="G48" s="32">
        <v>100020001001</v>
      </c>
      <c r="H48" s="23"/>
      <c r="I48" s="23"/>
      <c r="J48" s="23"/>
      <c r="K48" s="23"/>
      <c r="L48" s="23"/>
      <c r="M48" s="23"/>
      <c r="N48" s="35"/>
      <c r="O48" s="23"/>
      <c r="P48" s="23"/>
      <c r="Q48" s="23"/>
      <c r="R48" s="23">
        <v>1</v>
      </c>
      <c r="S48" s="23">
        <v>100040007</v>
      </c>
      <c r="T48" s="23"/>
      <c r="U48" s="23"/>
      <c r="V48" s="23"/>
      <c r="W48" s="23"/>
      <c r="X48" s="23">
        <v>10</v>
      </c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7"/>
      <c r="AJ48" s="19"/>
      <c r="AK48" s="19"/>
      <c r="AL48" s="19"/>
      <c r="AM48" s="19"/>
      <c r="AN48" s="19"/>
      <c r="AO48" s="19"/>
      <c r="AP48" s="19"/>
    </row>
    <row r="49" spans="2:42" ht="18.75" customHeight="1">
      <c r="B49" s="23">
        <v>100040009</v>
      </c>
      <c r="C49" s="23">
        <v>10004</v>
      </c>
      <c r="D49" s="23" t="s">
        <v>214</v>
      </c>
      <c r="E49" s="23">
        <v>2001001</v>
      </c>
      <c r="F49" s="23">
        <v>1001001</v>
      </c>
      <c r="G49" s="32">
        <v>100020001001</v>
      </c>
      <c r="H49" s="20"/>
      <c r="I49" s="20"/>
      <c r="J49" s="23"/>
      <c r="K49" s="23"/>
      <c r="L49" s="23"/>
      <c r="M49" s="23"/>
      <c r="N49" s="35"/>
      <c r="O49" s="20"/>
      <c r="P49" s="20"/>
      <c r="Q49" s="23"/>
      <c r="R49" s="23">
        <v>1</v>
      </c>
      <c r="S49" s="23">
        <v>100040008</v>
      </c>
      <c r="T49" s="23"/>
      <c r="U49" s="20"/>
      <c r="V49" s="20"/>
      <c r="W49" s="23"/>
      <c r="X49" s="23">
        <v>10</v>
      </c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8"/>
      <c r="AJ49" s="20"/>
      <c r="AK49" s="20"/>
      <c r="AL49" s="20"/>
      <c r="AM49" s="20"/>
      <c r="AN49" s="20"/>
      <c r="AO49" s="20"/>
      <c r="AP49" s="20"/>
    </row>
    <row r="50" spans="2:42" ht="18.75" customHeight="1">
      <c r="B50" s="23">
        <v>100040010</v>
      </c>
      <c r="C50" s="23">
        <v>10004</v>
      </c>
      <c r="D50" s="23" t="s">
        <v>215</v>
      </c>
      <c r="E50" s="23">
        <v>2002001</v>
      </c>
      <c r="F50" s="23">
        <v>1002001</v>
      </c>
      <c r="G50" s="32">
        <v>100020001001</v>
      </c>
      <c r="H50" s="20"/>
      <c r="I50" s="20"/>
      <c r="J50" s="23"/>
      <c r="K50" s="23"/>
      <c r="L50" s="23"/>
      <c r="M50" s="23"/>
      <c r="N50" s="35"/>
      <c r="O50" s="20"/>
      <c r="P50" s="20"/>
      <c r="Q50" s="23"/>
      <c r="R50" s="23">
        <v>1</v>
      </c>
      <c r="S50" s="23">
        <v>100040009</v>
      </c>
      <c r="T50" s="23"/>
      <c r="U50" s="20"/>
      <c r="V50" s="20"/>
      <c r="W50" s="23"/>
      <c r="X50" s="23">
        <v>10</v>
      </c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8"/>
      <c r="AJ50" s="20"/>
      <c r="AK50" s="20"/>
      <c r="AL50" s="20"/>
      <c r="AM50" s="20"/>
      <c r="AN50" s="20"/>
      <c r="AO50" s="20"/>
      <c r="AP50" s="20"/>
    </row>
    <row r="51" spans="2:42" ht="18.75" customHeight="1">
      <c r="B51" s="23">
        <v>100040011</v>
      </c>
      <c r="C51" s="23">
        <v>10004</v>
      </c>
      <c r="D51" s="23" t="s">
        <v>216</v>
      </c>
      <c r="E51" s="23">
        <v>2002002</v>
      </c>
      <c r="F51" s="23">
        <v>1002002</v>
      </c>
      <c r="G51" s="32">
        <v>100020001001</v>
      </c>
      <c r="H51" s="20"/>
      <c r="I51" s="20"/>
      <c r="J51" s="23"/>
      <c r="K51" s="23"/>
      <c r="L51" s="23"/>
      <c r="M51" s="23"/>
      <c r="N51" s="35"/>
      <c r="O51" s="20"/>
      <c r="P51" s="20"/>
      <c r="Q51" s="23"/>
      <c r="R51" s="23">
        <v>1</v>
      </c>
      <c r="S51" s="23">
        <v>100040010</v>
      </c>
      <c r="T51" s="23"/>
      <c r="U51" s="20"/>
      <c r="V51" s="20"/>
      <c r="W51" s="23"/>
      <c r="X51" s="23">
        <v>10</v>
      </c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8"/>
      <c r="AJ51" s="20"/>
      <c r="AK51" s="20"/>
      <c r="AL51" s="20"/>
      <c r="AM51" s="20"/>
      <c r="AN51" s="20"/>
      <c r="AO51" s="20"/>
      <c r="AP51" s="20"/>
    </row>
    <row r="52" spans="2:42" ht="18.75" customHeight="1">
      <c r="B52" s="23">
        <v>100040012</v>
      </c>
      <c r="C52" s="23">
        <v>10004</v>
      </c>
      <c r="D52" s="23" t="s">
        <v>217</v>
      </c>
      <c r="E52" s="23">
        <v>2001001</v>
      </c>
      <c r="F52" s="23">
        <v>1001001</v>
      </c>
      <c r="G52" s="32">
        <v>100020001001</v>
      </c>
      <c r="H52" s="20"/>
      <c r="I52" s="20"/>
      <c r="J52" s="33"/>
      <c r="K52" s="33"/>
      <c r="L52" s="23"/>
      <c r="M52" s="23"/>
      <c r="N52" s="35"/>
      <c r="O52" s="20"/>
      <c r="P52" s="20"/>
      <c r="Q52" s="23"/>
      <c r="R52" s="23">
        <v>1</v>
      </c>
      <c r="S52" s="23">
        <v>100040011</v>
      </c>
      <c r="T52" s="23"/>
      <c r="U52" s="20"/>
      <c r="V52" s="20"/>
      <c r="W52" s="23"/>
      <c r="X52" s="23">
        <v>10</v>
      </c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8"/>
      <c r="AJ52" s="20"/>
      <c r="AK52" s="20"/>
      <c r="AL52" s="20"/>
      <c r="AM52" s="20"/>
      <c r="AN52" s="20"/>
      <c r="AO52" s="20"/>
      <c r="AP52" s="20"/>
    </row>
    <row r="53" spans="2:42" ht="18.75" customHeight="1">
      <c r="B53" s="23">
        <v>100040013</v>
      </c>
      <c r="C53" s="23">
        <v>10004</v>
      </c>
      <c r="D53" s="23" t="s">
        <v>218</v>
      </c>
      <c r="E53" s="23">
        <v>2002001</v>
      </c>
      <c r="F53" s="23">
        <v>1002001</v>
      </c>
      <c r="G53" s="32">
        <v>100020001001</v>
      </c>
      <c r="H53" s="20"/>
      <c r="I53" s="20"/>
      <c r="J53" s="23"/>
      <c r="K53" s="23"/>
      <c r="L53" s="23"/>
      <c r="M53" s="23"/>
      <c r="N53" s="35"/>
      <c r="O53" s="20"/>
      <c r="P53" s="20"/>
      <c r="Q53" s="23"/>
      <c r="R53" s="23">
        <v>1</v>
      </c>
      <c r="S53" s="23">
        <v>100040012</v>
      </c>
      <c r="T53" s="23"/>
      <c r="U53" s="20"/>
      <c r="V53" s="20"/>
      <c r="W53" s="23"/>
      <c r="X53" s="23">
        <v>10</v>
      </c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8"/>
      <c r="AJ53" s="20"/>
      <c r="AK53" s="20"/>
      <c r="AL53" s="20"/>
      <c r="AM53" s="20"/>
      <c r="AN53" s="20"/>
      <c r="AO53" s="20"/>
      <c r="AP53" s="20"/>
    </row>
    <row r="54" spans="2:42" ht="18.75" customHeight="1">
      <c r="B54" s="23">
        <v>100040014</v>
      </c>
      <c r="C54" s="23">
        <v>10004</v>
      </c>
      <c r="D54" s="23" t="s">
        <v>219</v>
      </c>
      <c r="E54" s="23">
        <v>2002002</v>
      </c>
      <c r="F54" s="23">
        <v>1002002</v>
      </c>
      <c r="G54" s="32">
        <v>100020001001</v>
      </c>
      <c r="H54" s="20"/>
      <c r="I54" s="20"/>
      <c r="J54" s="23"/>
      <c r="K54" s="23"/>
      <c r="L54" s="23"/>
      <c r="M54" s="23"/>
      <c r="N54" s="35"/>
      <c r="O54" s="20"/>
      <c r="P54" s="20"/>
      <c r="Q54" s="23"/>
      <c r="R54" s="23">
        <v>1</v>
      </c>
      <c r="S54" s="23">
        <v>100040013</v>
      </c>
      <c r="T54" s="23"/>
      <c r="U54" s="20"/>
      <c r="V54" s="20"/>
      <c r="W54" s="23"/>
      <c r="X54" s="23">
        <v>10</v>
      </c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8"/>
      <c r="AJ54" s="20"/>
      <c r="AK54" s="20"/>
      <c r="AL54" s="20"/>
      <c r="AM54" s="20"/>
      <c r="AN54" s="20"/>
      <c r="AO54" s="20"/>
      <c r="AP54" s="20"/>
    </row>
    <row r="55" spans="2:42" ht="18.75" customHeight="1">
      <c r="B55" s="23">
        <v>100040015</v>
      </c>
      <c r="C55" s="23">
        <v>10004</v>
      </c>
      <c r="D55" s="23" t="s">
        <v>220</v>
      </c>
      <c r="E55" s="23">
        <v>2001001</v>
      </c>
      <c r="F55" s="23">
        <v>1001001</v>
      </c>
      <c r="G55" s="32">
        <v>100020001001</v>
      </c>
      <c r="H55" s="20"/>
      <c r="I55" s="20"/>
      <c r="J55" s="23"/>
      <c r="K55" s="23"/>
      <c r="L55" s="23"/>
      <c r="M55" s="23"/>
      <c r="N55" s="35"/>
      <c r="O55" s="20"/>
      <c r="P55" s="20"/>
      <c r="Q55" s="23"/>
      <c r="R55" s="23">
        <v>1</v>
      </c>
      <c r="S55" s="23">
        <v>100040014</v>
      </c>
      <c r="T55" s="23"/>
      <c r="U55" s="20"/>
      <c r="V55" s="20"/>
      <c r="W55" s="23"/>
      <c r="X55" s="23">
        <v>10</v>
      </c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8"/>
      <c r="AJ55" s="20"/>
      <c r="AK55" s="20"/>
      <c r="AL55" s="20"/>
      <c r="AM55" s="20"/>
      <c r="AN55" s="20"/>
      <c r="AO55" s="20"/>
      <c r="AP55" s="20"/>
    </row>
    <row r="56" spans="2:42" ht="18.75" customHeight="1">
      <c r="B56" s="23">
        <v>100050001</v>
      </c>
      <c r="C56" s="23">
        <v>10005</v>
      </c>
      <c r="D56" s="23" t="s">
        <v>221</v>
      </c>
      <c r="E56" s="23">
        <v>2002001</v>
      </c>
      <c r="F56" s="23">
        <v>1002001</v>
      </c>
      <c r="G56" s="32">
        <v>100020001001</v>
      </c>
      <c r="H56" s="20"/>
      <c r="I56" s="20"/>
      <c r="J56" s="23"/>
      <c r="K56" s="23"/>
      <c r="L56" s="23"/>
      <c r="M56" s="23"/>
      <c r="N56" s="35"/>
      <c r="O56" s="20"/>
      <c r="P56" s="20"/>
      <c r="Q56" s="23"/>
      <c r="R56" s="23">
        <v>1</v>
      </c>
      <c r="S56" s="23">
        <v>100040015</v>
      </c>
      <c r="T56" s="23"/>
      <c r="U56" s="20"/>
      <c r="V56" s="20"/>
      <c r="W56" s="23"/>
      <c r="X56" s="23">
        <v>10</v>
      </c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8"/>
      <c r="AJ56" s="20"/>
      <c r="AK56" s="20"/>
      <c r="AL56" s="20"/>
      <c r="AM56" s="20"/>
      <c r="AN56" s="20"/>
      <c r="AO56" s="20"/>
      <c r="AP56" s="20"/>
    </row>
    <row r="57" spans="2:42" ht="18.75" customHeight="1">
      <c r="B57" s="23">
        <v>100050002</v>
      </c>
      <c r="C57" s="23">
        <v>10005</v>
      </c>
      <c r="D57" s="23" t="s">
        <v>222</v>
      </c>
      <c r="E57" s="23">
        <v>2002002</v>
      </c>
      <c r="F57" s="23">
        <v>1002002</v>
      </c>
      <c r="G57" s="32">
        <v>100020001001</v>
      </c>
      <c r="H57" s="20"/>
      <c r="I57" s="20"/>
      <c r="J57" s="23"/>
      <c r="K57" s="23"/>
      <c r="L57" s="23"/>
      <c r="M57" s="23"/>
      <c r="N57" s="35"/>
      <c r="O57" s="20"/>
      <c r="P57" s="20"/>
      <c r="Q57" s="23"/>
      <c r="R57" s="23">
        <v>1</v>
      </c>
      <c r="S57" s="23">
        <v>100050001</v>
      </c>
      <c r="T57" s="23"/>
      <c r="U57" s="20"/>
      <c r="V57" s="20"/>
      <c r="W57" s="23"/>
      <c r="X57" s="23">
        <v>10</v>
      </c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8"/>
      <c r="AJ57" s="20"/>
      <c r="AK57" s="20"/>
      <c r="AL57" s="20"/>
      <c r="AM57" s="20"/>
      <c r="AN57" s="20"/>
      <c r="AO57" s="20"/>
      <c r="AP57" s="20"/>
    </row>
    <row r="58" spans="2:42" ht="18.75" customHeight="1">
      <c r="B58" s="23">
        <v>100050003</v>
      </c>
      <c r="C58" s="23">
        <v>10005</v>
      </c>
      <c r="D58" s="23" t="s">
        <v>223</v>
      </c>
      <c r="E58" s="23">
        <v>2001001</v>
      </c>
      <c r="F58" s="23">
        <v>1001001</v>
      </c>
      <c r="G58" s="32">
        <v>100020001001</v>
      </c>
      <c r="H58" s="20"/>
      <c r="I58" s="20"/>
      <c r="J58" s="33"/>
      <c r="K58" s="33"/>
      <c r="L58" s="23"/>
      <c r="M58" s="33"/>
      <c r="N58" s="34"/>
      <c r="O58" s="20"/>
      <c r="P58" s="20"/>
      <c r="Q58" s="33"/>
      <c r="R58" s="23">
        <v>1</v>
      </c>
      <c r="S58" s="33">
        <v>100050002</v>
      </c>
      <c r="T58" s="33"/>
      <c r="U58" s="20"/>
      <c r="V58" s="20"/>
      <c r="W58" s="33"/>
      <c r="X58" s="23">
        <v>10</v>
      </c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8"/>
      <c r="AJ58" s="20"/>
      <c r="AK58" s="20"/>
      <c r="AL58" s="20"/>
      <c r="AM58" s="20"/>
      <c r="AN58" s="20"/>
      <c r="AO58" s="20"/>
      <c r="AP58" s="20"/>
    </row>
    <row r="59" spans="2:42" ht="18.75" customHeight="1">
      <c r="B59" s="23">
        <v>100050004</v>
      </c>
      <c r="C59" s="23">
        <v>10005</v>
      </c>
      <c r="D59" s="23" t="s">
        <v>224</v>
      </c>
      <c r="E59" s="23">
        <v>2002001</v>
      </c>
      <c r="F59" s="23">
        <v>1002001</v>
      </c>
      <c r="G59" s="32">
        <v>100020001001</v>
      </c>
      <c r="H59" s="20"/>
      <c r="I59" s="20"/>
      <c r="J59" s="23"/>
      <c r="K59" s="23"/>
      <c r="L59" s="23"/>
      <c r="M59" s="23"/>
      <c r="N59" s="35"/>
      <c r="O59" s="20"/>
      <c r="P59" s="20"/>
      <c r="Q59" s="23"/>
      <c r="R59" s="23">
        <v>1</v>
      </c>
      <c r="S59" s="23">
        <v>100050003</v>
      </c>
      <c r="T59" s="23"/>
      <c r="U59" s="20"/>
      <c r="V59" s="20"/>
      <c r="W59" s="23"/>
      <c r="X59" s="23">
        <v>10</v>
      </c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8"/>
      <c r="AJ59" s="20"/>
      <c r="AK59" s="20"/>
      <c r="AL59" s="20"/>
      <c r="AM59" s="20"/>
      <c r="AN59" s="20"/>
      <c r="AO59" s="20"/>
      <c r="AP59" s="20"/>
    </row>
    <row r="60" spans="2:42" ht="18.75" customHeight="1">
      <c r="B60" s="23">
        <v>100050005</v>
      </c>
      <c r="C60" s="23">
        <v>10005</v>
      </c>
      <c r="D60" s="23" t="s">
        <v>225</v>
      </c>
      <c r="E60" s="23">
        <v>2002002</v>
      </c>
      <c r="F60" s="23">
        <v>1002002</v>
      </c>
      <c r="G60" s="32">
        <v>100020001001</v>
      </c>
      <c r="H60" s="20"/>
      <c r="I60" s="20"/>
      <c r="J60" s="23"/>
      <c r="K60" s="23"/>
      <c r="L60" s="23"/>
      <c r="M60" s="23"/>
      <c r="N60" s="35"/>
      <c r="O60" s="20"/>
      <c r="P60" s="20"/>
      <c r="Q60" s="23"/>
      <c r="R60" s="23">
        <v>1</v>
      </c>
      <c r="S60" s="23">
        <v>100050004</v>
      </c>
      <c r="T60" s="23"/>
      <c r="U60" s="20"/>
      <c r="V60" s="20"/>
      <c r="W60" s="23"/>
      <c r="X60" s="23">
        <v>10</v>
      </c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8"/>
      <c r="AJ60" s="20"/>
      <c r="AK60" s="20"/>
      <c r="AL60" s="20"/>
      <c r="AM60" s="20"/>
      <c r="AN60" s="20"/>
      <c r="AO60" s="20"/>
      <c r="AP60" s="20"/>
    </row>
    <row r="61" spans="2:42" ht="18.75" customHeight="1">
      <c r="B61" s="23">
        <v>100050006</v>
      </c>
      <c r="C61" s="23">
        <v>10005</v>
      </c>
      <c r="D61" s="23" t="s">
        <v>226</v>
      </c>
      <c r="E61" s="23">
        <v>2001001</v>
      </c>
      <c r="F61" s="23">
        <v>1001001</v>
      </c>
      <c r="G61" s="32">
        <v>100020001001</v>
      </c>
      <c r="H61" s="20"/>
      <c r="I61" s="20"/>
      <c r="J61" s="23"/>
      <c r="K61" s="23"/>
      <c r="L61" s="23"/>
      <c r="M61" s="33"/>
      <c r="N61" s="34"/>
      <c r="O61" s="20"/>
      <c r="P61" s="20"/>
      <c r="Q61" s="33"/>
      <c r="R61" s="23">
        <v>1</v>
      </c>
      <c r="S61" s="33">
        <v>100050005</v>
      </c>
      <c r="T61" s="33"/>
      <c r="U61" s="20"/>
      <c r="V61" s="20"/>
      <c r="W61" s="33"/>
      <c r="X61" s="23">
        <v>10</v>
      </c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8"/>
      <c r="AJ61" s="20"/>
      <c r="AK61" s="20"/>
      <c r="AL61" s="20"/>
      <c r="AM61" s="20"/>
      <c r="AN61" s="20"/>
      <c r="AO61" s="20"/>
      <c r="AP61" s="20"/>
    </row>
    <row r="62" spans="2:42" ht="18.75" customHeight="1">
      <c r="B62" s="23">
        <v>100050007</v>
      </c>
      <c r="C62" s="23">
        <v>10005</v>
      </c>
      <c r="D62" s="23" t="s">
        <v>227</v>
      </c>
      <c r="E62" s="23">
        <v>2002001</v>
      </c>
      <c r="F62" s="23">
        <v>1002001</v>
      </c>
      <c r="G62" s="32">
        <v>100020001001</v>
      </c>
      <c r="H62" s="20"/>
      <c r="I62" s="20"/>
      <c r="J62" s="23"/>
      <c r="K62" s="23"/>
      <c r="L62" s="23"/>
      <c r="M62" s="23"/>
      <c r="N62" s="35"/>
      <c r="O62" s="20"/>
      <c r="P62" s="20"/>
      <c r="Q62" s="23"/>
      <c r="R62" s="23">
        <v>1</v>
      </c>
      <c r="S62" s="23">
        <v>100050006</v>
      </c>
      <c r="T62" s="23"/>
      <c r="U62" s="20"/>
      <c r="V62" s="20"/>
      <c r="W62" s="23"/>
      <c r="X62" s="23">
        <v>10</v>
      </c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8"/>
      <c r="AJ62" s="20"/>
      <c r="AK62" s="20"/>
      <c r="AL62" s="20"/>
      <c r="AM62" s="20"/>
      <c r="AN62" s="20"/>
      <c r="AO62" s="20"/>
      <c r="AP62" s="20"/>
    </row>
    <row r="63" spans="2:42" ht="18.75" customHeight="1">
      <c r="B63" s="23">
        <v>100050008</v>
      </c>
      <c r="C63" s="23">
        <v>10005</v>
      </c>
      <c r="D63" s="23" t="s">
        <v>228</v>
      </c>
      <c r="E63" s="23">
        <v>2002002</v>
      </c>
      <c r="F63" s="23">
        <v>1002002</v>
      </c>
      <c r="G63" s="32">
        <v>100020001001</v>
      </c>
      <c r="H63" s="20"/>
      <c r="I63" s="20"/>
      <c r="J63" s="23"/>
      <c r="K63" s="23"/>
      <c r="L63" s="23"/>
      <c r="M63" s="23"/>
      <c r="N63" s="35"/>
      <c r="O63" s="20"/>
      <c r="P63" s="20"/>
      <c r="Q63" s="23"/>
      <c r="R63" s="23">
        <v>1</v>
      </c>
      <c r="S63" s="23">
        <v>100050007</v>
      </c>
      <c r="T63" s="23"/>
      <c r="U63" s="20"/>
      <c r="V63" s="20"/>
      <c r="W63" s="23"/>
      <c r="X63" s="23">
        <v>10</v>
      </c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8"/>
      <c r="AJ63" s="20"/>
      <c r="AK63" s="20"/>
      <c r="AL63" s="20"/>
      <c r="AM63" s="20"/>
      <c r="AN63" s="20"/>
      <c r="AO63" s="20"/>
      <c r="AP63" s="20"/>
    </row>
    <row r="64" spans="2:42" ht="18.75" customHeight="1">
      <c r="B64" s="23">
        <v>100050009</v>
      </c>
      <c r="C64" s="23">
        <v>10005</v>
      </c>
      <c r="D64" s="23" t="s">
        <v>229</v>
      </c>
      <c r="E64" s="23">
        <v>2001001</v>
      </c>
      <c r="F64" s="23">
        <v>1001001</v>
      </c>
      <c r="G64" s="32">
        <v>100020001001</v>
      </c>
      <c r="H64" s="20"/>
      <c r="I64" s="20"/>
      <c r="J64" s="33"/>
      <c r="K64" s="33"/>
      <c r="L64" s="23"/>
      <c r="M64" s="33"/>
      <c r="N64" s="34"/>
      <c r="O64" s="20"/>
      <c r="P64" s="20"/>
      <c r="Q64" s="33"/>
      <c r="R64" s="23">
        <v>1</v>
      </c>
      <c r="S64" s="33">
        <v>100050008</v>
      </c>
      <c r="T64" s="33"/>
      <c r="U64" s="20"/>
      <c r="V64" s="20"/>
      <c r="W64" s="33"/>
      <c r="X64" s="23">
        <v>10</v>
      </c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8"/>
      <c r="AJ64" s="20"/>
      <c r="AK64" s="20"/>
      <c r="AL64" s="20"/>
      <c r="AM64" s="20"/>
      <c r="AN64" s="20"/>
      <c r="AO64" s="20"/>
      <c r="AP64" s="20"/>
    </row>
    <row r="65" spans="2:42" ht="18.75" customHeight="1">
      <c r="B65" s="23">
        <v>100050010</v>
      </c>
      <c r="C65" s="23">
        <v>10005</v>
      </c>
      <c r="D65" s="23" t="s">
        <v>230</v>
      </c>
      <c r="E65" s="23">
        <v>2002001</v>
      </c>
      <c r="F65" s="23">
        <v>1002001</v>
      </c>
      <c r="G65" s="32">
        <v>100020001001</v>
      </c>
      <c r="H65" s="20"/>
      <c r="I65" s="20"/>
      <c r="J65" s="23"/>
      <c r="K65" s="23"/>
      <c r="L65" s="23"/>
      <c r="M65" s="23"/>
      <c r="N65" s="35"/>
      <c r="O65" s="20"/>
      <c r="P65" s="20"/>
      <c r="Q65" s="23"/>
      <c r="R65" s="23">
        <v>1</v>
      </c>
      <c r="S65" s="23">
        <v>100050009</v>
      </c>
      <c r="T65" s="23"/>
      <c r="U65" s="20"/>
      <c r="V65" s="20"/>
      <c r="W65" s="23"/>
      <c r="X65" s="23">
        <v>10</v>
      </c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8"/>
      <c r="AJ65" s="20"/>
      <c r="AK65" s="20"/>
      <c r="AL65" s="20"/>
      <c r="AM65" s="20"/>
      <c r="AN65" s="20"/>
      <c r="AO65" s="20"/>
      <c r="AP65" s="20"/>
    </row>
    <row r="66" spans="2:42" ht="18.75" customHeight="1">
      <c r="B66" s="23">
        <v>100050011</v>
      </c>
      <c r="C66" s="23">
        <v>10005</v>
      </c>
      <c r="D66" s="23" t="s">
        <v>231</v>
      </c>
      <c r="E66" s="23">
        <v>2002002</v>
      </c>
      <c r="F66" s="23">
        <v>1002002</v>
      </c>
      <c r="G66" s="32">
        <v>100020001001</v>
      </c>
      <c r="H66" s="20"/>
      <c r="I66" s="20"/>
      <c r="J66" s="23"/>
      <c r="K66" s="23"/>
      <c r="L66" s="23"/>
      <c r="M66" s="23"/>
      <c r="N66" s="35"/>
      <c r="O66" s="20"/>
      <c r="P66" s="20"/>
      <c r="Q66" s="23"/>
      <c r="R66" s="23">
        <v>1</v>
      </c>
      <c r="S66" s="23">
        <v>100050010</v>
      </c>
      <c r="T66" s="23"/>
      <c r="U66" s="20"/>
      <c r="V66" s="20"/>
      <c r="W66" s="23"/>
      <c r="X66" s="23">
        <v>10</v>
      </c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8"/>
      <c r="AJ66" s="20"/>
      <c r="AK66" s="20"/>
      <c r="AL66" s="20"/>
      <c r="AM66" s="20"/>
      <c r="AN66" s="20"/>
      <c r="AO66" s="20"/>
      <c r="AP66" s="20"/>
    </row>
    <row r="67" spans="2:42" ht="18.75" customHeight="1">
      <c r="B67" s="23">
        <v>100050012</v>
      </c>
      <c r="C67" s="23">
        <v>10005</v>
      </c>
      <c r="D67" s="23" t="s">
        <v>232</v>
      </c>
      <c r="E67" s="23">
        <v>2001001</v>
      </c>
      <c r="F67" s="23">
        <v>1001001</v>
      </c>
      <c r="G67" s="32">
        <v>100020001001</v>
      </c>
      <c r="H67" s="20"/>
      <c r="I67" s="20"/>
      <c r="J67" s="23"/>
      <c r="K67" s="23"/>
      <c r="L67" s="23"/>
      <c r="M67" s="33"/>
      <c r="N67" s="34"/>
      <c r="O67" s="20"/>
      <c r="P67" s="20"/>
      <c r="Q67" s="33"/>
      <c r="R67" s="23">
        <v>1</v>
      </c>
      <c r="S67" s="33">
        <v>100050011</v>
      </c>
      <c r="T67" s="33"/>
      <c r="U67" s="20"/>
      <c r="V67" s="20"/>
      <c r="W67" s="33"/>
      <c r="X67" s="23">
        <v>10</v>
      </c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8"/>
      <c r="AJ67" s="20"/>
      <c r="AK67" s="20"/>
      <c r="AL67" s="20"/>
      <c r="AM67" s="20"/>
      <c r="AN67" s="20"/>
      <c r="AO67" s="20"/>
      <c r="AP67" s="20"/>
    </row>
    <row r="68" spans="2:42" ht="18.75" customHeight="1">
      <c r="B68" s="23">
        <v>100050013</v>
      </c>
      <c r="C68" s="23">
        <v>10005</v>
      </c>
      <c r="D68" s="23" t="s">
        <v>233</v>
      </c>
      <c r="E68" s="23">
        <v>2002001</v>
      </c>
      <c r="F68" s="23">
        <v>1002001</v>
      </c>
      <c r="G68" s="32">
        <v>100020001001</v>
      </c>
      <c r="H68" s="20"/>
      <c r="I68" s="20"/>
      <c r="J68" s="23"/>
      <c r="K68" s="23"/>
      <c r="L68" s="23"/>
      <c r="M68" s="23"/>
      <c r="N68" s="35"/>
      <c r="O68" s="20"/>
      <c r="P68" s="20"/>
      <c r="Q68" s="23"/>
      <c r="R68" s="23">
        <v>1</v>
      </c>
      <c r="S68" s="23">
        <v>100050012</v>
      </c>
      <c r="T68" s="23"/>
      <c r="U68" s="20"/>
      <c r="V68" s="20"/>
      <c r="W68" s="23"/>
      <c r="X68" s="23">
        <v>10</v>
      </c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8"/>
      <c r="AJ68" s="20"/>
      <c r="AK68" s="20"/>
      <c r="AL68" s="20"/>
      <c r="AM68" s="20"/>
      <c r="AN68" s="20"/>
      <c r="AO68" s="20"/>
      <c r="AP68" s="20"/>
    </row>
    <row r="69" spans="2:42" ht="18.75" customHeight="1">
      <c r="B69" s="23">
        <v>100050014</v>
      </c>
      <c r="C69" s="23">
        <v>10005</v>
      </c>
      <c r="D69" s="23" t="s">
        <v>234</v>
      </c>
      <c r="E69" s="23">
        <v>2002002</v>
      </c>
      <c r="F69" s="23">
        <v>1002002</v>
      </c>
      <c r="G69" s="32">
        <v>100020001001</v>
      </c>
      <c r="H69" s="20"/>
      <c r="I69" s="20"/>
      <c r="J69" s="23"/>
      <c r="K69" s="23"/>
      <c r="L69" s="23"/>
      <c r="M69" s="23"/>
      <c r="N69" s="35"/>
      <c r="O69" s="20"/>
      <c r="P69" s="20"/>
      <c r="Q69" s="23"/>
      <c r="R69" s="23">
        <v>1</v>
      </c>
      <c r="S69" s="23">
        <v>100050013</v>
      </c>
      <c r="T69" s="23"/>
      <c r="U69" s="20"/>
      <c r="V69" s="20"/>
      <c r="W69" s="23"/>
      <c r="X69" s="23">
        <v>10</v>
      </c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8"/>
      <c r="AJ69" s="20"/>
      <c r="AK69" s="20"/>
      <c r="AL69" s="20"/>
      <c r="AM69" s="20"/>
      <c r="AN69" s="20"/>
      <c r="AO69" s="20"/>
      <c r="AP69" s="20"/>
    </row>
    <row r="70" spans="2:42" ht="18.75" customHeight="1">
      <c r="B70" s="23">
        <v>100050015</v>
      </c>
      <c r="C70" s="23">
        <v>10005</v>
      </c>
      <c r="D70" s="23" t="s">
        <v>235</v>
      </c>
      <c r="E70" s="23">
        <v>2001001</v>
      </c>
      <c r="F70" s="23">
        <v>1001001</v>
      </c>
      <c r="G70" s="32">
        <v>100020001001</v>
      </c>
      <c r="H70" s="20"/>
      <c r="I70" s="20"/>
      <c r="J70" s="33"/>
      <c r="K70" s="33"/>
      <c r="L70" s="23"/>
      <c r="M70" s="33"/>
      <c r="N70" s="34"/>
      <c r="O70" s="20"/>
      <c r="P70" s="20"/>
      <c r="Q70" s="33"/>
      <c r="R70" s="23">
        <v>1</v>
      </c>
      <c r="S70" s="33">
        <v>100050014</v>
      </c>
      <c r="T70" s="33"/>
      <c r="U70" s="20"/>
      <c r="V70" s="20"/>
      <c r="W70" s="33"/>
      <c r="X70" s="23">
        <v>10</v>
      </c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8"/>
      <c r="AJ70" s="20"/>
      <c r="AK70" s="20"/>
      <c r="AL70" s="20"/>
      <c r="AM70" s="20"/>
      <c r="AN70" s="20"/>
      <c r="AO70" s="20"/>
      <c r="AP70" s="20"/>
    </row>
    <row r="71" spans="2:42" ht="18.75" customHeight="1">
      <c r="B71" s="23">
        <v>100060001</v>
      </c>
      <c r="C71" s="23">
        <v>10006</v>
      </c>
      <c r="D71" s="23" t="s">
        <v>236</v>
      </c>
      <c r="E71" s="23">
        <v>2002001</v>
      </c>
      <c r="F71" s="23">
        <v>1002001</v>
      </c>
      <c r="G71" s="32">
        <v>100020001001</v>
      </c>
      <c r="H71" s="20"/>
      <c r="I71" s="20"/>
      <c r="J71" s="23"/>
      <c r="K71" s="23"/>
      <c r="L71" s="23"/>
      <c r="M71" s="23"/>
      <c r="N71" s="35"/>
      <c r="O71" s="20"/>
      <c r="P71" s="20"/>
      <c r="Q71" s="23"/>
      <c r="R71" s="23">
        <v>1</v>
      </c>
      <c r="S71" s="23">
        <v>100050015</v>
      </c>
      <c r="T71" s="23"/>
      <c r="U71" s="20"/>
      <c r="V71" s="20"/>
      <c r="W71" s="23"/>
      <c r="X71" s="23">
        <v>10</v>
      </c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8"/>
      <c r="AJ71" s="20"/>
      <c r="AK71" s="20"/>
      <c r="AL71" s="20"/>
      <c r="AM71" s="20"/>
      <c r="AN71" s="20"/>
      <c r="AO71" s="20"/>
      <c r="AP71" s="20"/>
    </row>
    <row r="72" spans="2:42" ht="18.75" customHeight="1">
      <c r="B72" s="23">
        <v>100060002</v>
      </c>
      <c r="C72" s="23">
        <v>10006</v>
      </c>
      <c r="D72" s="23" t="s">
        <v>237</v>
      </c>
      <c r="E72" s="23">
        <v>2002002</v>
      </c>
      <c r="F72" s="23">
        <v>1002002</v>
      </c>
      <c r="G72" s="32">
        <v>100020001001</v>
      </c>
      <c r="H72" s="20"/>
      <c r="I72" s="20"/>
      <c r="J72" s="23"/>
      <c r="K72" s="23"/>
      <c r="L72" s="23"/>
      <c r="M72" s="23"/>
      <c r="N72" s="35"/>
      <c r="O72" s="20"/>
      <c r="P72" s="20"/>
      <c r="Q72" s="23"/>
      <c r="R72" s="23">
        <v>1</v>
      </c>
      <c r="S72" s="23">
        <v>100060001</v>
      </c>
      <c r="T72" s="23"/>
      <c r="U72" s="20"/>
      <c r="V72" s="20"/>
      <c r="W72" s="23"/>
      <c r="X72" s="23">
        <v>10</v>
      </c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8"/>
      <c r="AJ72" s="20"/>
      <c r="AK72" s="20"/>
      <c r="AL72" s="20"/>
      <c r="AM72" s="20"/>
      <c r="AN72" s="20"/>
      <c r="AO72" s="20"/>
      <c r="AP72" s="20"/>
    </row>
    <row r="73" spans="2:42" ht="18.75" customHeight="1">
      <c r="B73" s="23">
        <v>100060003</v>
      </c>
      <c r="C73" s="23">
        <v>10006</v>
      </c>
      <c r="D73" s="23" t="s">
        <v>238</v>
      </c>
      <c r="E73" s="23">
        <v>2001001</v>
      </c>
      <c r="F73" s="23">
        <v>1001001</v>
      </c>
      <c r="G73" s="32">
        <v>100020001001</v>
      </c>
      <c r="H73" s="20"/>
      <c r="I73" s="20"/>
      <c r="J73" s="23"/>
      <c r="K73" s="23"/>
      <c r="L73" s="23"/>
      <c r="M73" s="23"/>
      <c r="N73" s="35"/>
      <c r="O73" s="20"/>
      <c r="P73" s="20"/>
      <c r="Q73" s="23"/>
      <c r="R73" s="23">
        <v>1</v>
      </c>
      <c r="S73" s="23">
        <v>100060002</v>
      </c>
      <c r="T73" s="23"/>
      <c r="U73" s="20"/>
      <c r="V73" s="20"/>
      <c r="W73" s="23"/>
      <c r="X73" s="23">
        <v>10</v>
      </c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8"/>
      <c r="AJ73" s="20"/>
      <c r="AK73" s="20"/>
      <c r="AL73" s="20"/>
      <c r="AM73" s="20"/>
      <c r="AN73" s="20"/>
      <c r="AO73" s="20"/>
      <c r="AP73" s="20"/>
    </row>
    <row r="74" spans="2:42" ht="18.75" customHeight="1">
      <c r="B74" s="23">
        <v>100060004</v>
      </c>
      <c r="C74" s="23">
        <v>10006</v>
      </c>
      <c r="D74" s="23" t="s">
        <v>239</v>
      </c>
      <c r="E74" s="23">
        <v>2002001</v>
      </c>
      <c r="F74" s="23">
        <v>1002001</v>
      </c>
      <c r="G74" s="32">
        <v>100020001001</v>
      </c>
      <c r="H74" s="20"/>
      <c r="I74" s="20"/>
      <c r="J74" s="23"/>
      <c r="K74" s="23"/>
      <c r="L74" s="23"/>
      <c r="M74" s="23"/>
      <c r="N74" s="35"/>
      <c r="O74" s="20"/>
      <c r="P74" s="20"/>
      <c r="Q74" s="23"/>
      <c r="R74" s="23">
        <v>1</v>
      </c>
      <c r="S74" s="23">
        <v>100060003</v>
      </c>
      <c r="T74" s="23"/>
      <c r="U74" s="20"/>
      <c r="V74" s="20"/>
      <c r="W74" s="23"/>
      <c r="X74" s="23">
        <v>10</v>
      </c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8"/>
      <c r="AJ74" s="20"/>
      <c r="AK74" s="20"/>
      <c r="AL74" s="20"/>
      <c r="AM74" s="20"/>
      <c r="AN74" s="20"/>
      <c r="AO74" s="20"/>
      <c r="AP74" s="20"/>
    </row>
    <row r="75" spans="2:42" ht="18.75" customHeight="1">
      <c r="B75" s="23">
        <v>100060005</v>
      </c>
      <c r="C75" s="23">
        <v>10006</v>
      </c>
      <c r="D75" s="23" t="s">
        <v>240</v>
      </c>
      <c r="E75" s="23">
        <v>2002002</v>
      </c>
      <c r="F75" s="23">
        <v>1002002</v>
      </c>
      <c r="G75" s="32">
        <v>100020001001</v>
      </c>
      <c r="H75" s="20"/>
      <c r="I75" s="20"/>
      <c r="J75" s="23"/>
      <c r="K75" s="23"/>
      <c r="L75" s="23"/>
      <c r="M75" s="23"/>
      <c r="N75" s="35"/>
      <c r="O75" s="20"/>
      <c r="P75" s="20"/>
      <c r="Q75" s="23"/>
      <c r="R75" s="23">
        <v>1</v>
      </c>
      <c r="S75" s="23">
        <v>100060004</v>
      </c>
      <c r="T75" s="23"/>
      <c r="U75" s="20"/>
      <c r="V75" s="20"/>
      <c r="W75" s="23"/>
      <c r="X75" s="23">
        <v>10</v>
      </c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8"/>
      <c r="AJ75" s="20"/>
      <c r="AK75" s="20"/>
      <c r="AL75" s="20"/>
      <c r="AM75" s="20"/>
      <c r="AN75" s="20"/>
      <c r="AO75" s="20"/>
      <c r="AP75" s="20"/>
    </row>
    <row r="76" spans="2:42" ht="18.75" customHeight="1">
      <c r="B76" s="23">
        <v>100060006</v>
      </c>
      <c r="C76" s="23">
        <v>10006</v>
      </c>
      <c r="D76" s="23" t="s">
        <v>241</v>
      </c>
      <c r="E76" s="23">
        <v>2001001</v>
      </c>
      <c r="F76" s="23">
        <v>1001001</v>
      </c>
      <c r="G76" s="32">
        <v>100020001001</v>
      </c>
      <c r="H76" s="20"/>
      <c r="I76" s="20"/>
      <c r="J76" s="33"/>
      <c r="K76" s="33"/>
      <c r="L76" s="23"/>
      <c r="M76" s="23"/>
      <c r="N76" s="35"/>
      <c r="O76" s="20"/>
      <c r="P76" s="20"/>
      <c r="Q76" s="23"/>
      <c r="R76" s="23">
        <v>1</v>
      </c>
      <c r="S76" s="23">
        <v>100060005</v>
      </c>
      <c r="T76" s="23"/>
      <c r="U76" s="20"/>
      <c r="V76" s="20"/>
      <c r="W76" s="23"/>
      <c r="X76" s="23">
        <v>10</v>
      </c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8"/>
      <c r="AJ76" s="20"/>
      <c r="AK76" s="20"/>
      <c r="AL76" s="20"/>
      <c r="AM76" s="20"/>
      <c r="AN76" s="20"/>
      <c r="AO76" s="20"/>
      <c r="AP76" s="20"/>
    </row>
    <row r="77" spans="2:42" ht="18.75" customHeight="1">
      <c r="B77" s="23">
        <v>100060007</v>
      </c>
      <c r="C77" s="23">
        <v>10006</v>
      </c>
      <c r="D77" s="23" t="s">
        <v>242</v>
      </c>
      <c r="E77" s="23">
        <v>2002001</v>
      </c>
      <c r="F77" s="23">
        <v>1002001</v>
      </c>
      <c r="G77" s="32">
        <v>100020001001</v>
      </c>
      <c r="H77" s="20"/>
      <c r="I77" s="20"/>
      <c r="J77" s="23"/>
      <c r="K77" s="23"/>
      <c r="L77" s="23"/>
      <c r="M77" s="23"/>
      <c r="N77" s="35"/>
      <c r="O77" s="20"/>
      <c r="P77" s="20"/>
      <c r="Q77" s="23"/>
      <c r="R77" s="23">
        <v>1</v>
      </c>
      <c r="S77" s="23">
        <v>100060006</v>
      </c>
      <c r="T77" s="23"/>
      <c r="U77" s="20"/>
      <c r="V77" s="20"/>
      <c r="W77" s="23"/>
      <c r="X77" s="23">
        <v>10</v>
      </c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8"/>
      <c r="AJ77" s="20"/>
      <c r="AK77" s="20"/>
      <c r="AL77" s="20"/>
      <c r="AM77" s="20"/>
      <c r="AN77" s="20"/>
      <c r="AO77" s="20"/>
      <c r="AP77" s="20"/>
    </row>
    <row r="78" spans="2:42" ht="18.75" customHeight="1">
      <c r="B78" s="23">
        <v>100060008</v>
      </c>
      <c r="C78" s="23">
        <v>10006</v>
      </c>
      <c r="D78" s="23" t="s">
        <v>243</v>
      </c>
      <c r="E78" s="23">
        <v>2002002</v>
      </c>
      <c r="F78" s="23">
        <v>1002002</v>
      </c>
      <c r="G78" s="32">
        <v>100020001001</v>
      </c>
      <c r="H78" s="20"/>
      <c r="I78" s="20"/>
      <c r="J78" s="23"/>
      <c r="K78" s="23"/>
      <c r="L78" s="23"/>
      <c r="M78" s="23"/>
      <c r="N78" s="35"/>
      <c r="O78" s="20"/>
      <c r="P78" s="20"/>
      <c r="Q78" s="23"/>
      <c r="R78" s="23">
        <v>1</v>
      </c>
      <c r="S78" s="23">
        <v>100060007</v>
      </c>
      <c r="T78" s="23"/>
      <c r="U78" s="20"/>
      <c r="V78" s="20"/>
      <c r="W78" s="23"/>
      <c r="X78" s="23">
        <v>10</v>
      </c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8"/>
      <c r="AJ78" s="20"/>
      <c r="AK78" s="20"/>
      <c r="AL78" s="20"/>
      <c r="AM78" s="20"/>
      <c r="AN78" s="20"/>
      <c r="AO78" s="20"/>
      <c r="AP78" s="20"/>
    </row>
    <row r="79" spans="2:42" ht="18.75" customHeight="1">
      <c r="B79" s="23">
        <v>100060009</v>
      </c>
      <c r="C79" s="23">
        <v>10006</v>
      </c>
      <c r="D79" s="23" t="s">
        <v>244</v>
      </c>
      <c r="E79" s="23">
        <v>2001001</v>
      </c>
      <c r="F79" s="23">
        <v>1001001</v>
      </c>
      <c r="G79" s="32">
        <v>100020001001</v>
      </c>
      <c r="H79" s="20"/>
      <c r="I79" s="20"/>
      <c r="J79" s="23"/>
      <c r="K79" s="23"/>
      <c r="L79" s="23"/>
      <c r="M79" s="23"/>
      <c r="N79" s="35"/>
      <c r="O79" s="20"/>
      <c r="P79" s="20"/>
      <c r="Q79" s="23"/>
      <c r="R79" s="23">
        <v>1</v>
      </c>
      <c r="S79" s="23">
        <v>100060008</v>
      </c>
      <c r="T79" s="23"/>
      <c r="U79" s="20"/>
      <c r="V79" s="20"/>
      <c r="W79" s="23"/>
      <c r="X79" s="23">
        <v>10</v>
      </c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8"/>
      <c r="AJ79" s="20"/>
      <c r="AK79" s="20"/>
      <c r="AL79" s="20"/>
      <c r="AM79" s="20"/>
      <c r="AN79" s="20"/>
      <c r="AO79" s="20"/>
      <c r="AP79" s="20"/>
    </row>
    <row r="80" spans="2:42" ht="18.75" customHeight="1">
      <c r="B80" s="23">
        <v>100060010</v>
      </c>
      <c r="C80" s="23">
        <v>10006</v>
      </c>
      <c r="D80" s="23" t="s">
        <v>245</v>
      </c>
      <c r="E80" s="23">
        <v>2002001</v>
      </c>
      <c r="F80" s="23">
        <v>1002001</v>
      </c>
      <c r="G80" s="32">
        <v>100020001001</v>
      </c>
      <c r="H80" s="20"/>
      <c r="I80" s="20"/>
      <c r="J80" s="23"/>
      <c r="K80" s="23"/>
      <c r="L80" s="23"/>
      <c r="M80" s="23"/>
      <c r="N80" s="35"/>
      <c r="O80" s="20"/>
      <c r="P80" s="20"/>
      <c r="Q80" s="23"/>
      <c r="R80" s="23">
        <v>1</v>
      </c>
      <c r="S80" s="23">
        <v>100060009</v>
      </c>
      <c r="T80" s="23"/>
      <c r="U80" s="20"/>
      <c r="V80" s="20"/>
      <c r="W80" s="23"/>
      <c r="X80" s="23">
        <v>10</v>
      </c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8"/>
      <c r="AJ80" s="20"/>
      <c r="AK80" s="20"/>
      <c r="AL80" s="20"/>
      <c r="AM80" s="20"/>
      <c r="AN80" s="20"/>
      <c r="AO80" s="20"/>
      <c r="AP80" s="20"/>
    </row>
    <row r="81" spans="2:42" ht="18.75" customHeight="1">
      <c r="B81" s="23">
        <v>100060011</v>
      </c>
      <c r="C81" s="23">
        <v>10006</v>
      </c>
      <c r="D81" s="23" t="s">
        <v>246</v>
      </c>
      <c r="E81" s="23">
        <v>2002002</v>
      </c>
      <c r="F81" s="23">
        <v>1002002</v>
      </c>
      <c r="G81" s="32">
        <v>100020001001</v>
      </c>
      <c r="H81" s="20"/>
      <c r="I81" s="20"/>
      <c r="J81" s="23"/>
      <c r="K81" s="23"/>
      <c r="L81" s="23"/>
      <c r="M81" s="23"/>
      <c r="N81" s="35"/>
      <c r="O81" s="20"/>
      <c r="P81" s="20"/>
      <c r="Q81" s="23"/>
      <c r="R81" s="23">
        <v>1</v>
      </c>
      <c r="S81" s="23">
        <v>100060010</v>
      </c>
      <c r="T81" s="23"/>
      <c r="U81" s="20"/>
      <c r="V81" s="20"/>
      <c r="W81" s="23"/>
      <c r="X81" s="23">
        <v>10</v>
      </c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8"/>
      <c r="AJ81" s="20"/>
      <c r="AK81" s="20"/>
      <c r="AL81" s="20"/>
      <c r="AM81" s="20"/>
      <c r="AN81" s="20"/>
      <c r="AO81" s="20"/>
      <c r="AP81" s="20"/>
    </row>
    <row r="82" spans="2:42" ht="18.75" customHeight="1">
      <c r="B82" s="23">
        <v>100060012</v>
      </c>
      <c r="C82" s="23">
        <v>10006</v>
      </c>
      <c r="D82" s="23" t="s">
        <v>247</v>
      </c>
      <c r="E82" s="23">
        <v>2001001</v>
      </c>
      <c r="F82" s="23">
        <v>1001001</v>
      </c>
      <c r="G82" s="32">
        <v>100020001001</v>
      </c>
      <c r="H82" s="20"/>
      <c r="I82" s="20"/>
      <c r="J82" s="23"/>
      <c r="K82" s="23"/>
      <c r="L82" s="23"/>
      <c r="M82" s="23"/>
      <c r="N82" s="35"/>
      <c r="O82" s="20"/>
      <c r="P82" s="20"/>
      <c r="Q82" s="23"/>
      <c r="R82" s="23">
        <v>1</v>
      </c>
      <c r="S82" s="23">
        <v>100060011</v>
      </c>
      <c r="T82" s="23"/>
      <c r="U82" s="20"/>
      <c r="V82" s="20"/>
      <c r="W82" s="23"/>
      <c r="X82" s="23">
        <v>10</v>
      </c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8"/>
      <c r="AJ82" s="20"/>
      <c r="AK82" s="20"/>
      <c r="AL82" s="20"/>
      <c r="AM82" s="20"/>
      <c r="AN82" s="20"/>
      <c r="AO82" s="20"/>
      <c r="AP82" s="20"/>
    </row>
    <row r="83" spans="2:42" ht="18.75" customHeight="1">
      <c r="B83" s="23">
        <v>100060013</v>
      </c>
      <c r="C83" s="23">
        <v>10006</v>
      </c>
      <c r="D83" s="23" t="s">
        <v>248</v>
      </c>
      <c r="E83" s="23">
        <v>2002001</v>
      </c>
      <c r="F83" s="23">
        <v>1002001</v>
      </c>
      <c r="G83" s="32">
        <v>100020001001</v>
      </c>
      <c r="H83" s="20"/>
      <c r="I83" s="20"/>
      <c r="J83" s="23"/>
      <c r="K83" s="23"/>
      <c r="L83" s="23"/>
      <c r="M83" s="23"/>
      <c r="N83" s="35"/>
      <c r="O83" s="20"/>
      <c r="P83" s="20"/>
      <c r="Q83" s="23"/>
      <c r="R83" s="23">
        <v>1</v>
      </c>
      <c r="S83" s="23">
        <v>100060012</v>
      </c>
      <c r="T83" s="23"/>
      <c r="U83" s="20"/>
      <c r="V83" s="20"/>
      <c r="W83" s="23"/>
      <c r="X83" s="23">
        <v>10</v>
      </c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8"/>
      <c r="AJ83" s="20"/>
      <c r="AK83" s="20"/>
      <c r="AL83" s="20"/>
      <c r="AM83" s="20"/>
      <c r="AN83" s="20"/>
      <c r="AO83" s="20"/>
      <c r="AP83" s="20"/>
    </row>
    <row r="84" spans="2:42" ht="18.75" customHeight="1">
      <c r="B84" s="23">
        <v>100060014</v>
      </c>
      <c r="C84" s="23">
        <v>10006</v>
      </c>
      <c r="D84" s="23" t="s">
        <v>249</v>
      </c>
      <c r="E84" s="23">
        <v>2002002</v>
      </c>
      <c r="F84" s="23">
        <v>1002002</v>
      </c>
      <c r="G84" s="32">
        <v>100020001001</v>
      </c>
      <c r="H84" s="20"/>
      <c r="I84" s="20"/>
      <c r="J84" s="23"/>
      <c r="K84" s="23"/>
      <c r="L84" s="23"/>
      <c r="M84" s="23"/>
      <c r="N84" s="35"/>
      <c r="O84" s="20"/>
      <c r="P84" s="20"/>
      <c r="Q84" s="23"/>
      <c r="R84" s="23">
        <v>1</v>
      </c>
      <c r="S84" s="23">
        <v>100060013</v>
      </c>
      <c r="T84" s="23"/>
      <c r="U84" s="20"/>
      <c r="V84" s="20"/>
      <c r="W84" s="23"/>
      <c r="X84" s="23">
        <v>10</v>
      </c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8"/>
      <c r="AJ84" s="20"/>
      <c r="AK84" s="20"/>
      <c r="AL84" s="20"/>
      <c r="AM84" s="20"/>
      <c r="AN84" s="20"/>
      <c r="AO84" s="20"/>
      <c r="AP84" s="20"/>
    </row>
    <row r="85" spans="2:42" ht="18.75" customHeight="1">
      <c r="B85" s="23">
        <v>200010001</v>
      </c>
      <c r="C85" s="23">
        <v>20001</v>
      </c>
      <c r="D85" s="23" t="s">
        <v>471</v>
      </c>
      <c r="E85" s="23">
        <v>2002002</v>
      </c>
      <c r="F85" s="36">
        <v>1002002</v>
      </c>
      <c r="G85" s="32">
        <v>100020001001</v>
      </c>
      <c r="H85" s="20"/>
      <c r="I85" s="20"/>
      <c r="J85" s="23"/>
      <c r="K85" s="23"/>
      <c r="L85" s="23">
        <v>3</v>
      </c>
      <c r="M85" s="23"/>
      <c r="N85" s="35" t="s">
        <v>476</v>
      </c>
      <c r="O85" s="23">
        <v>3</v>
      </c>
      <c r="P85" s="20"/>
      <c r="Q85" s="35" t="s">
        <v>476</v>
      </c>
      <c r="R85" s="23"/>
      <c r="S85" s="23"/>
      <c r="T85" s="23"/>
      <c r="U85" s="20"/>
      <c r="V85" s="20"/>
      <c r="W85" s="23"/>
      <c r="X85" s="23">
        <v>1</v>
      </c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8"/>
      <c r="AJ85" s="20"/>
      <c r="AK85" s="20"/>
      <c r="AL85" s="20"/>
      <c r="AM85" s="20"/>
      <c r="AN85" s="20"/>
      <c r="AO85" s="20"/>
      <c r="AP85" s="20"/>
    </row>
    <row r="86" spans="2:42" ht="18.75" customHeight="1">
      <c r="B86" s="23">
        <v>200010002</v>
      </c>
      <c r="C86" s="23">
        <v>20001</v>
      </c>
      <c r="D86" s="23" t="s">
        <v>472</v>
      </c>
      <c r="E86" s="23">
        <v>2002002</v>
      </c>
      <c r="F86" s="36">
        <v>1002002</v>
      </c>
      <c r="G86" s="32">
        <v>100020001001</v>
      </c>
      <c r="H86" s="20"/>
      <c r="I86" s="20"/>
      <c r="J86" s="23"/>
      <c r="K86" s="23"/>
      <c r="L86" s="23">
        <v>3</v>
      </c>
      <c r="M86" s="23"/>
      <c r="N86" s="35" t="s">
        <v>476</v>
      </c>
      <c r="O86" s="23">
        <v>3</v>
      </c>
      <c r="P86" s="20"/>
      <c r="Q86" s="35" t="s">
        <v>476</v>
      </c>
      <c r="R86" s="23">
        <v>1</v>
      </c>
      <c r="S86" s="23">
        <v>200010001</v>
      </c>
      <c r="T86" s="23"/>
      <c r="U86" s="20"/>
      <c r="V86" s="20"/>
      <c r="W86" s="23"/>
      <c r="X86" s="23">
        <v>5</v>
      </c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8"/>
      <c r="AJ86" s="20"/>
      <c r="AK86" s="20"/>
      <c r="AL86" s="20"/>
      <c r="AM86" s="20"/>
      <c r="AN86" s="20"/>
      <c r="AO86" s="20"/>
      <c r="AP86" s="20"/>
    </row>
    <row r="87" spans="2:42" ht="18.75" customHeight="1">
      <c r="B87" s="23">
        <v>200010003</v>
      </c>
      <c r="C87" s="23">
        <v>20001</v>
      </c>
      <c r="D87" s="23" t="s">
        <v>473</v>
      </c>
      <c r="E87" s="23">
        <v>2002002</v>
      </c>
      <c r="F87" s="36">
        <v>1002002</v>
      </c>
      <c r="G87" s="32">
        <v>100020001001</v>
      </c>
      <c r="H87" s="20"/>
      <c r="I87" s="20"/>
      <c r="J87" s="23"/>
      <c r="K87" s="23"/>
      <c r="L87" s="23">
        <v>3</v>
      </c>
      <c r="M87" s="23"/>
      <c r="N87" s="35" t="s">
        <v>476</v>
      </c>
      <c r="O87" s="23">
        <v>3</v>
      </c>
      <c r="P87" s="20"/>
      <c r="Q87" s="35" t="s">
        <v>476</v>
      </c>
      <c r="R87" s="23">
        <v>1</v>
      </c>
      <c r="S87" s="23">
        <v>200010002</v>
      </c>
      <c r="T87" s="23"/>
      <c r="U87" s="20"/>
      <c r="V87" s="20"/>
      <c r="W87" s="23"/>
      <c r="X87" s="23">
        <v>10</v>
      </c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8"/>
      <c r="AJ87" s="20"/>
      <c r="AK87" s="20"/>
      <c r="AL87" s="20"/>
      <c r="AM87" s="20"/>
      <c r="AN87" s="20"/>
      <c r="AO87" s="20"/>
      <c r="AP87" s="20"/>
    </row>
    <row r="88" spans="2:42" ht="18.75" customHeight="1">
      <c r="B88" s="23">
        <v>200010004</v>
      </c>
      <c r="C88" s="23">
        <v>20001</v>
      </c>
      <c r="D88" s="23" t="s">
        <v>474</v>
      </c>
      <c r="E88" s="23">
        <v>2002002</v>
      </c>
      <c r="F88" s="36">
        <v>1002002</v>
      </c>
      <c r="G88" s="32">
        <v>100020001001</v>
      </c>
      <c r="H88" s="20"/>
      <c r="I88" s="20"/>
      <c r="J88" s="23"/>
      <c r="K88" s="23"/>
      <c r="L88" s="23">
        <v>3</v>
      </c>
      <c r="M88" s="23"/>
      <c r="N88" s="35" t="s">
        <v>476</v>
      </c>
      <c r="O88" s="23">
        <v>3</v>
      </c>
      <c r="P88" s="20"/>
      <c r="Q88" s="35" t="s">
        <v>476</v>
      </c>
      <c r="R88" s="23">
        <v>1</v>
      </c>
      <c r="S88" s="23">
        <v>200010003</v>
      </c>
      <c r="T88" s="23"/>
      <c r="U88" s="20"/>
      <c r="V88" s="20"/>
      <c r="W88" s="23"/>
      <c r="X88" s="23">
        <v>25</v>
      </c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8"/>
      <c r="AJ88" s="20"/>
      <c r="AK88" s="20"/>
      <c r="AL88" s="20"/>
      <c r="AM88" s="20"/>
      <c r="AN88" s="20"/>
      <c r="AO88" s="20"/>
      <c r="AP88" s="20"/>
    </row>
    <row r="89" spans="2:42" ht="18.75" customHeight="1">
      <c r="B89" s="23">
        <v>200010005</v>
      </c>
      <c r="C89" s="23">
        <v>20001</v>
      </c>
      <c r="D89" s="23" t="s">
        <v>475</v>
      </c>
      <c r="E89" s="23">
        <v>2002002</v>
      </c>
      <c r="F89" s="36">
        <v>1002002</v>
      </c>
      <c r="G89" s="32">
        <v>100020001001</v>
      </c>
      <c r="H89" s="32">
        <v>100020001001</v>
      </c>
      <c r="I89" s="20"/>
      <c r="J89" s="20"/>
      <c r="K89" s="20"/>
      <c r="L89" s="36">
        <v>3</v>
      </c>
      <c r="M89" s="20"/>
      <c r="N89" s="35" t="s">
        <v>476</v>
      </c>
      <c r="O89" s="36">
        <v>3</v>
      </c>
      <c r="P89" s="20"/>
      <c r="Q89" s="35" t="s">
        <v>476</v>
      </c>
      <c r="R89" s="23">
        <v>1</v>
      </c>
      <c r="S89" s="23">
        <v>200010004</v>
      </c>
      <c r="T89" s="20"/>
      <c r="U89" s="20"/>
      <c r="V89" s="20"/>
      <c r="W89" s="20"/>
      <c r="X89" s="23">
        <v>50</v>
      </c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5"/>
    </row>
    <row r="90" spans="2:42" ht="18.75" customHeight="1"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5"/>
    </row>
    <row r="91" spans="2:42" ht="18.75" customHeight="1"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5"/>
    </row>
    <row r="92" spans="2:42" ht="18.75" customHeight="1"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5"/>
    </row>
    <row r="93" spans="2:42" ht="18.75" customHeight="1"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5"/>
    </row>
    <row r="94" spans="2:42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5"/>
    </row>
    <row r="95" spans="2:42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5"/>
    </row>
    <row r="96" spans="2:42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5"/>
    </row>
    <row r="97" spans="2:35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5"/>
    </row>
    <row r="98" spans="2:35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5"/>
    </row>
    <row r="99" spans="2:35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5"/>
    </row>
    <row r="100" spans="2:35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5"/>
    </row>
    <row r="101" spans="2:35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5"/>
    </row>
    <row r="102" spans="2:35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5"/>
    </row>
    <row r="103" spans="2:35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5"/>
    </row>
    <row r="104" spans="2:35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5"/>
    </row>
    <row r="105" spans="2:35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5"/>
    </row>
    <row r="106" spans="2:35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5"/>
    </row>
    <row r="107" spans="2:35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5"/>
    </row>
    <row r="108" spans="2:35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5"/>
    </row>
    <row r="109" spans="2:35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5"/>
    </row>
    <row r="110" spans="2:35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5"/>
    </row>
    <row r="111" spans="2:35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5"/>
    </row>
    <row r="112" spans="2:35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5"/>
    </row>
    <row r="113" spans="2:35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5"/>
    </row>
    <row r="114" spans="2:35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5"/>
    </row>
    <row r="115" spans="2:35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5"/>
    </row>
    <row r="116" spans="2:35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5"/>
    </row>
    <row r="117" spans="2:35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5"/>
    </row>
    <row r="118" spans="2:35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5"/>
    </row>
    <row r="119" spans="2:35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5"/>
    </row>
    <row r="120" spans="2:35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5"/>
    </row>
    <row r="121" spans="2:35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5"/>
    </row>
    <row r="122" spans="2:35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5"/>
    </row>
    <row r="123" spans="2:35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5"/>
    </row>
    <row r="124" spans="2:35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5"/>
    </row>
    <row r="125" spans="2:35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5"/>
    </row>
    <row r="126" spans="2:35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5"/>
    </row>
    <row r="127" spans="2:35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5"/>
    </row>
    <row r="128" spans="2:35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5"/>
    </row>
    <row r="129" spans="2:35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5"/>
    </row>
    <row r="130" spans="2:35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5"/>
    </row>
    <row r="131" spans="2:35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5"/>
    </row>
    <row r="132" spans="2:35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5"/>
    </row>
    <row r="133" spans="2:35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5"/>
    </row>
    <row r="134" spans="2:35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5"/>
    </row>
    <row r="135" spans="2:35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5"/>
    </row>
    <row r="136" spans="2:35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5"/>
    </row>
    <row r="137" spans="2:35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5"/>
    </row>
    <row r="138" spans="2:35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5"/>
    </row>
    <row r="139" spans="2:35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5"/>
    </row>
    <row r="140" spans="2:35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5"/>
    </row>
    <row r="141" spans="2:35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5"/>
    </row>
    <row r="142" spans="2:35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5"/>
    </row>
    <row r="143" spans="2:35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5"/>
    </row>
    <row r="144" spans="2:35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5"/>
    </row>
    <row r="145" spans="2:35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5"/>
    </row>
    <row r="146" spans="2:35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5"/>
    </row>
    <row r="147" spans="2:35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5"/>
    </row>
    <row r="148" spans="2:35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5"/>
    </row>
    <row r="149" spans="2:35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5"/>
    </row>
    <row r="150" spans="2:35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5"/>
    </row>
    <row r="151" spans="2:35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5"/>
    </row>
    <row r="152" spans="2:35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5"/>
    </row>
    <row r="153" spans="2:35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5"/>
    </row>
    <row r="154" spans="2:35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5"/>
    </row>
    <row r="155" spans="2:35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5"/>
    </row>
    <row r="156" spans="2:35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5"/>
    </row>
    <row r="157" spans="2:35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5"/>
    </row>
    <row r="158" spans="2:35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5"/>
    </row>
    <row r="159" spans="2:35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5"/>
    </row>
    <row r="160" spans="2:35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5"/>
    </row>
    <row r="161" spans="2:35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5"/>
    </row>
    <row r="162" spans="2:35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5"/>
    </row>
    <row r="163" spans="2:35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5"/>
    </row>
    <row r="164" spans="2:35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5"/>
    </row>
    <row r="165" spans="2:35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5"/>
    </row>
    <row r="166" spans="2:35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5"/>
    </row>
    <row r="167" spans="2:35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5"/>
    </row>
    <row r="168" spans="2:35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5"/>
    </row>
    <row r="169" spans="2:35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5"/>
    </row>
    <row r="170" spans="2:35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5"/>
    </row>
    <row r="171" spans="2:35" ht="18.75" customHeight="1"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5"/>
    </row>
    <row r="172" spans="2:35" ht="18.75" customHeight="1"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5"/>
    </row>
    <row r="173" spans="2:35" ht="18.75" customHeight="1"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5"/>
    </row>
    <row r="174" spans="2:35" ht="18.75" customHeight="1"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5"/>
    </row>
    <row r="175" spans="2:35" ht="18.75" customHeight="1"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5"/>
    </row>
    <row r="176" spans="2:35" ht="18.75" customHeight="1"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5"/>
    </row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P7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L1001"/>
  <sheetViews>
    <sheetView workbookViewId="0">
      <selection activeCell="K8" sqref="K8"/>
    </sheetView>
  </sheetViews>
  <sheetFormatPr defaultColWidth="12.625" defaultRowHeight="15" customHeight="1"/>
  <cols>
    <col min="1" max="1" width="7.625" customWidth="1"/>
    <col min="2" max="2" width="17" customWidth="1"/>
    <col min="3" max="7" width="19.625" customWidth="1"/>
    <col min="8" max="38" width="12.625" customWidth="1"/>
  </cols>
  <sheetData>
    <row r="1" spans="1:38" ht="12" customHeight="1"/>
    <row r="2" spans="1:38" ht="40.5" customHeight="1">
      <c r="A2" s="1" t="s">
        <v>0</v>
      </c>
      <c r="B2" s="2" t="s">
        <v>361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369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>
        <v>1</v>
      </c>
      <c r="D5" s="5">
        <v>2</v>
      </c>
      <c r="E5" s="5">
        <v>3</v>
      </c>
      <c r="F5" s="5">
        <v>4</v>
      </c>
      <c r="G5" s="5">
        <v>5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 t="s">
        <v>362</v>
      </c>
      <c r="F7" s="6" t="s">
        <v>362</v>
      </c>
      <c r="G7" s="6" t="s">
        <v>362</v>
      </c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/>
      <c r="D8" s="8"/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288</v>
      </c>
      <c r="B10" s="24">
        <v>100010001001</v>
      </c>
      <c r="C10" s="24">
        <v>100010001001001</v>
      </c>
      <c r="D10" s="24">
        <v>100010001001002</v>
      </c>
      <c r="E10" s="24">
        <v>100010001001003</v>
      </c>
      <c r="F10" s="8">
        <v>0</v>
      </c>
      <c r="G10" s="8">
        <v>0</v>
      </c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24">
        <v>100020001001</v>
      </c>
      <c r="C11" s="24">
        <v>100020001001001</v>
      </c>
      <c r="D11" s="24">
        <v>100020001001002</v>
      </c>
      <c r="E11" s="24">
        <v>100020001001003</v>
      </c>
      <c r="F11" s="24">
        <v>100020001001004</v>
      </c>
      <c r="G11" s="24">
        <v>100020001001005</v>
      </c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24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24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24"/>
      <c r="C14" s="10"/>
      <c r="D14" s="8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24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24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24"/>
      <c r="C17" s="10"/>
      <c r="D17" s="8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L7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L1001"/>
  <sheetViews>
    <sheetView workbookViewId="0">
      <selection activeCell="G9" sqref="G9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309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310</v>
      </c>
      <c r="D4" s="5" t="s">
        <v>254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311</v>
      </c>
      <c r="D8" s="8" t="s">
        <v>312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288</v>
      </c>
      <c r="B10" s="24">
        <v>100010001001001</v>
      </c>
      <c r="C10" s="8">
        <v>1</v>
      </c>
      <c r="D10" s="8">
        <v>4</v>
      </c>
      <c r="E10" s="8"/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24">
        <v>100010001001002</v>
      </c>
      <c r="C11" s="10">
        <v>2</v>
      </c>
      <c r="D11" s="10">
        <v>5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24">
        <v>100010001001003</v>
      </c>
      <c r="C12" s="10">
        <v>3</v>
      </c>
      <c r="D12" s="10">
        <v>3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24">
        <v>100020001001001</v>
      </c>
      <c r="C13" s="10">
        <v>1</v>
      </c>
      <c r="D13" s="10">
        <v>5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24">
        <v>100020001001002</v>
      </c>
      <c r="C14" s="10">
        <v>2</v>
      </c>
      <c r="D14" s="8">
        <v>5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24">
        <v>100020001001003</v>
      </c>
      <c r="C15" s="10">
        <v>5</v>
      </c>
      <c r="D15" s="10">
        <v>7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24">
        <v>100020001001004</v>
      </c>
      <c r="C16" s="10">
        <v>2</v>
      </c>
      <c r="D16" s="10">
        <v>6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24">
        <v>100020001001005</v>
      </c>
      <c r="C17" s="10">
        <v>1</v>
      </c>
      <c r="D17" s="8">
        <v>5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L1001"/>
  <sheetViews>
    <sheetView workbookViewId="0">
      <selection activeCell="J21" sqref="J21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313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314</v>
      </c>
      <c r="E4" s="5" t="s">
        <v>315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>
        <v>1</v>
      </c>
      <c r="F5" s="5">
        <v>2</v>
      </c>
      <c r="G5" s="5">
        <v>3</v>
      </c>
      <c r="H5" s="5">
        <v>4</v>
      </c>
      <c r="I5" s="5">
        <v>5</v>
      </c>
      <c r="J5" s="5">
        <v>6</v>
      </c>
      <c r="K5" s="5">
        <v>7</v>
      </c>
      <c r="L5" s="5">
        <v>8</v>
      </c>
      <c r="M5" s="5">
        <v>9</v>
      </c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250</v>
      </c>
      <c r="D7" s="6" t="s">
        <v>141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155</v>
      </c>
      <c r="D8" s="8" t="s">
        <v>316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288</v>
      </c>
      <c r="B10" s="7">
        <v>1</v>
      </c>
      <c r="C10" s="8" t="s">
        <v>317</v>
      </c>
      <c r="D10" s="8">
        <v>1</v>
      </c>
      <c r="E10" s="8" t="b">
        <v>1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 t="s">
        <v>318</v>
      </c>
      <c r="D11" s="10">
        <v>2</v>
      </c>
      <c r="E11" s="10" t="b">
        <v>1</v>
      </c>
      <c r="F11" s="10" t="b">
        <v>1</v>
      </c>
      <c r="G11" s="10" t="b">
        <v>1</v>
      </c>
      <c r="H11" s="10" t="b">
        <v>1</v>
      </c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 t="s">
        <v>319</v>
      </c>
      <c r="D12" s="10">
        <v>3</v>
      </c>
      <c r="E12" s="10" t="b">
        <v>1</v>
      </c>
      <c r="F12" s="10" t="b">
        <v>1</v>
      </c>
      <c r="G12" s="10" t="b">
        <v>1</v>
      </c>
      <c r="H12" s="10" t="b">
        <v>1</v>
      </c>
      <c r="I12" s="10" t="b">
        <v>1</v>
      </c>
      <c r="J12" s="10" t="b">
        <v>1</v>
      </c>
      <c r="K12" s="10" t="b">
        <v>1</v>
      </c>
      <c r="L12" s="10" t="b">
        <v>1</v>
      </c>
      <c r="M12" s="10" t="b">
        <v>1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 t="s">
        <v>320</v>
      </c>
      <c r="D13" s="10">
        <v>2</v>
      </c>
      <c r="E13" s="10" t="b">
        <v>1</v>
      </c>
      <c r="F13" s="10" t="b">
        <v>1</v>
      </c>
      <c r="G13" s="10" t="b">
        <v>1</v>
      </c>
      <c r="H13" s="10" t="b">
        <v>0</v>
      </c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 t="s">
        <v>321</v>
      </c>
      <c r="D14" s="8">
        <v>3</v>
      </c>
      <c r="E14" s="10" t="b">
        <v>1</v>
      </c>
      <c r="F14" s="10" t="b">
        <v>1</v>
      </c>
      <c r="G14" s="10" t="b">
        <v>1</v>
      </c>
      <c r="H14" s="10" t="b">
        <v>1</v>
      </c>
      <c r="I14" s="10" t="b">
        <v>0</v>
      </c>
      <c r="J14" s="10" t="b">
        <v>0</v>
      </c>
      <c r="K14" s="10" t="b">
        <v>1</v>
      </c>
      <c r="L14" s="10" t="b">
        <v>0</v>
      </c>
      <c r="M14" s="10" t="b">
        <v>0</v>
      </c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7">
        <v>6</v>
      </c>
      <c r="C15" s="10" t="s">
        <v>322</v>
      </c>
      <c r="D15" s="10">
        <v>2</v>
      </c>
      <c r="E15" s="10" t="b">
        <v>1</v>
      </c>
      <c r="F15" s="10" t="b">
        <v>1</v>
      </c>
      <c r="G15" s="10" t="b">
        <v>0</v>
      </c>
      <c r="H15" s="10" t="b">
        <v>1</v>
      </c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7</v>
      </c>
      <c r="C16" s="10" t="s">
        <v>323</v>
      </c>
      <c r="D16" s="10">
        <v>3</v>
      </c>
      <c r="E16" s="10" t="b">
        <v>1</v>
      </c>
      <c r="F16" s="10" t="b">
        <v>1</v>
      </c>
      <c r="G16" s="10" t="b">
        <v>1</v>
      </c>
      <c r="H16" s="10" t="b">
        <v>0</v>
      </c>
      <c r="I16" s="10" t="b">
        <v>0</v>
      </c>
      <c r="J16" s="10" t="b">
        <v>1</v>
      </c>
      <c r="K16" s="10" t="b">
        <v>0</v>
      </c>
      <c r="L16" s="10" t="b">
        <v>0</v>
      </c>
      <c r="M16" s="10" t="b">
        <v>1</v>
      </c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7">
        <v>8</v>
      </c>
      <c r="C17" s="10" t="s">
        <v>324</v>
      </c>
      <c r="D17" s="8">
        <v>2</v>
      </c>
      <c r="E17" s="10" t="b">
        <v>1</v>
      </c>
      <c r="F17" s="10" t="b">
        <v>0</v>
      </c>
      <c r="G17" s="10" t="b">
        <v>1</v>
      </c>
      <c r="H17" s="10" t="b">
        <v>1</v>
      </c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>
        <v>9</v>
      </c>
      <c r="C18" s="10" t="s">
        <v>325</v>
      </c>
      <c r="D18" s="10">
        <v>3</v>
      </c>
      <c r="E18" s="10" t="b">
        <v>1</v>
      </c>
      <c r="F18" s="10" t="b">
        <v>0</v>
      </c>
      <c r="G18" s="10" t="b">
        <v>0</v>
      </c>
      <c r="H18" s="10" t="b">
        <v>1</v>
      </c>
      <c r="I18" s="10" t="b">
        <v>0</v>
      </c>
      <c r="J18" s="10" t="b">
        <v>0</v>
      </c>
      <c r="K18" s="10" t="b">
        <v>1</v>
      </c>
      <c r="L18" s="10" t="b">
        <v>1</v>
      </c>
      <c r="M18" s="10" t="b">
        <v>1</v>
      </c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7">
        <v>10</v>
      </c>
      <c r="C19" s="10" t="s">
        <v>326</v>
      </c>
      <c r="D19" s="10">
        <v>2</v>
      </c>
      <c r="E19" s="10" t="b">
        <v>0</v>
      </c>
      <c r="F19" s="10" t="b">
        <v>1</v>
      </c>
      <c r="G19" s="10" t="b">
        <v>1</v>
      </c>
      <c r="H19" s="10" t="b">
        <v>1</v>
      </c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 t="s">
        <v>327</v>
      </c>
      <c r="D20" s="10">
        <v>3</v>
      </c>
      <c r="E20" s="10" t="b">
        <v>0</v>
      </c>
      <c r="F20" s="10" t="b">
        <v>0</v>
      </c>
      <c r="G20" s="10" t="b">
        <v>1</v>
      </c>
      <c r="H20" s="10" t="b">
        <v>0</v>
      </c>
      <c r="I20" s="10" t="b">
        <v>0</v>
      </c>
      <c r="J20" s="10" t="b">
        <v>1</v>
      </c>
      <c r="K20" s="10" t="b">
        <v>1</v>
      </c>
      <c r="L20" s="10" t="b">
        <v>1</v>
      </c>
      <c r="M20" s="10" t="b">
        <v>1</v>
      </c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 t="s">
        <v>328</v>
      </c>
      <c r="D21" s="8">
        <v>2</v>
      </c>
      <c r="E21" s="10" t="b">
        <v>1</v>
      </c>
      <c r="F21" s="10" t="b">
        <v>1</v>
      </c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 t="s">
        <v>329</v>
      </c>
      <c r="D22" s="10">
        <v>3</v>
      </c>
      <c r="E22" s="10" t="b">
        <v>1</v>
      </c>
      <c r="F22" s="10" t="b">
        <v>1</v>
      </c>
      <c r="G22" s="10" t="b">
        <v>1</v>
      </c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 t="s">
        <v>330</v>
      </c>
      <c r="D23" s="10">
        <v>4</v>
      </c>
      <c r="E23" s="10" t="b">
        <v>1</v>
      </c>
      <c r="F23" s="10" t="b">
        <v>1</v>
      </c>
      <c r="G23" s="10" t="b">
        <v>1</v>
      </c>
      <c r="H23" s="10" t="b">
        <v>1</v>
      </c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 t="s">
        <v>331</v>
      </c>
      <c r="D24" s="8">
        <v>5</v>
      </c>
      <c r="E24" s="10" t="b">
        <v>1</v>
      </c>
      <c r="F24" s="10" t="b">
        <v>1</v>
      </c>
      <c r="G24" s="10" t="b">
        <v>1</v>
      </c>
      <c r="H24" s="10" t="b">
        <v>1</v>
      </c>
      <c r="I24" s="10" t="b">
        <v>1</v>
      </c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7">
        <v>16</v>
      </c>
      <c r="C25" s="10" t="s">
        <v>332</v>
      </c>
      <c r="D25" s="10">
        <v>1</v>
      </c>
      <c r="E25" s="10" t="b">
        <v>1</v>
      </c>
      <c r="F25" s="10" t="b">
        <v>1</v>
      </c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>
        <v>17</v>
      </c>
      <c r="C26" s="10" t="s">
        <v>333</v>
      </c>
      <c r="D26" s="10">
        <v>1</v>
      </c>
      <c r="E26" s="10" t="b">
        <v>1</v>
      </c>
      <c r="F26" s="10" t="b">
        <v>1</v>
      </c>
      <c r="G26" s="10" t="b">
        <v>1</v>
      </c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7">
        <v>18</v>
      </c>
      <c r="C27" s="10" t="s">
        <v>334</v>
      </c>
      <c r="D27" s="10">
        <v>1</v>
      </c>
      <c r="E27" s="10" t="b">
        <v>1</v>
      </c>
      <c r="F27" s="10" t="b">
        <v>1</v>
      </c>
      <c r="G27" s="10" t="b">
        <v>1</v>
      </c>
      <c r="H27" s="10" t="b">
        <v>1</v>
      </c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>
        <v>19</v>
      </c>
      <c r="C28" s="10" t="s">
        <v>335</v>
      </c>
      <c r="D28" s="8">
        <v>1</v>
      </c>
      <c r="E28" s="10" t="b">
        <v>1</v>
      </c>
      <c r="F28" s="10" t="b">
        <v>1</v>
      </c>
      <c r="G28" s="10" t="b">
        <v>1</v>
      </c>
      <c r="H28" s="10" t="b">
        <v>1</v>
      </c>
      <c r="I28" s="10" t="b">
        <v>1</v>
      </c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AN1001"/>
  <sheetViews>
    <sheetView topLeftCell="E7" workbookViewId="0">
      <selection activeCell="M15" sqref="M15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67.375" customWidth="1"/>
    <col min="5" max="5" width="23.625" customWidth="1"/>
    <col min="6" max="6" width="18.875" customWidth="1"/>
    <col min="7" max="7" width="25.625" customWidth="1"/>
    <col min="8" max="10" width="18.875" customWidth="1"/>
    <col min="11" max="11" width="19" customWidth="1"/>
    <col min="12" max="13" width="18.875" customWidth="1"/>
    <col min="14" max="40" width="12.625" customWidth="1"/>
  </cols>
  <sheetData>
    <row r="1" spans="1:40" ht="12" customHeight="1"/>
    <row r="2" spans="1:40" ht="40.5" customHeight="1">
      <c r="A2" s="1" t="s">
        <v>0</v>
      </c>
      <c r="B2" s="2" t="s">
        <v>393</v>
      </c>
      <c r="K2" s="12"/>
    </row>
    <row r="3" spans="1:40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1:40" ht="18.75" customHeight="1">
      <c r="A4" s="1" t="s">
        <v>3</v>
      </c>
      <c r="B4" s="5" t="s">
        <v>4</v>
      </c>
      <c r="C4" s="5" t="s">
        <v>128</v>
      </c>
      <c r="D4" s="5" t="s">
        <v>394</v>
      </c>
      <c r="E4" s="5" t="s">
        <v>395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</row>
    <row r="5" spans="1:40" ht="18.75" customHeight="1">
      <c r="A5" s="1" t="s">
        <v>19</v>
      </c>
      <c r="B5" s="5"/>
      <c r="C5" s="5"/>
      <c r="D5" s="5"/>
      <c r="E5" s="5">
        <v>1</v>
      </c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</row>
    <row r="6" spans="1:40" ht="18.75" customHeight="1">
      <c r="A6" s="1" t="s">
        <v>25</v>
      </c>
      <c r="B6" s="5"/>
      <c r="C6" s="5"/>
      <c r="D6" s="5"/>
      <c r="E6" s="5" t="s">
        <v>402</v>
      </c>
      <c r="F6" s="5" t="s">
        <v>422</v>
      </c>
      <c r="G6" s="5" t="s">
        <v>396</v>
      </c>
      <c r="H6" s="5" t="s">
        <v>397</v>
      </c>
      <c r="I6" s="5" t="s">
        <v>398</v>
      </c>
      <c r="J6" s="5" t="s">
        <v>399</v>
      </c>
      <c r="K6" s="5" t="s">
        <v>400</v>
      </c>
      <c r="L6" s="5" t="s">
        <v>401</v>
      </c>
      <c r="M6" s="5" t="s">
        <v>460</v>
      </c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</row>
    <row r="7" spans="1:40" ht="18.75" customHeight="1">
      <c r="A7" s="1" t="s">
        <v>32</v>
      </c>
      <c r="B7" s="6" t="s">
        <v>33</v>
      </c>
      <c r="C7" s="6" t="s">
        <v>250</v>
      </c>
      <c r="D7" s="6" t="s">
        <v>250</v>
      </c>
      <c r="E7" s="6" t="s">
        <v>141</v>
      </c>
      <c r="F7" s="6" t="s">
        <v>362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33</v>
      </c>
      <c r="M7" s="6" t="s">
        <v>362</v>
      </c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</row>
    <row r="8" spans="1:40" ht="76.5" customHeight="1">
      <c r="A8" s="1" t="s">
        <v>37</v>
      </c>
      <c r="B8" s="7" t="s">
        <v>38</v>
      </c>
      <c r="C8" s="7" t="s">
        <v>403</v>
      </c>
      <c r="D8" s="8" t="s">
        <v>404</v>
      </c>
      <c r="E8" s="8" t="s">
        <v>405</v>
      </c>
      <c r="F8" s="8" t="s">
        <v>423</v>
      </c>
      <c r="G8" s="8" t="s">
        <v>406</v>
      </c>
      <c r="H8" s="7" t="s">
        <v>407</v>
      </c>
      <c r="I8" s="7" t="s">
        <v>408</v>
      </c>
      <c r="J8" s="8" t="s">
        <v>409</v>
      </c>
      <c r="K8" s="8" t="s">
        <v>410</v>
      </c>
      <c r="L8" s="8" t="s">
        <v>411</v>
      </c>
      <c r="M8" s="8" t="s">
        <v>461</v>
      </c>
      <c r="N8" s="8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8"/>
      <c r="AE8" s="8"/>
      <c r="AF8" s="7"/>
      <c r="AG8" s="7"/>
      <c r="AH8" s="7"/>
      <c r="AI8" s="7"/>
      <c r="AJ8" s="7"/>
      <c r="AK8" s="7"/>
      <c r="AL8" s="7"/>
      <c r="AM8" s="7"/>
      <c r="AN8" s="7"/>
    </row>
    <row r="9" spans="1:40" ht="327.75" customHeight="1">
      <c r="A9" s="1" t="s">
        <v>64</v>
      </c>
      <c r="B9" s="7"/>
      <c r="C9" s="8"/>
      <c r="D9" s="8"/>
      <c r="E9" s="8" t="s">
        <v>424</v>
      </c>
      <c r="F9" s="8" t="s">
        <v>448</v>
      </c>
      <c r="G9" s="8" t="s">
        <v>441</v>
      </c>
      <c r="H9" s="8" t="s">
        <v>425</v>
      </c>
      <c r="I9" s="8" t="s">
        <v>426</v>
      </c>
      <c r="J9" s="8"/>
      <c r="K9" s="8" t="s">
        <v>427</v>
      </c>
      <c r="L9" s="8" t="s">
        <v>428</v>
      </c>
      <c r="M9" s="7"/>
      <c r="N9" s="7"/>
      <c r="O9" s="8"/>
      <c r="P9" s="7"/>
      <c r="Q9" s="7"/>
      <c r="R9" s="7"/>
      <c r="S9" s="7"/>
      <c r="T9" s="8"/>
      <c r="U9" s="8"/>
      <c r="V9" s="8"/>
      <c r="W9" s="8"/>
      <c r="X9" s="8"/>
      <c r="Y9" s="8"/>
      <c r="Z9" s="8"/>
      <c r="AA9" s="8"/>
      <c r="AB9" s="7"/>
      <c r="AC9" s="7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</row>
    <row r="10" spans="1:40" ht="20.100000000000001" customHeight="1">
      <c r="A10" s="9" t="s">
        <v>288</v>
      </c>
      <c r="B10" s="7">
        <v>1</v>
      </c>
      <c r="C10" s="8" t="s">
        <v>417</v>
      </c>
      <c r="D10" s="8" t="s">
        <v>412</v>
      </c>
      <c r="E10" s="8">
        <v>3</v>
      </c>
      <c r="F10" s="8">
        <v>2</v>
      </c>
      <c r="G10" s="8">
        <v>1</v>
      </c>
      <c r="H10" s="8">
        <v>2</v>
      </c>
      <c r="I10" s="8">
        <v>2</v>
      </c>
      <c r="J10" s="8">
        <v>120</v>
      </c>
      <c r="K10" s="7">
        <v>0</v>
      </c>
      <c r="L10" s="7">
        <v>0</v>
      </c>
      <c r="M10" s="7">
        <v>2</v>
      </c>
      <c r="N10" s="7"/>
      <c r="O10" s="8"/>
      <c r="P10" s="7"/>
      <c r="Q10" s="7"/>
      <c r="R10" s="7"/>
      <c r="S10" s="7"/>
      <c r="T10" s="8"/>
      <c r="U10" s="8"/>
      <c r="V10" s="8"/>
      <c r="W10" s="8"/>
      <c r="X10" s="8"/>
      <c r="Y10" s="8"/>
      <c r="Z10" s="8"/>
      <c r="AA10" s="8"/>
      <c r="AB10" s="7"/>
      <c r="AC10" s="7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</row>
    <row r="11" spans="1:40" ht="18.75" customHeight="1">
      <c r="A11" s="9"/>
      <c r="B11" s="10">
        <v>2</v>
      </c>
      <c r="C11" s="10" t="s">
        <v>418</v>
      </c>
      <c r="D11" s="10" t="s">
        <v>413</v>
      </c>
      <c r="E11" s="10">
        <v>4</v>
      </c>
      <c r="F11" s="10">
        <v>2</v>
      </c>
      <c r="G11" s="10">
        <v>1</v>
      </c>
      <c r="H11" s="10">
        <v>2</v>
      </c>
      <c r="I11" s="10">
        <v>2</v>
      </c>
      <c r="J11" s="10">
        <v>150</v>
      </c>
      <c r="K11" s="10">
        <v>0</v>
      </c>
      <c r="L11" s="10">
        <v>0</v>
      </c>
      <c r="M11" s="10">
        <v>2</v>
      </c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</row>
    <row r="12" spans="1:40" ht="18.75" customHeight="1">
      <c r="A12" s="11"/>
      <c r="B12" s="7">
        <v>3</v>
      </c>
      <c r="C12" s="10" t="s">
        <v>419</v>
      </c>
      <c r="D12" s="10" t="s">
        <v>414</v>
      </c>
      <c r="E12" s="10">
        <v>6</v>
      </c>
      <c r="F12" s="10">
        <v>2</v>
      </c>
      <c r="G12" s="10">
        <v>14</v>
      </c>
      <c r="H12" s="10">
        <v>2</v>
      </c>
      <c r="I12" s="10">
        <v>1</v>
      </c>
      <c r="J12" s="10">
        <v>200</v>
      </c>
      <c r="K12" s="10">
        <v>0</v>
      </c>
      <c r="L12" s="10">
        <v>0</v>
      </c>
      <c r="M12" s="10">
        <v>1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</row>
    <row r="13" spans="1:40" ht="18.75" customHeight="1">
      <c r="A13" s="11"/>
      <c r="B13" s="10">
        <v>4</v>
      </c>
      <c r="C13" s="10" t="s">
        <v>420</v>
      </c>
      <c r="D13" s="10" t="s">
        <v>415</v>
      </c>
      <c r="E13" s="10">
        <v>1</v>
      </c>
      <c r="F13" s="10">
        <v>1</v>
      </c>
      <c r="G13" s="10">
        <v>1</v>
      </c>
      <c r="H13" s="10">
        <v>0</v>
      </c>
      <c r="I13" s="10">
        <v>3</v>
      </c>
      <c r="J13" s="10">
        <v>25</v>
      </c>
      <c r="K13" s="10">
        <v>3</v>
      </c>
      <c r="L13" s="10">
        <v>-1</v>
      </c>
      <c r="M13" s="10">
        <v>3</v>
      </c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</row>
    <row r="14" spans="1:40" ht="18.75" customHeight="1">
      <c r="A14" s="11"/>
      <c r="B14" s="7">
        <v>5</v>
      </c>
      <c r="C14" s="10" t="s">
        <v>421</v>
      </c>
      <c r="D14" s="10" t="s">
        <v>416</v>
      </c>
      <c r="E14" s="10">
        <v>7</v>
      </c>
      <c r="F14" s="10">
        <v>2</v>
      </c>
      <c r="G14" s="10">
        <v>2</v>
      </c>
      <c r="H14" s="10">
        <v>2</v>
      </c>
      <c r="I14" s="10">
        <v>3</v>
      </c>
      <c r="J14" s="10">
        <v>400</v>
      </c>
      <c r="K14" s="10">
        <v>9</v>
      </c>
      <c r="L14" s="10">
        <v>4</v>
      </c>
      <c r="M14" s="10">
        <v>3</v>
      </c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</row>
    <row r="15" spans="1:40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</row>
    <row r="16" spans="1:40" ht="18.75" customHeight="1">
      <c r="A16" s="11"/>
      <c r="B16" s="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</row>
    <row r="17" spans="1:40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</row>
    <row r="18" spans="1:40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</row>
    <row r="19" spans="1:40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</row>
    <row r="20" spans="1:40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</row>
    <row r="21" spans="1:40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</row>
    <row r="22" spans="1:40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</row>
    <row r="23" spans="1:40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</row>
    <row r="24" spans="1:40" ht="18.75" customHeight="1">
      <c r="A24" s="11"/>
      <c r="B24" s="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</row>
    <row r="25" spans="1:40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</row>
    <row r="26" spans="1:40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</row>
    <row r="27" spans="1:40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</row>
    <row r="28" spans="1:40" ht="18.75" customHeight="1">
      <c r="A28" s="11"/>
      <c r="B28" s="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</row>
    <row r="29" spans="1:40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</row>
    <row r="30" spans="1:40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</row>
    <row r="31" spans="1:40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</row>
    <row r="32" spans="1:40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</row>
    <row r="33" spans="1:40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</row>
    <row r="34" spans="1:40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</row>
    <row r="35" spans="1:40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</row>
    <row r="36" spans="1:40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</row>
    <row r="37" spans="1:40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</row>
    <row r="38" spans="1:40" ht="18.75" customHeight="1">
      <c r="A38" s="11"/>
      <c r="B38" s="7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</row>
    <row r="39" spans="1:40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</row>
    <row r="40" spans="1:40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</row>
    <row r="41" spans="1:40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</row>
    <row r="42" spans="1:40" ht="18.75" customHeight="1">
      <c r="A42" s="11"/>
      <c r="B42" s="7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</row>
    <row r="43" spans="1:40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</row>
    <row r="44" spans="1:40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</row>
    <row r="45" spans="1:40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</row>
    <row r="46" spans="1:40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</row>
    <row r="47" spans="1:40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</row>
    <row r="48" spans="1:40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</row>
    <row r="49" spans="1:40" ht="18.75" customHeight="1">
      <c r="A49" s="11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</row>
    <row r="50" spans="1:40" ht="18.75" customHeight="1">
      <c r="B50" s="7"/>
      <c r="C50" s="10"/>
      <c r="D50" s="10"/>
      <c r="E50" s="10"/>
      <c r="F50" s="22"/>
      <c r="G50" s="22"/>
    </row>
    <row r="51" spans="1:40" ht="18.75" customHeight="1">
      <c r="B51" s="10"/>
      <c r="C51" s="10"/>
      <c r="D51" s="10"/>
      <c r="E51" s="10"/>
      <c r="F51" s="22"/>
      <c r="G51" s="22"/>
    </row>
    <row r="52" spans="1:40" ht="18.75" customHeight="1">
      <c r="B52" s="7"/>
      <c r="C52" s="10"/>
      <c r="D52" s="10"/>
      <c r="E52" s="10"/>
      <c r="F52" s="22"/>
      <c r="G52" s="22"/>
    </row>
    <row r="53" spans="1:40" ht="18.75" customHeight="1">
      <c r="B53" s="10"/>
      <c r="C53" s="10"/>
      <c r="D53" s="10"/>
      <c r="E53" s="10"/>
      <c r="F53" s="22"/>
      <c r="G53" s="22"/>
    </row>
    <row r="54" spans="1:40" ht="18.75" customHeight="1">
      <c r="B54" s="7"/>
      <c r="C54" s="10"/>
      <c r="D54" s="10"/>
      <c r="E54" s="10"/>
      <c r="F54" s="22"/>
      <c r="G54" s="22"/>
    </row>
    <row r="55" spans="1:40" ht="18.75" customHeight="1">
      <c r="B55" s="10"/>
      <c r="C55" s="10"/>
      <c r="D55" s="10"/>
      <c r="E55" s="10"/>
      <c r="F55" s="22"/>
      <c r="G55" s="22"/>
    </row>
    <row r="56" spans="1:40" ht="18.75" customHeight="1">
      <c r="B56" s="7"/>
      <c r="C56" s="10"/>
      <c r="D56" s="10"/>
      <c r="E56" s="10"/>
      <c r="F56" s="22"/>
      <c r="G56" s="22"/>
    </row>
    <row r="57" spans="1:40" ht="18.75" customHeight="1">
      <c r="B57" s="10"/>
      <c r="C57" s="10"/>
      <c r="D57" s="10"/>
      <c r="E57" s="10"/>
      <c r="F57" s="22"/>
      <c r="G57" s="22"/>
    </row>
    <row r="58" spans="1:40" ht="18.75" customHeight="1">
      <c r="B58" s="7"/>
      <c r="C58" s="10"/>
      <c r="D58" s="10"/>
      <c r="E58" s="10"/>
      <c r="F58" s="22"/>
      <c r="G58" s="22"/>
    </row>
    <row r="59" spans="1:40" ht="18.75" customHeight="1">
      <c r="B59" s="10"/>
      <c r="C59" s="10"/>
      <c r="D59" s="10"/>
      <c r="E59" s="10"/>
      <c r="F59" s="22"/>
      <c r="G59" s="22"/>
    </row>
    <row r="60" spans="1:40" ht="18.75" customHeight="1">
      <c r="B60" s="7"/>
      <c r="C60" s="10"/>
      <c r="D60" s="10"/>
      <c r="E60" s="10"/>
      <c r="F60" s="22"/>
      <c r="G60" s="22"/>
    </row>
    <row r="61" spans="1:40" ht="18.75" customHeight="1">
      <c r="B61" s="10"/>
      <c r="C61" s="10"/>
      <c r="D61" s="10"/>
      <c r="E61" s="10"/>
      <c r="F61" s="22"/>
      <c r="G61" s="22"/>
    </row>
    <row r="62" spans="1:40" ht="18.75" customHeight="1">
      <c r="B62" s="7"/>
      <c r="C62" s="10"/>
      <c r="D62" s="10"/>
      <c r="E62" s="10"/>
      <c r="F62" s="22"/>
      <c r="G62" s="22"/>
    </row>
    <row r="63" spans="1:40" ht="18.75" customHeight="1">
      <c r="B63" s="10"/>
      <c r="C63" s="10"/>
      <c r="D63" s="10"/>
      <c r="E63" s="10"/>
      <c r="F63" s="22"/>
      <c r="G63" s="22"/>
    </row>
    <row r="64" spans="1:40" ht="18.75" customHeight="1">
      <c r="B64" s="7"/>
      <c r="C64" s="10"/>
      <c r="D64" s="10"/>
      <c r="E64" s="10"/>
      <c r="F64" s="22"/>
      <c r="G64" s="22"/>
    </row>
    <row r="65" spans="2:7" ht="18.75" customHeight="1">
      <c r="B65" s="10"/>
      <c r="C65" s="10"/>
      <c r="D65" s="10"/>
      <c r="E65" s="10"/>
      <c r="F65" s="22"/>
      <c r="G65" s="22"/>
    </row>
    <row r="66" spans="2:7" ht="18.75" customHeight="1">
      <c r="B66" s="7"/>
      <c r="C66" s="10"/>
      <c r="D66" s="10"/>
      <c r="E66" s="10"/>
      <c r="F66" s="22"/>
      <c r="G66" s="22"/>
    </row>
    <row r="67" spans="2:7" ht="18.75" customHeight="1">
      <c r="B67" s="10"/>
      <c r="C67" s="10"/>
      <c r="D67" s="10"/>
      <c r="E67" s="10"/>
      <c r="F67" s="22"/>
      <c r="G67" s="22"/>
    </row>
    <row r="68" spans="2:7" ht="18.75" customHeight="1">
      <c r="B68" s="7"/>
      <c r="C68" s="10"/>
      <c r="D68" s="10"/>
      <c r="E68" s="10"/>
      <c r="F68" s="22"/>
      <c r="G68" s="22"/>
    </row>
    <row r="69" spans="2:7" ht="18.75" customHeight="1">
      <c r="B69" s="10"/>
      <c r="C69" s="10"/>
      <c r="D69" s="10"/>
      <c r="E69" s="10"/>
      <c r="F69" s="22"/>
      <c r="G69" s="22"/>
    </row>
    <row r="70" spans="2:7" ht="18.75" customHeight="1">
      <c r="B70" s="7"/>
      <c r="C70" s="10"/>
      <c r="D70" s="10"/>
      <c r="E70" s="10"/>
      <c r="F70" s="22"/>
      <c r="G70" s="22"/>
    </row>
    <row r="71" spans="2:7" ht="18.75" customHeight="1">
      <c r="B71" s="10"/>
      <c r="C71" s="10"/>
      <c r="D71" s="10"/>
      <c r="E71" s="10"/>
      <c r="F71" s="22"/>
      <c r="G71" s="22"/>
    </row>
    <row r="72" spans="2:7" ht="18.75" customHeight="1">
      <c r="B72" s="7"/>
      <c r="C72" s="10"/>
      <c r="D72" s="10"/>
      <c r="E72" s="10"/>
      <c r="F72" s="22"/>
      <c r="G72" s="22"/>
    </row>
    <row r="73" spans="2:7" ht="18.75" customHeight="1">
      <c r="B73" s="10"/>
      <c r="C73" s="10"/>
      <c r="D73" s="10"/>
      <c r="E73" s="10"/>
      <c r="F73" s="22"/>
      <c r="G73" s="22"/>
    </row>
    <row r="74" spans="2:7" ht="18.75" customHeight="1">
      <c r="B74" s="7"/>
      <c r="C74" s="10"/>
      <c r="D74" s="10"/>
      <c r="E74" s="10"/>
      <c r="F74" s="22"/>
      <c r="G74" s="22"/>
    </row>
    <row r="75" spans="2:7" ht="18.75" customHeight="1">
      <c r="B75" s="10"/>
      <c r="C75" s="10"/>
      <c r="D75" s="10"/>
      <c r="E75" s="10"/>
      <c r="F75" s="22"/>
      <c r="G75" s="22"/>
    </row>
    <row r="76" spans="2:7" ht="18.75" customHeight="1">
      <c r="B76" s="7"/>
      <c r="C76" s="10"/>
      <c r="D76" s="10"/>
      <c r="E76" s="10"/>
      <c r="F76" s="22"/>
      <c r="G76" s="22"/>
    </row>
    <row r="77" spans="2:7" ht="18.75" customHeight="1">
      <c r="B77" s="10"/>
      <c r="C77" s="10"/>
      <c r="D77" s="10"/>
      <c r="E77" s="10"/>
      <c r="F77" s="22"/>
      <c r="G77" s="22"/>
    </row>
    <row r="78" spans="2:7" ht="18.75" customHeight="1">
      <c r="B78" s="7"/>
      <c r="C78" s="10"/>
      <c r="D78" s="10"/>
      <c r="E78" s="10"/>
      <c r="F78" s="22"/>
      <c r="G78" s="22"/>
    </row>
    <row r="79" spans="2:7" ht="18.75" customHeight="1">
      <c r="B79" s="10"/>
      <c r="C79" s="10"/>
      <c r="D79" s="10"/>
      <c r="E79" s="10"/>
      <c r="F79" s="22"/>
      <c r="G79" s="22"/>
    </row>
    <row r="80" spans="2:7" ht="18.75" customHeight="1">
      <c r="B80" s="7"/>
      <c r="C80" s="10"/>
      <c r="D80" s="10"/>
      <c r="E80" s="10"/>
      <c r="F80" s="22"/>
      <c r="G80" s="22"/>
    </row>
    <row r="81" spans="2:7" ht="18.75" customHeight="1">
      <c r="B81" s="10"/>
      <c r="C81" s="10"/>
      <c r="D81" s="10"/>
      <c r="E81" s="10"/>
      <c r="F81" s="22"/>
      <c r="G81" s="22"/>
    </row>
    <row r="82" spans="2:7" ht="18.75" customHeight="1">
      <c r="B82" s="7"/>
      <c r="C82" s="10"/>
      <c r="D82" s="10"/>
      <c r="E82" s="10"/>
      <c r="F82" s="22"/>
      <c r="G82" s="22"/>
    </row>
    <row r="83" spans="2:7" ht="18.75" customHeight="1">
      <c r="B83" s="10"/>
      <c r="C83" s="10"/>
      <c r="D83" s="10"/>
      <c r="E83" s="10"/>
      <c r="F83" s="22"/>
      <c r="G83" s="22"/>
    </row>
    <row r="84" spans="2:7" ht="18.75" customHeight="1">
      <c r="B84" s="7"/>
      <c r="C84" s="10"/>
      <c r="D84" s="10"/>
      <c r="E84" s="10"/>
      <c r="F84" s="22"/>
      <c r="G84" s="22"/>
    </row>
    <row r="85" spans="2:7" ht="18.75" customHeight="1">
      <c r="B85" s="10"/>
      <c r="C85" s="10"/>
      <c r="D85" s="10"/>
      <c r="E85" s="10"/>
      <c r="F85" s="22"/>
      <c r="G85" s="22"/>
    </row>
    <row r="86" spans="2:7" ht="18.75" customHeight="1">
      <c r="B86" s="7"/>
      <c r="C86" s="10"/>
      <c r="D86" s="10"/>
      <c r="E86" s="10"/>
      <c r="F86" s="22"/>
      <c r="G86" s="22"/>
    </row>
    <row r="87" spans="2:7" ht="18.75" customHeight="1">
      <c r="B87" s="10"/>
      <c r="C87" s="10"/>
      <c r="D87" s="10"/>
      <c r="E87" s="10"/>
      <c r="F87" s="22"/>
      <c r="G87" s="22"/>
    </row>
    <row r="88" spans="2:7" ht="18.75" customHeight="1">
      <c r="B88" s="7"/>
      <c r="C88" s="10"/>
      <c r="D88" s="10"/>
      <c r="E88" s="10"/>
      <c r="F88" s="22"/>
      <c r="G88" s="22"/>
    </row>
    <row r="89" spans="2:7" ht="18.75" customHeight="1">
      <c r="B89" s="10"/>
      <c r="C89" s="10"/>
      <c r="D89" s="10"/>
      <c r="E89" s="10"/>
      <c r="F89" s="22"/>
      <c r="G89" s="22"/>
    </row>
    <row r="90" spans="2:7" ht="18.75" customHeight="1">
      <c r="B90" s="7"/>
      <c r="C90" s="10"/>
      <c r="D90" s="10"/>
      <c r="E90" s="10"/>
      <c r="F90" s="22"/>
      <c r="G90" s="22"/>
    </row>
    <row r="91" spans="2:7" ht="18.75" customHeight="1">
      <c r="B91" s="10"/>
      <c r="C91" s="10"/>
      <c r="D91" s="10"/>
      <c r="E91" s="10"/>
      <c r="F91" s="22"/>
      <c r="G91" s="22"/>
    </row>
    <row r="92" spans="2:7" ht="18.75" customHeight="1">
      <c r="B92" s="7"/>
      <c r="C92" s="10"/>
      <c r="D92" s="10"/>
      <c r="E92" s="10"/>
      <c r="F92" s="22"/>
      <c r="G92" s="22"/>
    </row>
    <row r="93" spans="2:7" ht="18.75" customHeight="1">
      <c r="B93" s="10"/>
      <c r="C93" s="10"/>
      <c r="D93" s="10"/>
      <c r="E93" s="10"/>
      <c r="F93" s="22"/>
      <c r="G93" s="22"/>
    </row>
    <row r="94" spans="2:7" ht="18.75" customHeight="1">
      <c r="B94" s="7"/>
      <c r="C94" s="10"/>
      <c r="D94" s="10"/>
      <c r="E94" s="10"/>
      <c r="F94" s="22"/>
      <c r="G94" s="22"/>
    </row>
    <row r="95" spans="2:7" ht="18.75" customHeight="1">
      <c r="B95" s="10"/>
      <c r="C95" s="10"/>
      <c r="D95" s="10"/>
      <c r="E95" s="10"/>
      <c r="F95" s="22"/>
      <c r="G95" s="22"/>
    </row>
    <row r="96" spans="2:7" ht="18.75" customHeight="1">
      <c r="B96" s="7"/>
      <c r="C96" s="10"/>
      <c r="D96" s="10"/>
      <c r="E96" s="10"/>
      <c r="F96" s="22"/>
      <c r="G96" s="22"/>
    </row>
    <row r="97" spans="2:7" ht="18.75" customHeight="1">
      <c r="B97" s="10"/>
      <c r="C97" s="10"/>
      <c r="D97" s="10"/>
      <c r="E97" s="10"/>
      <c r="F97" s="22"/>
      <c r="G97" s="22"/>
    </row>
    <row r="98" spans="2:7" ht="18.75" customHeight="1">
      <c r="B98" s="7"/>
      <c r="C98" s="10"/>
      <c r="D98" s="10"/>
      <c r="E98" s="10"/>
      <c r="F98" s="22"/>
      <c r="G98" s="22"/>
    </row>
    <row r="99" spans="2:7" ht="18.75" customHeight="1">
      <c r="B99" s="10"/>
      <c r="C99" s="10"/>
      <c r="D99" s="10"/>
      <c r="E99" s="10"/>
      <c r="F99" s="22"/>
      <c r="G99" s="22"/>
    </row>
    <row r="100" spans="2:7" ht="18.75" customHeight="1">
      <c r="B100" s="7"/>
      <c r="C100" s="10"/>
      <c r="D100" s="10"/>
      <c r="E100" s="10"/>
      <c r="F100" s="22"/>
      <c r="G100" s="22"/>
    </row>
    <row r="101" spans="2:7" ht="18.75" customHeight="1">
      <c r="B101" s="10"/>
      <c r="C101" s="10"/>
      <c r="D101" s="10"/>
      <c r="E101" s="10"/>
      <c r="F101" s="22"/>
      <c r="G101" s="22"/>
    </row>
    <row r="102" spans="2:7" ht="18.75" customHeight="1">
      <c r="B102" s="7"/>
      <c r="C102" s="10"/>
      <c r="D102" s="10"/>
      <c r="E102" s="10"/>
      <c r="F102" s="22"/>
      <c r="G102" s="22"/>
    </row>
    <row r="103" spans="2:7" ht="18.75" customHeight="1">
      <c r="B103" s="10"/>
      <c r="C103" s="10"/>
      <c r="D103" s="10"/>
      <c r="E103" s="10"/>
      <c r="F103" s="22"/>
      <c r="G103" s="22"/>
    </row>
    <row r="104" spans="2:7" ht="18.75" customHeight="1">
      <c r="B104" s="7"/>
      <c r="C104" s="10"/>
      <c r="D104" s="10"/>
      <c r="E104" s="10"/>
      <c r="F104" s="22"/>
      <c r="G104" s="22"/>
    </row>
    <row r="105" spans="2:7" ht="18.75" customHeight="1">
      <c r="B105" s="10"/>
      <c r="C105" s="10"/>
      <c r="D105" s="10"/>
      <c r="E105" s="10"/>
      <c r="F105" s="22"/>
      <c r="G105" s="22"/>
    </row>
    <row r="106" spans="2:7" ht="18.75" customHeight="1">
      <c r="B106" s="7"/>
      <c r="C106" s="10"/>
      <c r="D106" s="10"/>
      <c r="E106" s="10"/>
      <c r="F106" s="22"/>
      <c r="G106" s="22"/>
    </row>
    <row r="107" spans="2:7" ht="18.75" customHeight="1">
      <c r="B107" s="10"/>
      <c r="C107" s="10"/>
      <c r="D107" s="10"/>
      <c r="E107" s="10"/>
      <c r="F107" s="22"/>
      <c r="G107" s="22"/>
    </row>
    <row r="108" spans="2:7" ht="18.75" customHeight="1">
      <c r="B108" s="7"/>
      <c r="C108" s="10"/>
      <c r="D108" s="10"/>
      <c r="E108" s="10"/>
      <c r="F108" s="22"/>
      <c r="G108" s="22"/>
    </row>
    <row r="109" spans="2:7" ht="18.75" customHeight="1">
      <c r="B109" s="10"/>
      <c r="C109" s="10"/>
      <c r="D109" s="10"/>
      <c r="E109" s="10"/>
      <c r="F109" s="22"/>
      <c r="G109" s="22"/>
    </row>
    <row r="110" spans="2:7" ht="18.75" customHeight="1"/>
    <row r="111" spans="2:7" ht="18.75" customHeight="1"/>
    <row r="112" spans="2:7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N7" xr:uid="{D073408E-4243-414B-8C8A-A542992EB35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AO1001"/>
  <sheetViews>
    <sheetView topLeftCell="E9" workbookViewId="0">
      <selection activeCell="M14" sqref="M14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79.75" customWidth="1"/>
    <col min="5" max="5" width="29.25" customWidth="1"/>
    <col min="6" max="6" width="20.875" customWidth="1"/>
    <col min="7" max="9" width="18.875" customWidth="1"/>
    <col min="10" max="10" width="19" customWidth="1"/>
    <col min="11" max="12" width="18.875" customWidth="1"/>
    <col min="13" max="13" width="39.375" customWidth="1"/>
    <col min="14" max="14" width="20.875" customWidth="1"/>
    <col min="15" max="15" width="13.625" customWidth="1"/>
    <col min="16" max="16" width="13.25" customWidth="1"/>
    <col min="17" max="17" width="12.625" customWidth="1"/>
    <col min="18" max="18" width="16.375" customWidth="1"/>
    <col min="19" max="41" width="12.625" customWidth="1"/>
  </cols>
  <sheetData>
    <row r="1" spans="1:41" ht="12" customHeight="1"/>
    <row r="2" spans="1:41" ht="40.5" customHeight="1">
      <c r="A2" s="1" t="s">
        <v>0</v>
      </c>
      <c r="B2" s="2" t="s">
        <v>429</v>
      </c>
      <c r="J2" s="12"/>
    </row>
    <row r="3" spans="1:41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</row>
    <row r="4" spans="1:41" ht="18.75" customHeight="1">
      <c r="A4" s="1" t="s">
        <v>3</v>
      </c>
      <c r="B4" s="5" t="s">
        <v>4</v>
      </c>
      <c r="C4" s="5" t="s">
        <v>128</v>
      </c>
      <c r="D4" s="5" t="s">
        <v>394</v>
      </c>
      <c r="E4" s="5" t="s">
        <v>435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1:41" ht="18.75" customHeight="1">
      <c r="A5" s="1" t="s">
        <v>19</v>
      </c>
      <c r="B5" s="5"/>
      <c r="C5" s="5"/>
      <c r="D5" s="5"/>
      <c r="E5" s="5">
        <v>1</v>
      </c>
      <c r="F5" s="5"/>
      <c r="G5" s="5"/>
      <c r="H5" s="5"/>
      <c r="I5" s="5"/>
      <c r="J5" s="5"/>
      <c r="K5" s="5"/>
      <c r="L5" s="5"/>
      <c r="M5" s="5">
        <v>2</v>
      </c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1:41" ht="18.75" customHeight="1">
      <c r="A6" s="1" t="s">
        <v>25</v>
      </c>
      <c r="B6" s="5"/>
      <c r="C6" s="5"/>
      <c r="D6" s="5"/>
      <c r="E6" s="5" t="s">
        <v>396</v>
      </c>
      <c r="F6" s="5" t="s">
        <v>422</v>
      </c>
      <c r="G6" s="5" t="s">
        <v>397</v>
      </c>
      <c r="H6" s="5" t="s">
        <v>398</v>
      </c>
      <c r="I6" s="5" t="s">
        <v>399</v>
      </c>
      <c r="J6" s="5" t="s">
        <v>400</v>
      </c>
      <c r="K6" s="5" t="s">
        <v>401</v>
      </c>
      <c r="L6" s="5" t="s">
        <v>460</v>
      </c>
      <c r="M6" s="5" t="s">
        <v>396</v>
      </c>
      <c r="N6" s="5" t="s">
        <v>422</v>
      </c>
      <c r="O6" s="5" t="s">
        <v>397</v>
      </c>
      <c r="P6" s="5" t="s">
        <v>398</v>
      </c>
      <c r="Q6" s="5" t="s">
        <v>399</v>
      </c>
      <c r="R6" s="5" t="s">
        <v>400</v>
      </c>
      <c r="S6" s="5" t="s">
        <v>401</v>
      </c>
      <c r="T6" s="5" t="s">
        <v>460</v>
      </c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1:41" ht="18.75" customHeight="1">
      <c r="A7" s="1" t="s">
        <v>32</v>
      </c>
      <c r="B7" s="6" t="s">
        <v>33</v>
      </c>
      <c r="C7" s="6" t="s">
        <v>250</v>
      </c>
      <c r="D7" s="6" t="s">
        <v>250</v>
      </c>
      <c r="E7" s="6" t="s">
        <v>33</v>
      </c>
      <c r="F7" s="6" t="s">
        <v>362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362</v>
      </c>
      <c r="M7" s="6" t="s">
        <v>33</v>
      </c>
      <c r="N7" s="6" t="s">
        <v>362</v>
      </c>
      <c r="O7" s="6" t="s">
        <v>33</v>
      </c>
      <c r="P7" s="6" t="s">
        <v>33</v>
      </c>
      <c r="Q7" s="6" t="s">
        <v>33</v>
      </c>
      <c r="R7" s="6" t="s">
        <v>33</v>
      </c>
      <c r="S7" s="6" t="s">
        <v>33</v>
      </c>
      <c r="T7" s="6" t="s">
        <v>362</v>
      </c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</row>
    <row r="8" spans="1:41" ht="76.5" customHeight="1">
      <c r="A8" s="1" t="s">
        <v>37</v>
      </c>
      <c r="B8" s="7" t="s">
        <v>38</v>
      </c>
      <c r="C8" s="7" t="s">
        <v>403</v>
      </c>
      <c r="D8" s="8" t="s">
        <v>404</v>
      </c>
      <c r="E8" s="13" t="s">
        <v>406</v>
      </c>
      <c r="F8" s="13" t="s">
        <v>423</v>
      </c>
      <c r="G8" s="7" t="s">
        <v>407</v>
      </c>
      <c r="H8" s="7" t="s">
        <v>408</v>
      </c>
      <c r="I8" s="8" t="s">
        <v>409</v>
      </c>
      <c r="J8" s="8" t="s">
        <v>410</v>
      </c>
      <c r="K8" s="8" t="s">
        <v>411</v>
      </c>
      <c r="L8" s="8" t="s">
        <v>461</v>
      </c>
      <c r="M8" s="13" t="s">
        <v>406</v>
      </c>
      <c r="N8" s="13" t="s">
        <v>423</v>
      </c>
      <c r="O8" s="7" t="s">
        <v>407</v>
      </c>
      <c r="P8" s="7" t="s">
        <v>408</v>
      </c>
      <c r="Q8" s="8" t="s">
        <v>409</v>
      </c>
      <c r="R8" s="8" t="s">
        <v>410</v>
      </c>
      <c r="S8" s="8" t="s">
        <v>411</v>
      </c>
      <c r="T8" s="8" t="s">
        <v>461</v>
      </c>
      <c r="U8" s="7"/>
      <c r="V8" s="7"/>
      <c r="W8" s="7"/>
      <c r="X8" s="7"/>
      <c r="Y8" s="7"/>
      <c r="Z8" s="7"/>
      <c r="AA8" s="7"/>
      <c r="AB8" s="7"/>
      <c r="AC8" s="7"/>
      <c r="AD8" s="7"/>
      <c r="AE8" s="8"/>
      <c r="AF8" s="8"/>
      <c r="AG8" s="7"/>
      <c r="AH8" s="7"/>
      <c r="AI8" s="7"/>
      <c r="AJ8" s="7"/>
      <c r="AK8" s="7"/>
      <c r="AL8" s="7"/>
      <c r="AM8" s="7"/>
      <c r="AN8" s="7"/>
      <c r="AO8" s="7"/>
    </row>
    <row r="9" spans="1:41" ht="409.5" customHeight="1">
      <c r="A9" s="1" t="s">
        <v>64</v>
      </c>
      <c r="B9" s="7"/>
      <c r="C9" s="8"/>
      <c r="D9" s="8"/>
      <c r="E9" s="8" t="s">
        <v>441</v>
      </c>
      <c r="F9" s="8" t="s">
        <v>448</v>
      </c>
      <c r="G9" s="8" t="s">
        <v>425</v>
      </c>
      <c r="H9" s="8" t="s">
        <v>426</v>
      </c>
      <c r="I9" s="8"/>
      <c r="J9" s="8" t="s">
        <v>427</v>
      </c>
      <c r="K9" s="8" t="s">
        <v>428</v>
      </c>
      <c r="L9" s="8"/>
      <c r="M9" s="8" t="s">
        <v>441</v>
      </c>
      <c r="N9" s="8" t="s">
        <v>448</v>
      </c>
      <c r="O9" s="8" t="s">
        <v>425</v>
      </c>
      <c r="P9" s="8" t="s">
        <v>426</v>
      </c>
      <c r="Q9" s="8"/>
      <c r="R9" s="8" t="s">
        <v>427</v>
      </c>
      <c r="S9" s="8" t="s">
        <v>428</v>
      </c>
      <c r="T9" s="7"/>
      <c r="U9" s="8"/>
      <c r="V9" s="8"/>
      <c r="W9" s="8"/>
      <c r="X9" s="8"/>
      <c r="Y9" s="8"/>
      <c r="Z9" s="8"/>
      <c r="AA9" s="8"/>
      <c r="AB9" s="8"/>
      <c r="AC9" s="7"/>
      <c r="AD9" s="7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</row>
    <row r="10" spans="1:41" ht="20.100000000000001" customHeight="1">
      <c r="A10" s="9" t="s">
        <v>288</v>
      </c>
      <c r="B10" s="7">
        <v>1</v>
      </c>
      <c r="C10" s="8" t="s">
        <v>450</v>
      </c>
      <c r="D10" s="8" t="s">
        <v>430</v>
      </c>
      <c r="E10" s="8">
        <v>19</v>
      </c>
      <c r="F10" s="8">
        <v>2</v>
      </c>
      <c r="G10" s="8">
        <v>2</v>
      </c>
      <c r="H10" s="8">
        <v>1</v>
      </c>
      <c r="I10" s="8">
        <v>80</v>
      </c>
      <c r="J10" s="7">
        <v>0</v>
      </c>
      <c r="K10" s="7">
        <v>0</v>
      </c>
      <c r="L10" s="7">
        <v>1</v>
      </c>
      <c r="M10" s="7"/>
      <c r="N10" s="8"/>
      <c r="O10" s="7"/>
      <c r="P10" s="8"/>
      <c r="Q10" s="7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7"/>
      <c r="AD10" s="7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</row>
    <row r="11" spans="1:41" ht="18.75" customHeight="1">
      <c r="A11" s="9"/>
      <c r="B11" s="10">
        <v>2</v>
      </c>
      <c r="C11" s="10" t="s">
        <v>451</v>
      </c>
      <c r="D11" s="10" t="s">
        <v>431</v>
      </c>
      <c r="E11" s="10">
        <v>26</v>
      </c>
      <c r="F11" s="10">
        <v>2</v>
      </c>
      <c r="G11" s="10">
        <v>2</v>
      </c>
      <c r="H11" s="10">
        <v>1</v>
      </c>
      <c r="I11" s="10">
        <v>200</v>
      </c>
      <c r="J11" s="10">
        <v>0</v>
      </c>
      <c r="K11" s="10">
        <v>0</v>
      </c>
      <c r="L11" s="10">
        <v>1</v>
      </c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</row>
    <row r="12" spans="1:41" ht="18.75" customHeight="1">
      <c r="A12" s="11"/>
      <c r="B12" s="7">
        <v>3</v>
      </c>
      <c r="C12" s="10" t="s">
        <v>452</v>
      </c>
      <c r="D12" s="10" t="s">
        <v>432</v>
      </c>
      <c r="E12" s="10">
        <v>21</v>
      </c>
      <c r="F12" s="10">
        <v>2</v>
      </c>
      <c r="G12" s="10">
        <v>2</v>
      </c>
      <c r="H12" s="10">
        <v>1</v>
      </c>
      <c r="I12" s="10">
        <v>120</v>
      </c>
      <c r="J12" s="10">
        <v>0</v>
      </c>
      <c r="K12" s="10">
        <v>0</v>
      </c>
      <c r="L12" s="10">
        <v>1</v>
      </c>
      <c r="M12" s="10">
        <v>30</v>
      </c>
      <c r="N12" s="10">
        <v>2</v>
      </c>
      <c r="O12" s="10">
        <v>0</v>
      </c>
      <c r="P12" s="10">
        <v>4</v>
      </c>
      <c r="Q12" s="10">
        <v>25</v>
      </c>
      <c r="R12" s="10">
        <v>0</v>
      </c>
      <c r="S12" s="10">
        <v>0</v>
      </c>
      <c r="T12" s="10">
        <v>3</v>
      </c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</row>
    <row r="13" spans="1:41" ht="18.75" customHeight="1">
      <c r="A13" s="11"/>
      <c r="B13" s="10">
        <v>4</v>
      </c>
      <c r="C13" s="10" t="s">
        <v>453</v>
      </c>
      <c r="D13" s="10" t="s">
        <v>433</v>
      </c>
      <c r="E13" s="10">
        <v>21</v>
      </c>
      <c r="F13" s="10">
        <v>2</v>
      </c>
      <c r="G13" s="10">
        <v>2</v>
      </c>
      <c r="H13" s="10">
        <v>1</v>
      </c>
      <c r="I13" s="10">
        <v>100</v>
      </c>
      <c r="J13" s="10">
        <v>0</v>
      </c>
      <c r="K13" s="10">
        <v>0</v>
      </c>
      <c r="L13" s="10">
        <v>1</v>
      </c>
      <c r="M13" s="10">
        <v>24</v>
      </c>
      <c r="N13" s="10">
        <v>2</v>
      </c>
      <c r="O13" s="10">
        <v>2</v>
      </c>
      <c r="P13" s="10">
        <v>2</v>
      </c>
      <c r="Q13" s="10">
        <v>250</v>
      </c>
      <c r="R13" s="10">
        <v>0</v>
      </c>
      <c r="S13" s="10">
        <v>0</v>
      </c>
      <c r="T13" s="10">
        <v>2</v>
      </c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</row>
    <row r="14" spans="1:41" ht="18.75" customHeight="1">
      <c r="A14" s="11"/>
      <c r="B14" s="7">
        <v>5</v>
      </c>
      <c r="C14" s="10" t="s">
        <v>454</v>
      </c>
      <c r="D14" s="10" t="s">
        <v>434</v>
      </c>
      <c r="E14" s="10">
        <v>3</v>
      </c>
      <c r="F14" s="10">
        <v>2</v>
      </c>
      <c r="G14" s="10">
        <v>2</v>
      </c>
      <c r="H14" s="10">
        <v>1</v>
      </c>
      <c r="I14" s="10">
        <v>100</v>
      </c>
      <c r="J14" s="10">
        <v>0</v>
      </c>
      <c r="K14" s="10">
        <v>0</v>
      </c>
      <c r="L14" s="10">
        <v>1</v>
      </c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</row>
    <row r="15" spans="1:41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</row>
    <row r="16" spans="1:41" ht="18.75" customHeight="1">
      <c r="A16" s="11"/>
      <c r="B16" s="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</row>
    <row r="17" spans="1:41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</row>
    <row r="18" spans="1:41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</row>
    <row r="19" spans="1:41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</row>
    <row r="20" spans="1:41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</row>
    <row r="21" spans="1:41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</row>
    <row r="22" spans="1:41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</row>
    <row r="23" spans="1:41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</row>
    <row r="24" spans="1:41" ht="18.75" customHeight="1">
      <c r="A24" s="11"/>
      <c r="B24" s="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</row>
    <row r="25" spans="1:41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</row>
    <row r="26" spans="1:41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</row>
    <row r="27" spans="1:41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</row>
    <row r="28" spans="1:41" ht="18.75" customHeight="1">
      <c r="A28" s="11"/>
      <c r="B28" s="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</row>
    <row r="29" spans="1:41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</row>
    <row r="30" spans="1:41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</row>
    <row r="31" spans="1:41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</row>
    <row r="32" spans="1:41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</row>
    <row r="33" spans="1:41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</row>
    <row r="34" spans="1:41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</row>
    <row r="35" spans="1:41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</row>
    <row r="36" spans="1:41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</row>
    <row r="37" spans="1:41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</row>
    <row r="38" spans="1:41" ht="18.75" customHeight="1">
      <c r="A38" s="11"/>
      <c r="B38" s="7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</row>
    <row r="39" spans="1:41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</row>
    <row r="40" spans="1:41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</row>
    <row r="41" spans="1:41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</row>
    <row r="42" spans="1:41" ht="18.75" customHeight="1">
      <c r="A42" s="11"/>
      <c r="B42" s="7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</row>
    <row r="43" spans="1:41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</row>
    <row r="44" spans="1:41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</row>
    <row r="45" spans="1:41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</row>
    <row r="46" spans="1:41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</row>
    <row r="47" spans="1:41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</row>
    <row r="48" spans="1:41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</row>
    <row r="49" spans="1:41" ht="18.75" customHeight="1">
      <c r="A49" s="11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</row>
    <row r="50" spans="1:41" ht="18.75" customHeight="1">
      <c r="B50" s="7"/>
      <c r="C50" s="10"/>
      <c r="D50" s="10"/>
      <c r="E50" s="22"/>
      <c r="F50" s="22"/>
      <c r="N50" s="22"/>
    </row>
    <row r="51" spans="1:41" ht="18.75" customHeight="1">
      <c r="B51" s="10"/>
      <c r="C51" s="10"/>
      <c r="D51" s="10"/>
      <c r="E51" s="22"/>
      <c r="F51" s="22"/>
      <c r="N51" s="22"/>
    </row>
    <row r="52" spans="1:41" ht="18.75" customHeight="1">
      <c r="B52" s="7"/>
      <c r="C52" s="10"/>
      <c r="D52" s="10"/>
      <c r="E52" s="22"/>
      <c r="F52" s="22"/>
      <c r="N52" s="22"/>
    </row>
    <row r="53" spans="1:41" ht="18.75" customHeight="1">
      <c r="B53" s="10"/>
      <c r="C53" s="10"/>
      <c r="D53" s="10"/>
      <c r="E53" s="22"/>
      <c r="F53" s="22"/>
      <c r="N53" s="22"/>
    </row>
    <row r="54" spans="1:41" ht="18.75" customHeight="1">
      <c r="B54" s="7"/>
      <c r="C54" s="10"/>
      <c r="D54" s="10"/>
      <c r="E54" s="22"/>
      <c r="F54" s="22"/>
      <c r="N54" s="22"/>
    </row>
    <row r="55" spans="1:41" ht="18.75" customHeight="1">
      <c r="B55" s="10"/>
      <c r="C55" s="10"/>
      <c r="D55" s="10"/>
      <c r="E55" s="22"/>
      <c r="F55" s="22"/>
      <c r="N55" s="22"/>
    </row>
    <row r="56" spans="1:41" ht="18.75" customHeight="1">
      <c r="B56" s="7"/>
      <c r="C56" s="10"/>
      <c r="D56" s="10"/>
      <c r="E56" s="22"/>
      <c r="F56" s="22"/>
      <c r="N56" s="22"/>
    </row>
    <row r="57" spans="1:41" ht="18.75" customHeight="1">
      <c r="B57" s="10"/>
      <c r="C57" s="10"/>
      <c r="D57" s="10"/>
      <c r="E57" s="22"/>
      <c r="F57" s="22"/>
      <c r="N57" s="22"/>
    </row>
    <row r="58" spans="1:41" ht="18.75" customHeight="1">
      <c r="B58" s="7"/>
      <c r="C58" s="10"/>
      <c r="D58" s="10"/>
      <c r="E58" s="22"/>
      <c r="F58" s="22"/>
      <c r="N58" s="22"/>
    </row>
    <row r="59" spans="1:41" ht="18.75" customHeight="1">
      <c r="B59" s="10"/>
      <c r="C59" s="10"/>
      <c r="D59" s="10"/>
      <c r="E59" s="22"/>
      <c r="F59" s="22"/>
      <c r="N59" s="22"/>
    </row>
    <row r="60" spans="1:41" ht="18.75" customHeight="1">
      <c r="B60" s="7"/>
      <c r="C60" s="10"/>
      <c r="D60" s="10"/>
      <c r="E60" s="22"/>
      <c r="F60" s="22"/>
      <c r="N60" s="22"/>
    </row>
    <row r="61" spans="1:41" ht="18.75" customHeight="1">
      <c r="B61" s="10"/>
      <c r="C61" s="10"/>
      <c r="D61" s="10"/>
      <c r="E61" s="22"/>
      <c r="F61" s="22"/>
      <c r="N61" s="22"/>
    </row>
    <row r="62" spans="1:41" ht="18.75" customHeight="1">
      <c r="B62" s="7"/>
      <c r="C62" s="10"/>
      <c r="D62" s="10"/>
      <c r="E62" s="22"/>
      <c r="F62" s="22"/>
      <c r="N62" s="22"/>
    </row>
    <row r="63" spans="1:41" ht="18.75" customHeight="1">
      <c r="B63" s="10"/>
      <c r="C63" s="10"/>
      <c r="D63" s="10"/>
      <c r="E63" s="22"/>
      <c r="F63" s="22"/>
      <c r="N63" s="22"/>
    </row>
    <row r="64" spans="1:41" ht="18.75" customHeight="1">
      <c r="B64" s="7"/>
      <c r="C64" s="10"/>
      <c r="D64" s="10"/>
      <c r="E64" s="22"/>
      <c r="F64" s="22"/>
      <c r="N64" s="22"/>
    </row>
    <row r="65" spans="2:14" ht="18.75" customHeight="1">
      <c r="B65" s="10"/>
      <c r="C65" s="10"/>
      <c r="D65" s="10"/>
      <c r="E65" s="22"/>
      <c r="F65" s="22"/>
      <c r="N65" s="22"/>
    </row>
    <row r="66" spans="2:14" ht="18.75" customHeight="1">
      <c r="B66" s="7"/>
      <c r="C66" s="10"/>
      <c r="D66" s="10"/>
      <c r="E66" s="22"/>
      <c r="F66" s="22"/>
      <c r="N66" s="22"/>
    </row>
    <row r="67" spans="2:14" ht="18.75" customHeight="1">
      <c r="B67" s="10"/>
      <c r="C67" s="10"/>
      <c r="D67" s="10"/>
      <c r="E67" s="22"/>
      <c r="F67" s="22"/>
      <c r="N67" s="22"/>
    </row>
    <row r="68" spans="2:14" ht="18.75" customHeight="1">
      <c r="B68" s="7"/>
      <c r="C68" s="10"/>
      <c r="D68" s="10"/>
      <c r="E68" s="22"/>
      <c r="F68" s="22"/>
      <c r="N68" s="22"/>
    </row>
    <row r="69" spans="2:14" ht="18.75" customHeight="1">
      <c r="B69" s="10"/>
      <c r="C69" s="10"/>
      <c r="D69" s="10"/>
      <c r="E69" s="22"/>
      <c r="F69" s="22"/>
      <c r="N69" s="22"/>
    </row>
    <row r="70" spans="2:14" ht="18.75" customHeight="1">
      <c r="B70" s="7"/>
      <c r="C70" s="10"/>
      <c r="D70" s="10"/>
      <c r="E70" s="22"/>
      <c r="F70" s="22"/>
      <c r="N70" s="22"/>
    </row>
    <row r="71" spans="2:14" ht="18.75" customHeight="1">
      <c r="B71" s="10"/>
      <c r="C71" s="10"/>
      <c r="D71" s="10"/>
      <c r="E71" s="22"/>
      <c r="F71" s="22"/>
      <c r="N71" s="22"/>
    </row>
    <row r="72" spans="2:14" ht="18.75" customHeight="1">
      <c r="B72" s="7"/>
      <c r="C72" s="10"/>
      <c r="D72" s="10"/>
      <c r="E72" s="22"/>
      <c r="F72" s="22"/>
      <c r="N72" s="22"/>
    </row>
    <row r="73" spans="2:14" ht="18.75" customHeight="1">
      <c r="B73" s="10"/>
      <c r="C73" s="10"/>
      <c r="D73" s="10"/>
      <c r="E73" s="22"/>
      <c r="F73" s="22"/>
      <c r="N73" s="22"/>
    </row>
    <row r="74" spans="2:14" ht="18.75" customHeight="1">
      <c r="B74" s="7"/>
      <c r="C74" s="10"/>
      <c r="D74" s="10"/>
      <c r="E74" s="22"/>
      <c r="F74" s="22"/>
      <c r="N74" s="22"/>
    </row>
    <row r="75" spans="2:14" ht="18.75" customHeight="1">
      <c r="B75" s="10"/>
      <c r="C75" s="10"/>
      <c r="D75" s="10"/>
      <c r="E75" s="22"/>
      <c r="F75" s="22"/>
      <c r="N75" s="22"/>
    </row>
    <row r="76" spans="2:14" ht="18.75" customHeight="1">
      <c r="B76" s="7"/>
      <c r="C76" s="10"/>
      <c r="D76" s="10"/>
      <c r="E76" s="22"/>
      <c r="F76" s="22"/>
      <c r="N76" s="22"/>
    </row>
    <row r="77" spans="2:14" ht="18.75" customHeight="1">
      <c r="B77" s="10"/>
      <c r="C77" s="10"/>
      <c r="D77" s="10"/>
      <c r="E77" s="22"/>
      <c r="F77" s="22"/>
      <c r="N77" s="22"/>
    </row>
    <row r="78" spans="2:14" ht="18.75" customHeight="1">
      <c r="B78" s="7"/>
      <c r="C78" s="10"/>
      <c r="D78" s="10"/>
      <c r="E78" s="22"/>
      <c r="F78" s="22"/>
      <c r="N78" s="22"/>
    </row>
    <row r="79" spans="2:14" ht="18.75" customHeight="1">
      <c r="B79" s="10"/>
      <c r="C79" s="10"/>
      <c r="D79" s="10"/>
      <c r="E79" s="22"/>
      <c r="F79" s="22"/>
      <c r="N79" s="22"/>
    </row>
    <row r="80" spans="2:14" ht="18.75" customHeight="1">
      <c r="B80" s="7"/>
      <c r="C80" s="10"/>
      <c r="D80" s="10"/>
      <c r="E80" s="22"/>
      <c r="F80" s="22"/>
      <c r="N80" s="22"/>
    </row>
    <row r="81" spans="2:14" ht="18.75" customHeight="1">
      <c r="B81" s="10"/>
      <c r="C81" s="10"/>
      <c r="D81" s="10"/>
      <c r="E81" s="22"/>
      <c r="F81" s="22"/>
      <c r="N81" s="22"/>
    </row>
    <row r="82" spans="2:14" ht="18.75" customHeight="1">
      <c r="B82" s="7"/>
      <c r="C82" s="10"/>
      <c r="D82" s="10"/>
      <c r="E82" s="22"/>
      <c r="F82" s="22"/>
      <c r="N82" s="22"/>
    </row>
    <row r="83" spans="2:14" ht="18.75" customHeight="1">
      <c r="B83" s="10"/>
      <c r="C83" s="10"/>
      <c r="D83" s="10"/>
      <c r="E83" s="22"/>
      <c r="F83" s="22"/>
      <c r="N83" s="22"/>
    </row>
    <row r="84" spans="2:14" ht="18.75" customHeight="1">
      <c r="B84" s="7"/>
      <c r="C84" s="10"/>
      <c r="D84" s="10"/>
      <c r="E84" s="22"/>
      <c r="F84" s="22"/>
      <c r="N84" s="22"/>
    </row>
    <row r="85" spans="2:14" ht="18.75" customHeight="1">
      <c r="B85" s="10"/>
      <c r="C85" s="10"/>
      <c r="D85" s="10"/>
      <c r="E85" s="22"/>
      <c r="F85" s="22"/>
      <c r="N85" s="22"/>
    </row>
    <row r="86" spans="2:14" ht="18.75" customHeight="1">
      <c r="B86" s="7"/>
      <c r="C86" s="10"/>
      <c r="D86" s="10"/>
      <c r="E86" s="22"/>
      <c r="F86" s="22"/>
      <c r="N86" s="22"/>
    </row>
    <row r="87" spans="2:14" ht="18.75" customHeight="1">
      <c r="B87" s="10"/>
      <c r="C87" s="10"/>
      <c r="D87" s="10"/>
      <c r="E87" s="22"/>
      <c r="F87" s="22"/>
      <c r="N87" s="22"/>
    </row>
    <row r="88" spans="2:14" ht="18.75" customHeight="1">
      <c r="B88" s="7"/>
      <c r="C88" s="10"/>
      <c r="D88" s="10"/>
      <c r="E88" s="22"/>
      <c r="F88" s="22"/>
      <c r="N88" s="22"/>
    </row>
    <row r="89" spans="2:14" ht="18.75" customHeight="1">
      <c r="B89" s="10"/>
      <c r="C89" s="10"/>
      <c r="D89" s="10"/>
      <c r="E89" s="22"/>
      <c r="F89" s="22"/>
      <c r="N89" s="22"/>
    </row>
    <row r="90" spans="2:14" ht="18.75" customHeight="1">
      <c r="B90" s="7"/>
      <c r="C90" s="10"/>
      <c r="D90" s="10"/>
      <c r="E90" s="22"/>
      <c r="F90" s="22"/>
      <c r="N90" s="22"/>
    </row>
    <row r="91" spans="2:14" ht="18.75" customHeight="1">
      <c r="B91" s="10"/>
      <c r="C91" s="10"/>
      <c r="D91" s="10"/>
      <c r="E91" s="22"/>
      <c r="F91" s="22"/>
      <c r="N91" s="22"/>
    </row>
    <row r="92" spans="2:14" ht="18.75" customHeight="1">
      <c r="B92" s="7"/>
      <c r="C92" s="10"/>
      <c r="D92" s="10"/>
      <c r="E92" s="22"/>
      <c r="F92" s="22"/>
      <c r="N92" s="22"/>
    </row>
    <row r="93" spans="2:14" ht="18.75" customHeight="1">
      <c r="B93" s="10"/>
      <c r="C93" s="10"/>
      <c r="D93" s="10"/>
      <c r="E93" s="22"/>
      <c r="F93" s="22"/>
      <c r="N93" s="22"/>
    </row>
    <row r="94" spans="2:14" ht="18.75" customHeight="1">
      <c r="B94" s="7"/>
      <c r="C94" s="10"/>
      <c r="D94" s="10"/>
      <c r="E94" s="22"/>
      <c r="F94" s="22"/>
      <c r="N94" s="22"/>
    </row>
    <row r="95" spans="2:14" ht="18.75" customHeight="1">
      <c r="B95" s="10"/>
      <c r="C95" s="10"/>
      <c r="D95" s="10"/>
      <c r="E95" s="22"/>
      <c r="F95" s="22"/>
      <c r="N95" s="22"/>
    </row>
    <row r="96" spans="2:14" ht="18.75" customHeight="1">
      <c r="B96" s="7"/>
      <c r="C96" s="10"/>
      <c r="D96" s="10"/>
      <c r="E96" s="22"/>
      <c r="F96" s="22"/>
      <c r="N96" s="22"/>
    </row>
    <row r="97" spans="2:14" ht="18.75" customHeight="1">
      <c r="B97" s="10"/>
      <c r="C97" s="10"/>
      <c r="D97" s="10"/>
      <c r="E97" s="22"/>
      <c r="F97" s="22"/>
      <c r="N97" s="22"/>
    </row>
    <row r="98" spans="2:14" ht="18.75" customHeight="1">
      <c r="B98" s="7"/>
      <c r="C98" s="10"/>
      <c r="D98" s="10"/>
      <c r="E98" s="22"/>
      <c r="F98" s="22"/>
      <c r="N98" s="22"/>
    </row>
    <row r="99" spans="2:14" ht="18.75" customHeight="1">
      <c r="B99" s="10"/>
      <c r="C99" s="10"/>
      <c r="D99" s="10"/>
      <c r="E99" s="22"/>
      <c r="F99" s="22"/>
      <c r="N99" s="22"/>
    </row>
    <row r="100" spans="2:14" ht="18.75" customHeight="1">
      <c r="B100" s="7"/>
      <c r="C100" s="10"/>
      <c r="D100" s="10"/>
      <c r="E100" s="22"/>
      <c r="F100" s="22"/>
      <c r="N100" s="22"/>
    </row>
    <row r="101" spans="2:14" ht="18.75" customHeight="1">
      <c r="B101" s="10"/>
      <c r="C101" s="10"/>
      <c r="D101" s="10"/>
      <c r="E101" s="22"/>
      <c r="F101" s="22"/>
      <c r="N101" s="22"/>
    </row>
    <row r="102" spans="2:14" ht="18.75" customHeight="1">
      <c r="B102" s="7"/>
      <c r="C102" s="10"/>
      <c r="D102" s="10"/>
      <c r="E102" s="22"/>
      <c r="F102" s="22"/>
      <c r="N102" s="22"/>
    </row>
    <row r="103" spans="2:14" ht="18.75" customHeight="1">
      <c r="B103" s="10"/>
      <c r="C103" s="10"/>
      <c r="D103" s="10"/>
      <c r="E103" s="22"/>
      <c r="F103" s="22"/>
      <c r="N103" s="22"/>
    </row>
    <row r="104" spans="2:14" ht="18.75" customHeight="1">
      <c r="B104" s="7"/>
      <c r="C104" s="10"/>
      <c r="D104" s="10"/>
      <c r="E104" s="22"/>
      <c r="F104" s="22"/>
      <c r="N104" s="22"/>
    </row>
    <row r="105" spans="2:14" ht="18.75" customHeight="1">
      <c r="B105" s="10"/>
      <c r="C105" s="10"/>
      <c r="D105" s="10"/>
      <c r="E105" s="22"/>
      <c r="F105" s="22"/>
      <c r="N105" s="22"/>
    </row>
    <row r="106" spans="2:14" ht="18.75" customHeight="1">
      <c r="B106" s="7"/>
      <c r="C106" s="10"/>
      <c r="D106" s="10"/>
      <c r="E106" s="22"/>
      <c r="F106" s="22"/>
      <c r="N106" s="22"/>
    </row>
    <row r="107" spans="2:14" ht="18.75" customHeight="1">
      <c r="B107" s="10"/>
      <c r="C107" s="10"/>
      <c r="D107" s="10"/>
      <c r="E107" s="22"/>
      <c r="F107" s="22"/>
      <c r="N107" s="22"/>
    </row>
    <row r="108" spans="2:14" ht="18.75" customHeight="1">
      <c r="B108" s="7"/>
      <c r="C108" s="10"/>
      <c r="D108" s="10"/>
      <c r="E108" s="22"/>
      <c r="F108" s="22"/>
      <c r="N108" s="22"/>
    </row>
    <row r="109" spans="2:14" ht="18.75" customHeight="1">
      <c r="B109" s="10"/>
      <c r="C109" s="10"/>
      <c r="D109" s="10"/>
      <c r="E109" s="22"/>
      <c r="F109" s="22"/>
      <c r="N109" s="22"/>
    </row>
    <row r="110" spans="2:14" ht="18.75" customHeight="1"/>
    <row r="111" spans="2:14" ht="18.75" customHeight="1"/>
    <row r="112" spans="2:14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O7" xr:uid="{685E05C2-1196-46DF-A5A8-80094685749E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AO1001"/>
  <sheetViews>
    <sheetView workbookViewId="0">
      <selection activeCell="T6" sqref="T6:T8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97.375" customWidth="1"/>
    <col min="5" max="5" width="29.25" customWidth="1"/>
    <col min="6" max="6" width="20.875" customWidth="1"/>
    <col min="7" max="9" width="18.875" customWidth="1"/>
    <col min="10" max="10" width="19" customWidth="1"/>
    <col min="11" max="12" width="18.875" customWidth="1"/>
    <col min="13" max="13" width="39.375" customWidth="1"/>
    <col min="14" max="14" width="20.875" customWidth="1"/>
    <col min="15" max="15" width="13.625" customWidth="1"/>
    <col min="16" max="16" width="12.625" customWidth="1"/>
    <col min="17" max="17" width="13.25" customWidth="1"/>
    <col min="18" max="18" width="16.375" customWidth="1"/>
    <col min="19" max="41" width="12.625" customWidth="1"/>
  </cols>
  <sheetData>
    <row r="1" spans="1:41" ht="12" customHeight="1"/>
    <row r="2" spans="1:41" ht="40.5" customHeight="1">
      <c r="A2" s="1" t="s">
        <v>0</v>
      </c>
      <c r="B2" s="2" t="s">
        <v>436</v>
      </c>
      <c r="J2" s="12"/>
    </row>
    <row r="3" spans="1:41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</row>
    <row r="4" spans="1:41" ht="18.75" customHeight="1">
      <c r="A4" s="1" t="s">
        <v>3</v>
      </c>
      <c r="B4" s="5" t="s">
        <v>4</v>
      </c>
      <c r="C4" s="5" t="s">
        <v>128</v>
      </c>
      <c r="D4" s="5" t="s">
        <v>394</v>
      </c>
      <c r="E4" s="5" t="s">
        <v>435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1:41" ht="18.75" customHeight="1">
      <c r="A5" s="1" t="s">
        <v>19</v>
      </c>
      <c r="B5" s="5"/>
      <c r="C5" s="5"/>
      <c r="D5" s="5"/>
      <c r="E5" s="5">
        <v>1</v>
      </c>
      <c r="F5" s="5"/>
      <c r="G5" s="5"/>
      <c r="H5" s="5"/>
      <c r="I5" s="5"/>
      <c r="J5" s="5"/>
      <c r="K5" s="5"/>
      <c r="L5" s="5"/>
      <c r="M5" s="5">
        <v>2</v>
      </c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1:41" ht="18.75" customHeight="1">
      <c r="A6" s="1" t="s">
        <v>25</v>
      </c>
      <c r="B6" s="5"/>
      <c r="C6" s="5"/>
      <c r="D6" s="5"/>
      <c r="E6" s="5" t="s">
        <v>396</v>
      </c>
      <c r="F6" s="5" t="s">
        <v>422</v>
      </c>
      <c r="G6" s="5" t="s">
        <v>397</v>
      </c>
      <c r="H6" s="5" t="s">
        <v>399</v>
      </c>
      <c r="I6" s="5" t="s">
        <v>398</v>
      </c>
      <c r="J6" s="5" t="s">
        <v>400</v>
      </c>
      <c r="K6" s="5" t="s">
        <v>401</v>
      </c>
      <c r="L6" s="5" t="s">
        <v>460</v>
      </c>
      <c r="M6" s="5" t="s">
        <v>396</v>
      </c>
      <c r="N6" s="5" t="s">
        <v>422</v>
      </c>
      <c r="O6" s="5" t="s">
        <v>397</v>
      </c>
      <c r="P6" s="5" t="s">
        <v>399</v>
      </c>
      <c r="Q6" s="5" t="s">
        <v>398</v>
      </c>
      <c r="R6" s="5" t="s">
        <v>400</v>
      </c>
      <c r="S6" s="5" t="s">
        <v>401</v>
      </c>
      <c r="T6" s="5" t="s">
        <v>460</v>
      </c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1:41" ht="18.75" customHeight="1">
      <c r="A7" s="1" t="s">
        <v>32</v>
      </c>
      <c r="B7" s="6" t="s">
        <v>33</v>
      </c>
      <c r="C7" s="6" t="s">
        <v>250</v>
      </c>
      <c r="D7" s="6" t="s">
        <v>250</v>
      </c>
      <c r="E7" s="6" t="s">
        <v>33</v>
      </c>
      <c r="F7" s="6" t="s">
        <v>362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362</v>
      </c>
      <c r="M7" s="6" t="s">
        <v>33</v>
      </c>
      <c r="N7" s="6" t="s">
        <v>362</v>
      </c>
      <c r="O7" s="6" t="s">
        <v>33</v>
      </c>
      <c r="P7" s="6" t="s">
        <v>33</v>
      </c>
      <c r="Q7" s="6" t="s">
        <v>33</v>
      </c>
      <c r="R7" s="6" t="s">
        <v>33</v>
      </c>
      <c r="S7" s="6" t="s">
        <v>33</v>
      </c>
      <c r="T7" s="6" t="s">
        <v>362</v>
      </c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</row>
    <row r="8" spans="1:41" ht="76.5" customHeight="1">
      <c r="A8" s="1" t="s">
        <v>37</v>
      </c>
      <c r="B8" s="7" t="s">
        <v>38</v>
      </c>
      <c r="C8" s="7" t="s">
        <v>403</v>
      </c>
      <c r="D8" s="8" t="s">
        <v>404</v>
      </c>
      <c r="E8" s="13" t="s">
        <v>406</v>
      </c>
      <c r="F8" s="13" t="s">
        <v>423</v>
      </c>
      <c r="G8" s="7" t="s">
        <v>407</v>
      </c>
      <c r="H8" s="8" t="s">
        <v>409</v>
      </c>
      <c r="I8" s="7" t="s">
        <v>408</v>
      </c>
      <c r="J8" s="8" t="s">
        <v>410</v>
      </c>
      <c r="K8" s="8" t="s">
        <v>411</v>
      </c>
      <c r="L8" s="8" t="s">
        <v>461</v>
      </c>
      <c r="M8" s="13" t="s">
        <v>406</v>
      </c>
      <c r="N8" s="13" t="s">
        <v>423</v>
      </c>
      <c r="O8" s="7" t="s">
        <v>407</v>
      </c>
      <c r="P8" s="8" t="s">
        <v>409</v>
      </c>
      <c r="Q8" s="7" t="s">
        <v>408</v>
      </c>
      <c r="R8" s="8" t="s">
        <v>410</v>
      </c>
      <c r="S8" s="8" t="s">
        <v>411</v>
      </c>
      <c r="T8" s="8" t="s">
        <v>461</v>
      </c>
      <c r="U8" s="7"/>
      <c r="V8" s="7"/>
      <c r="W8" s="7"/>
      <c r="X8" s="7"/>
      <c r="Y8" s="7"/>
      <c r="Z8" s="7"/>
      <c r="AA8" s="7"/>
      <c r="AB8" s="7"/>
      <c r="AC8" s="7"/>
      <c r="AD8" s="7"/>
      <c r="AE8" s="8"/>
      <c r="AF8" s="8"/>
      <c r="AG8" s="7"/>
      <c r="AH8" s="7"/>
      <c r="AI8" s="7"/>
      <c r="AJ8" s="7"/>
      <c r="AK8" s="7"/>
      <c r="AL8" s="7"/>
      <c r="AM8" s="7"/>
      <c r="AN8" s="7"/>
      <c r="AO8" s="7"/>
    </row>
    <row r="9" spans="1:41" ht="409.5" customHeight="1">
      <c r="A9" s="1" t="s">
        <v>64</v>
      </c>
      <c r="B9" s="7"/>
      <c r="C9" s="8"/>
      <c r="D9" s="8"/>
      <c r="E9" s="8" t="s">
        <v>441</v>
      </c>
      <c r="F9" s="8" t="s">
        <v>448</v>
      </c>
      <c r="G9" s="8" t="s">
        <v>425</v>
      </c>
      <c r="H9" s="8"/>
      <c r="I9" s="8" t="s">
        <v>426</v>
      </c>
      <c r="J9" s="8" t="s">
        <v>427</v>
      </c>
      <c r="K9" s="8" t="s">
        <v>428</v>
      </c>
      <c r="L9" s="8"/>
      <c r="M9" s="8" t="s">
        <v>441</v>
      </c>
      <c r="N9" s="8" t="s">
        <v>448</v>
      </c>
      <c r="O9" s="8" t="s">
        <v>425</v>
      </c>
      <c r="P9" s="8"/>
      <c r="Q9" s="8" t="s">
        <v>426</v>
      </c>
      <c r="R9" s="8" t="s">
        <v>427</v>
      </c>
      <c r="S9" s="8" t="s">
        <v>428</v>
      </c>
      <c r="T9" s="7"/>
      <c r="U9" s="8"/>
      <c r="V9" s="8"/>
      <c r="W9" s="8"/>
      <c r="X9" s="8"/>
      <c r="Y9" s="8"/>
      <c r="Z9" s="8"/>
      <c r="AA9" s="8"/>
      <c r="AB9" s="8"/>
      <c r="AC9" s="7"/>
      <c r="AD9" s="7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</row>
    <row r="10" spans="1:41" ht="20.100000000000001" customHeight="1">
      <c r="A10" s="9" t="s">
        <v>288</v>
      </c>
      <c r="B10" s="7">
        <v>1</v>
      </c>
      <c r="C10" s="8" t="s">
        <v>455</v>
      </c>
      <c r="D10" s="8" t="s">
        <v>437</v>
      </c>
      <c r="E10" s="8">
        <v>19</v>
      </c>
      <c r="F10" s="8">
        <v>2</v>
      </c>
      <c r="G10" s="8">
        <v>2</v>
      </c>
      <c r="H10" s="8">
        <v>200</v>
      </c>
      <c r="I10" s="8">
        <v>1</v>
      </c>
      <c r="J10" s="7">
        <v>0</v>
      </c>
      <c r="K10" s="7">
        <v>0</v>
      </c>
      <c r="L10" s="7">
        <v>1</v>
      </c>
      <c r="M10" s="7"/>
      <c r="N10" s="8"/>
      <c r="O10" s="7"/>
      <c r="P10" s="7"/>
      <c r="Q10" s="8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7"/>
      <c r="AD10" s="7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</row>
    <row r="11" spans="1:41" ht="18.75" customHeight="1">
      <c r="A11" s="9"/>
      <c r="B11" s="10">
        <v>2</v>
      </c>
      <c r="C11" s="10" t="s">
        <v>456</v>
      </c>
      <c r="D11" s="10" t="s">
        <v>438</v>
      </c>
      <c r="E11" s="10">
        <v>11</v>
      </c>
      <c r="F11" s="10">
        <v>2</v>
      </c>
      <c r="G11" s="10">
        <v>2</v>
      </c>
      <c r="H11" s="10">
        <v>200</v>
      </c>
      <c r="I11" s="10">
        <v>1</v>
      </c>
      <c r="J11" s="10">
        <v>0</v>
      </c>
      <c r="K11" s="10">
        <v>0</v>
      </c>
      <c r="L11" s="10">
        <v>1</v>
      </c>
      <c r="M11" s="10">
        <v>30</v>
      </c>
      <c r="N11" s="10">
        <v>2</v>
      </c>
      <c r="O11" s="10">
        <v>2</v>
      </c>
      <c r="P11" s="10">
        <v>100</v>
      </c>
      <c r="Q11" s="10">
        <v>3</v>
      </c>
      <c r="R11" s="10">
        <v>10</v>
      </c>
      <c r="S11" s="10">
        <v>3</v>
      </c>
      <c r="T11" s="10">
        <v>3</v>
      </c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</row>
    <row r="12" spans="1:41" ht="18.75" customHeight="1">
      <c r="A12" s="11"/>
      <c r="B12" s="7">
        <v>3</v>
      </c>
      <c r="C12" s="10" t="s">
        <v>457</v>
      </c>
      <c r="D12" s="10" t="s">
        <v>449</v>
      </c>
      <c r="E12" s="10">
        <v>12</v>
      </c>
      <c r="F12" s="10">
        <v>2</v>
      </c>
      <c r="G12" s="10">
        <v>2</v>
      </c>
      <c r="H12" s="10">
        <v>272</v>
      </c>
      <c r="I12" s="10">
        <v>1</v>
      </c>
      <c r="J12" s="10">
        <v>0</v>
      </c>
      <c r="K12" s="10">
        <v>0</v>
      </c>
      <c r="L12" s="10">
        <v>1</v>
      </c>
      <c r="M12" s="10">
        <v>2</v>
      </c>
      <c r="N12" s="10">
        <v>2</v>
      </c>
      <c r="O12" s="10">
        <v>2</v>
      </c>
      <c r="P12" s="10">
        <v>220</v>
      </c>
      <c r="Q12" s="10">
        <v>2</v>
      </c>
      <c r="R12" s="10">
        <v>0</v>
      </c>
      <c r="S12" s="10">
        <v>0</v>
      </c>
      <c r="T12" s="10">
        <v>2</v>
      </c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</row>
    <row r="13" spans="1:41" ht="18.75" customHeight="1">
      <c r="A13" s="11"/>
      <c r="B13" s="10">
        <v>4</v>
      </c>
      <c r="C13" s="10" t="s">
        <v>458</v>
      </c>
      <c r="D13" s="10" t="s">
        <v>439</v>
      </c>
      <c r="E13" s="10">
        <v>3</v>
      </c>
      <c r="F13" s="10">
        <v>2</v>
      </c>
      <c r="G13" s="10">
        <v>2</v>
      </c>
      <c r="H13" s="10">
        <v>95</v>
      </c>
      <c r="I13" s="10">
        <v>1</v>
      </c>
      <c r="J13" s="10">
        <v>0</v>
      </c>
      <c r="K13" s="10">
        <v>0</v>
      </c>
      <c r="L13" s="10">
        <v>1</v>
      </c>
      <c r="M13" s="10">
        <v>30</v>
      </c>
      <c r="N13" s="10">
        <v>2</v>
      </c>
      <c r="O13" s="10">
        <v>0</v>
      </c>
      <c r="P13" s="10">
        <v>15</v>
      </c>
      <c r="Q13" s="10">
        <v>3</v>
      </c>
      <c r="R13" s="10">
        <v>2</v>
      </c>
      <c r="S13" s="10">
        <v>3</v>
      </c>
      <c r="T13" s="10">
        <v>3</v>
      </c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</row>
    <row r="14" spans="1:41" ht="18.75" customHeight="1">
      <c r="A14" s="11"/>
      <c r="B14" s="7">
        <v>5</v>
      </c>
      <c r="C14" s="10" t="s">
        <v>459</v>
      </c>
      <c r="D14" s="10" t="s">
        <v>440</v>
      </c>
      <c r="E14" s="10">
        <v>12</v>
      </c>
      <c r="F14" s="10">
        <v>2</v>
      </c>
      <c r="G14" s="10">
        <v>2</v>
      </c>
      <c r="H14" s="10">
        <v>182</v>
      </c>
      <c r="I14" s="10">
        <v>1</v>
      </c>
      <c r="J14" s="10">
        <v>0</v>
      </c>
      <c r="K14" s="10">
        <v>0</v>
      </c>
      <c r="L14" s="10">
        <v>1</v>
      </c>
      <c r="M14" s="10">
        <v>7</v>
      </c>
      <c r="N14" s="10">
        <v>2</v>
      </c>
      <c r="O14" s="10">
        <v>0</v>
      </c>
      <c r="P14" s="10">
        <v>30</v>
      </c>
      <c r="Q14" s="10">
        <v>3</v>
      </c>
      <c r="R14" s="10">
        <v>1</v>
      </c>
      <c r="S14" s="10">
        <v>3</v>
      </c>
      <c r="T14" s="10">
        <v>3</v>
      </c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</row>
    <row r="15" spans="1:41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</row>
    <row r="16" spans="1:41" ht="18.75" customHeight="1">
      <c r="A16" s="11"/>
      <c r="B16" s="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</row>
    <row r="17" spans="1:41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</row>
    <row r="18" spans="1:41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</row>
    <row r="19" spans="1:41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</row>
    <row r="20" spans="1:41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</row>
    <row r="21" spans="1:41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</row>
    <row r="22" spans="1:41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</row>
    <row r="23" spans="1:41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</row>
    <row r="24" spans="1:41" ht="18.75" customHeight="1">
      <c r="A24" s="11"/>
      <c r="B24" s="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</row>
    <row r="25" spans="1:41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</row>
    <row r="26" spans="1:41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</row>
    <row r="27" spans="1:41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</row>
    <row r="28" spans="1:41" ht="18.75" customHeight="1">
      <c r="A28" s="11"/>
      <c r="B28" s="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</row>
    <row r="29" spans="1:41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</row>
    <row r="30" spans="1:41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</row>
    <row r="31" spans="1:41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</row>
    <row r="32" spans="1:41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</row>
    <row r="33" spans="1:41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</row>
    <row r="34" spans="1:41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</row>
    <row r="35" spans="1:41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</row>
    <row r="36" spans="1:41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</row>
    <row r="37" spans="1:41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</row>
    <row r="38" spans="1:41" ht="18.75" customHeight="1">
      <c r="A38" s="11"/>
      <c r="B38" s="7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</row>
    <row r="39" spans="1:41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</row>
    <row r="40" spans="1:41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</row>
    <row r="41" spans="1:41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</row>
    <row r="42" spans="1:41" ht="18.75" customHeight="1">
      <c r="A42" s="11"/>
      <c r="B42" s="7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</row>
    <row r="43" spans="1:41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</row>
    <row r="44" spans="1:41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</row>
    <row r="45" spans="1:41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</row>
    <row r="46" spans="1:41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</row>
    <row r="47" spans="1:41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</row>
    <row r="48" spans="1:41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</row>
    <row r="49" spans="1:41" ht="18.75" customHeight="1">
      <c r="A49" s="11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</row>
    <row r="50" spans="1:41" ht="18.75" customHeight="1">
      <c r="B50" s="7"/>
      <c r="C50" s="10"/>
      <c r="D50" s="10"/>
      <c r="E50" s="22"/>
      <c r="F50" s="22"/>
      <c r="N50" s="22"/>
    </row>
    <row r="51" spans="1:41" ht="18.75" customHeight="1">
      <c r="B51" s="10"/>
      <c r="C51" s="10"/>
      <c r="D51" s="10"/>
      <c r="E51" s="22"/>
      <c r="F51" s="22"/>
      <c r="N51" s="22"/>
    </row>
    <row r="52" spans="1:41" ht="18.75" customHeight="1">
      <c r="B52" s="7"/>
      <c r="C52" s="10"/>
      <c r="D52" s="10"/>
      <c r="E52" s="22"/>
      <c r="F52" s="22"/>
      <c r="N52" s="22"/>
    </row>
    <row r="53" spans="1:41" ht="18.75" customHeight="1">
      <c r="B53" s="10"/>
      <c r="C53" s="10"/>
      <c r="D53" s="10"/>
      <c r="E53" s="22"/>
      <c r="F53" s="22"/>
      <c r="N53" s="22"/>
    </row>
    <row r="54" spans="1:41" ht="18.75" customHeight="1">
      <c r="B54" s="7"/>
      <c r="C54" s="10"/>
      <c r="D54" s="10"/>
      <c r="E54" s="22"/>
      <c r="F54" s="22"/>
      <c r="N54" s="22"/>
    </row>
    <row r="55" spans="1:41" ht="18.75" customHeight="1">
      <c r="B55" s="10"/>
      <c r="C55" s="10"/>
      <c r="D55" s="10"/>
      <c r="E55" s="22"/>
      <c r="F55" s="22"/>
      <c r="N55" s="22"/>
    </row>
    <row r="56" spans="1:41" ht="18.75" customHeight="1">
      <c r="B56" s="7"/>
      <c r="C56" s="10"/>
      <c r="D56" s="10"/>
      <c r="E56" s="22"/>
      <c r="F56" s="22"/>
      <c r="N56" s="22"/>
    </row>
    <row r="57" spans="1:41" ht="18.75" customHeight="1">
      <c r="B57" s="10"/>
      <c r="C57" s="10"/>
      <c r="D57" s="10"/>
      <c r="E57" s="22"/>
      <c r="F57" s="22"/>
      <c r="N57" s="22"/>
    </row>
    <row r="58" spans="1:41" ht="18.75" customHeight="1">
      <c r="B58" s="7"/>
      <c r="C58" s="10"/>
      <c r="D58" s="10"/>
      <c r="E58" s="22"/>
      <c r="F58" s="22"/>
      <c r="N58" s="22"/>
    </row>
    <row r="59" spans="1:41" ht="18.75" customHeight="1">
      <c r="B59" s="10"/>
      <c r="C59" s="10"/>
      <c r="D59" s="10"/>
      <c r="E59" s="22"/>
      <c r="F59" s="22"/>
      <c r="N59" s="22"/>
    </row>
    <row r="60" spans="1:41" ht="18.75" customHeight="1">
      <c r="B60" s="7"/>
      <c r="C60" s="10"/>
      <c r="D60" s="10"/>
      <c r="E60" s="22"/>
      <c r="F60" s="22"/>
      <c r="N60" s="22"/>
    </row>
    <row r="61" spans="1:41" ht="18.75" customHeight="1">
      <c r="B61" s="10"/>
      <c r="C61" s="10"/>
      <c r="D61" s="10"/>
      <c r="E61" s="22"/>
      <c r="F61" s="22"/>
      <c r="N61" s="22"/>
    </row>
    <row r="62" spans="1:41" ht="18.75" customHeight="1">
      <c r="B62" s="7"/>
      <c r="C62" s="10"/>
      <c r="D62" s="10"/>
      <c r="E62" s="22"/>
      <c r="F62" s="22"/>
      <c r="N62" s="22"/>
    </row>
    <row r="63" spans="1:41" ht="18.75" customHeight="1">
      <c r="B63" s="10"/>
      <c r="C63" s="10"/>
      <c r="D63" s="10"/>
      <c r="E63" s="22"/>
      <c r="F63" s="22"/>
      <c r="N63" s="22"/>
    </row>
    <row r="64" spans="1:41" ht="18.75" customHeight="1">
      <c r="B64" s="7"/>
      <c r="C64" s="10"/>
      <c r="D64" s="10"/>
      <c r="E64" s="22"/>
      <c r="F64" s="22"/>
      <c r="N64" s="22"/>
    </row>
    <row r="65" spans="2:14" ht="18.75" customHeight="1">
      <c r="B65" s="10"/>
      <c r="C65" s="10"/>
      <c r="D65" s="10"/>
      <c r="E65" s="22"/>
      <c r="F65" s="22"/>
      <c r="N65" s="22"/>
    </row>
    <row r="66" spans="2:14" ht="18.75" customHeight="1">
      <c r="B66" s="7"/>
      <c r="C66" s="10"/>
      <c r="D66" s="10"/>
      <c r="E66" s="22"/>
      <c r="F66" s="22"/>
      <c r="N66" s="22"/>
    </row>
    <row r="67" spans="2:14" ht="18.75" customHeight="1">
      <c r="B67" s="10"/>
      <c r="C67" s="10"/>
      <c r="D67" s="10"/>
      <c r="E67" s="22"/>
      <c r="F67" s="22"/>
      <c r="N67" s="22"/>
    </row>
    <row r="68" spans="2:14" ht="18.75" customHeight="1">
      <c r="B68" s="7"/>
      <c r="C68" s="10"/>
      <c r="D68" s="10"/>
      <c r="E68" s="22"/>
      <c r="F68" s="22"/>
      <c r="N68" s="22"/>
    </row>
    <row r="69" spans="2:14" ht="18.75" customHeight="1">
      <c r="B69" s="10"/>
      <c r="C69" s="10"/>
      <c r="D69" s="10"/>
      <c r="E69" s="22"/>
      <c r="F69" s="22"/>
      <c r="N69" s="22"/>
    </row>
    <row r="70" spans="2:14" ht="18.75" customHeight="1">
      <c r="B70" s="7"/>
      <c r="C70" s="10"/>
      <c r="D70" s="10"/>
      <c r="E70" s="22"/>
      <c r="F70" s="22"/>
      <c r="N70" s="22"/>
    </row>
    <row r="71" spans="2:14" ht="18.75" customHeight="1">
      <c r="B71" s="10"/>
      <c r="C71" s="10"/>
      <c r="D71" s="10"/>
      <c r="E71" s="22"/>
      <c r="F71" s="22"/>
      <c r="N71" s="22"/>
    </row>
    <row r="72" spans="2:14" ht="18.75" customHeight="1">
      <c r="B72" s="7"/>
      <c r="C72" s="10"/>
      <c r="D72" s="10"/>
      <c r="E72" s="22"/>
      <c r="F72" s="22"/>
      <c r="N72" s="22"/>
    </row>
    <row r="73" spans="2:14" ht="18.75" customHeight="1">
      <c r="B73" s="10"/>
      <c r="C73" s="10"/>
      <c r="D73" s="10"/>
      <c r="E73" s="22"/>
      <c r="F73" s="22"/>
      <c r="N73" s="22"/>
    </row>
    <row r="74" spans="2:14" ht="18.75" customHeight="1">
      <c r="B74" s="7"/>
      <c r="C74" s="10"/>
      <c r="D74" s="10"/>
      <c r="E74" s="22"/>
      <c r="F74" s="22"/>
      <c r="N74" s="22"/>
    </row>
    <row r="75" spans="2:14" ht="18.75" customHeight="1">
      <c r="B75" s="10"/>
      <c r="C75" s="10"/>
      <c r="D75" s="10"/>
      <c r="E75" s="22"/>
      <c r="F75" s="22"/>
      <c r="N75" s="22"/>
    </row>
    <row r="76" spans="2:14" ht="18.75" customHeight="1">
      <c r="B76" s="7"/>
      <c r="C76" s="10"/>
      <c r="D76" s="10"/>
      <c r="E76" s="22"/>
      <c r="F76" s="22"/>
      <c r="N76" s="22"/>
    </row>
    <row r="77" spans="2:14" ht="18.75" customHeight="1">
      <c r="B77" s="10"/>
      <c r="C77" s="10"/>
      <c r="D77" s="10"/>
      <c r="E77" s="22"/>
      <c r="F77" s="22"/>
      <c r="N77" s="22"/>
    </row>
    <row r="78" spans="2:14" ht="18.75" customHeight="1">
      <c r="B78" s="7"/>
      <c r="C78" s="10"/>
      <c r="D78" s="10"/>
      <c r="E78" s="22"/>
      <c r="F78" s="22"/>
      <c r="N78" s="22"/>
    </row>
    <row r="79" spans="2:14" ht="18.75" customHeight="1">
      <c r="B79" s="10"/>
      <c r="C79" s="10"/>
      <c r="D79" s="10"/>
      <c r="E79" s="22"/>
      <c r="F79" s="22"/>
      <c r="N79" s="22"/>
    </row>
    <row r="80" spans="2:14" ht="18.75" customHeight="1">
      <c r="B80" s="7"/>
      <c r="C80" s="10"/>
      <c r="D80" s="10"/>
      <c r="E80" s="22"/>
      <c r="F80" s="22"/>
      <c r="N80" s="22"/>
    </row>
    <row r="81" spans="2:14" ht="18.75" customHeight="1">
      <c r="B81" s="10"/>
      <c r="C81" s="10"/>
      <c r="D81" s="10"/>
      <c r="E81" s="22"/>
      <c r="F81" s="22"/>
      <c r="N81" s="22"/>
    </row>
    <row r="82" spans="2:14" ht="18.75" customHeight="1">
      <c r="B82" s="7"/>
      <c r="C82" s="10"/>
      <c r="D82" s="10"/>
      <c r="E82" s="22"/>
      <c r="F82" s="22"/>
      <c r="N82" s="22"/>
    </row>
    <row r="83" spans="2:14" ht="18.75" customHeight="1">
      <c r="B83" s="10"/>
      <c r="C83" s="10"/>
      <c r="D83" s="10"/>
      <c r="E83" s="22"/>
      <c r="F83" s="22"/>
      <c r="N83" s="22"/>
    </row>
    <row r="84" spans="2:14" ht="18.75" customHeight="1">
      <c r="B84" s="7"/>
      <c r="C84" s="10"/>
      <c r="D84" s="10"/>
      <c r="E84" s="22"/>
      <c r="F84" s="22"/>
      <c r="N84" s="22"/>
    </row>
    <row r="85" spans="2:14" ht="18.75" customHeight="1">
      <c r="B85" s="10"/>
      <c r="C85" s="10"/>
      <c r="D85" s="10"/>
      <c r="E85" s="22"/>
      <c r="F85" s="22"/>
      <c r="N85" s="22"/>
    </row>
    <row r="86" spans="2:14" ht="18.75" customHeight="1">
      <c r="B86" s="7"/>
      <c r="C86" s="10"/>
      <c r="D86" s="10"/>
      <c r="E86" s="22"/>
      <c r="F86" s="22"/>
      <c r="N86" s="22"/>
    </row>
    <row r="87" spans="2:14" ht="18.75" customHeight="1">
      <c r="B87" s="10"/>
      <c r="C87" s="10"/>
      <c r="D87" s="10"/>
      <c r="E87" s="22"/>
      <c r="F87" s="22"/>
      <c r="N87" s="22"/>
    </row>
    <row r="88" spans="2:14" ht="18.75" customHeight="1">
      <c r="B88" s="7"/>
      <c r="C88" s="10"/>
      <c r="D88" s="10"/>
      <c r="E88" s="22"/>
      <c r="F88" s="22"/>
      <c r="N88" s="22"/>
    </row>
    <row r="89" spans="2:14" ht="18.75" customHeight="1">
      <c r="B89" s="10"/>
      <c r="C89" s="10"/>
      <c r="D89" s="10"/>
      <c r="E89" s="22"/>
      <c r="F89" s="22"/>
      <c r="N89" s="22"/>
    </row>
    <row r="90" spans="2:14" ht="18.75" customHeight="1">
      <c r="B90" s="7"/>
      <c r="C90" s="10"/>
      <c r="D90" s="10"/>
      <c r="E90" s="22"/>
      <c r="F90" s="22"/>
      <c r="N90" s="22"/>
    </row>
    <row r="91" spans="2:14" ht="18.75" customHeight="1">
      <c r="B91" s="10"/>
      <c r="C91" s="10"/>
      <c r="D91" s="10"/>
      <c r="E91" s="22"/>
      <c r="F91" s="22"/>
      <c r="N91" s="22"/>
    </row>
    <row r="92" spans="2:14" ht="18.75" customHeight="1">
      <c r="B92" s="7"/>
      <c r="C92" s="10"/>
      <c r="D92" s="10"/>
      <c r="E92" s="22"/>
      <c r="F92" s="22"/>
      <c r="N92" s="22"/>
    </row>
    <row r="93" spans="2:14" ht="18.75" customHeight="1">
      <c r="B93" s="10"/>
      <c r="C93" s="10"/>
      <c r="D93" s="10"/>
      <c r="E93" s="22"/>
      <c r="F93" s="22"/>
      <c r="N93" s="22"/>
    </row>
    <row r="94" spans="2:14" ht="18.75" customHeight="1">
      <c r="B94" s="7"/>
      <c r="C94" s="10"/>
      <c r="D94" s="10"/>
      <c r="E94" s="22"/>
      <c r="F94" s="22"/>
      <c r="N94" s="22"/>
    </row>
    <row r="95" spans="2:14" ht="18.75" customHeight="1">
      <c r="B95" s="10"/>
      <c r="C95" s="10"/>
      <c r="D95" s="10"/>
      <c r="E95" s="22"/>
      <c r="F95" s="22"/>
      <c r="N95" s="22"/>
    </row>
    <row r="96" spans="2:14" ht="18.75" customHeight="1">
      <c r="B96" s="7"/>
      <c r="C96" s="10"/>
      <c r="D96" s="10"/>
      <c r="E96" s="22"/>
      <c r="F96" s="22"/>
      <c r="N96" s="22"/>
    </row>
    <row r="97" spans="2:14" ht="18.75" customHeight="1">
      <c r="B97" s="10"/>
      <c r="C97" s="10"/>
      <c r="D97" s="10"/>
      <c r="E97" s="22"/>
      <c r="F97" s="22"/>
      <c r="N97" s="22"/>
    </row>
    <row r="98" spans="2:14" ht="18.75" customHeight="1">
      <c r="B98" s="7"/>
      <c r="C98" s="10"/>
      <c r="D98" s="10"/>
      <c r="E98" s="22"/>
      <c r="F98" s="22"/>
      <c r="N98" s="22"/>
    </row>
    <row r="99" spans="2:14" ht="18.75" customHeight="1">
      <c r="B99" s="10"/>
      <c r="C99" s="10"/>
      <c r="D99" s="10"/>
      <c r="E99" s="22"/>
      <c r="F99" s="22"/>
      <c r="N99" s="22"/>
    </row>
    <row r="100" spans="2:14" ht="18.75" customHeight="1">
      <c r="B100" s="7"/>
      <c r="C100" s="10"/>
      <c r="D100" s="10"/>
      <c r="E100" s="22"/>
      <c r="F100" s="22"/>
      <c r="N100" s="22"/>
    </row>
    <row r="101" spans="2:14" ht="18.75" customHeight="1">
      <c r="B101" s="10"/>
      <c r="C101" s="10"/>
      <c r="D101" s="10"/>
      <c r="E101" s="22"/>
      <c r="F101" s="22"/>
      <c r="N101" s="22"/>
    </row>
    <row r="102" spans="2:14" ht="18.75" customHeight="1">
      <c r="B102" s="7"/>
      <c r="C102" s="10"/>
      <c r="D102" s="10"/>
      <c r="E102" s="22"/>
      <c r="F102" s="22"/>
      <c r="N102" s="22"/>
    </row>
    <row r="103" spans="2:14" ht="18.75" customHeight="1">
      <c r="B103" s="10"/>
      <c r="C103" s="10"/>
      <c r="D103" s="10"/>
      <c r="E103" s="22"/>
      <c r="F103" s="22"/>
      <c r="N103" s="22"/>
    </row>
    <row r="104" spans="2:14" ht="18.75" customHeight="1">
      <c r="B104" s="7"/>
      <c r="C104" s="10"/>
      <c r="D104" s="10"/>
      <c r="E104" s="22"/>
      <c r="F104" s="22"/>
      <c r="N104" s="22"/>
    </row>
    <row r="105" spans="2:14" ht="18.75" customHeight="1">
      <c r="B105" s="10"/>
      <c r="C105" s="10"/>
      <c r="D105" s="10"/>
      <c r="E105" s="22"/>
      <c r="F105" s="22"/>
      <c r="N105" s="22"/>
    </row>
    <row r="106" spans="2:14" ht="18.75" customHeight="1">
      <c r="B106" s="7"/>
      <c r="C106" s="10"/>
      <c r="D106" s="10"/>
      <c r="E106" s="22"/>
      <c r="F106" s="22"/>
      <c r="N106" s="22"/>
    </row>
    <row r="107" spans="2:14" ht="18.75" customHeight="1">
      <c r="B107" s="10"/>
      <c r="C107" s="10"/>
      <c r="D107" s="10"/>
      <c r="E107" s="22"/>
      <c r="F107" s="22"/>
      <c r="N107" s="22"/>
    </row>
    <row r="108" spans="2:14" ht="18.75" customHeight="1">
      <c r="B108" s="7"/>
      <c r="C108" s="10"/>
      <c r="D108" s="10"/>
      <c r="E108" s="22"/>
      <c r="F108" s="22"/>
      <c r="N108" s="22"/>
    </row>
    <row r="109" spans="2:14" ht="18.75" customHeight="1">
      <c r="B109" s="10"/>
      <c r="C109" s="10"/>
      <c r="D109" s="10"/>
      <c r="E109" s="22"/>
      <c r="F109" s="22"/>
      <c r="N109" s="22"/>
    </row>
    <row r="110" spans="2:14" ht="18.75" customHeight="1"/>
    <row r="111" spans="2:14" ht="18.75" customHeight="1"/>
    <row r="112" spans="2:14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O7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O1001"/>
  <sheetViews>
    <sheetView workbookViewId="0">
      <selection activeCell="D9" sqref="D9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97.375" customWidth="1"/>
    <col min="5" max="5" width="29.25" customWidth="1"/>
    <col min="6" max="6" width="20.875" customWidth="1"/>
    <col min="7" max="9" width="18.875" customWidth="1"/>
    <col min="10" max="10" width="19" customWidth="1"/>
    <col min="11" max="12" width="18.875" customWidth="1"/>
    <col min="13" max="13" width="39.375" customWidth="1"/>
    <col min="14" max="14" width="20.875" customWidth="1"/>
    <col min="15" max="15" width="13.625" customWidth="1"/>
    <col min="16" max="16" width="12.625" customWidth="1"/>
    <col min="17" max="17" width="13.25" customWidth="1"/>
    <col min="18" max="18" width="16.375" customWidth="1"/>
    <col min="19" max="41" width="12.625" customWidth="1"/>
  </cols>
  <sheetData>
    <row r="1" spans="1:41" ht="12" customHeight="1"/>
    <row r="2" spans="1:41" ht="40.5" customHeight="1">
      <c r="A2" s="1" t="s">
        <v>0</v>
      </c>
      <c r="B2" s="2" t="s">
        <v>462</v>
      </c>
      <c r="J2" s="12"/>
    </row>
    <row r="3" spans="1:41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</row>
    <row r="4" spans="1:41" ht="18.75" customHeight="1">
      <c r="A4" s="1" t="s">
        <v>3</v>
      </c>
      <c r="B4" s="5" t="s">
        <v>4</v>
      </c>
      <c r="C4" s="5" t="s">
        <v>128</v>
      </c>
      <c r="D4" s="5" t="s">
        <v>394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1:41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1:41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1:41" ht="18.75" customHeight="1">
      <c r="A7" s="1" t="s">
        <v>32</v>
      </c>
      <c r="B7" s="6" t="s">
        <v>33</v>
      </c>
      <c r="C7" s="6" t="s">
        <v>250</v>
      </c>
      <c r="D7" s="6" t="s">
        <v>250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</row>
    <row r="8" spans="1:41" ht="76.5" customHeight="1">
      <c r="A8" s="1" t="s">
        <v>37</v>
      </c>
      <c r="B8" s="7" t="s">
        <v>38</v>
      </c>
      <c r="C8" s="7" t="s">
        <v>403</v>
      </c>
      <c r="D8" s="8" t="s">
        <v>404</v>
      </c>
      <c r="E8" s="13"/>
      <c r="F8" s="13"/>
      <c r="G8" s="7"/>
      <c r="H8" s="8"/>
      <c r="I8" s="7"/>
      <c r="J8" s="8"/>
      <c r="K8" s="8"/>
      <c r="L8" s="8"/>
      <c r="M8" s="13"/>
      <c r="N8" s="13"/>
      <c r="O8" s="7"/>
      <c r="P8" s="8"/>
      <c r="Q8" s="7"/>
      <c r="R8" s="8"/>
      <c r="S8" s="8"/>
      <c r="T8" s="8"/>
      <c r="U8" s="7"/>
      <c r="V8" s="7"/>
      <c r="W8" s="7"/>
      <c r="X8" s="7"/>
      <c r="Y8" s="7"/>
      <c r="Z8" s="7"/>
      <c r="AA8" s="7"/>
      <c r="AB8" s="7"/>
      <c r="AC8" s="7"/>
      <c r="AD8" s="7"/>
      <c r="AE8" s="8"/>
      <c r="AF8" s="8"/>
      <c r="AG8" s="7"/>
      <c r="AH8" s="7"/>
      <c r="AI8" s="7"/>
      <c r="AJ8" s="7"/>
      <c r="AK8" s="7"/>
      <c r="AL8" s="7"/>
      <c r="AM8" s="7"/>
      <c r="AN8" s="7"/>
      <c r="AO8" s="7"/>
    </row>
    <row r="9" spans="1:41" ht="409.5" customHeight="1">
      <c r="A9" s="1" t="s">
        <v>64</v>
      </c>
      <c r="B9" s="7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7"/>
      <c r="U9" s="8"/>
      <c r="V9" s="8"/>
      <c r="W9" s="8"/>
      <c r="X9" s="8"/>
      <c r="Y9" s="8"/>
      <c r="Z9" s="8"/>
      <c r="AA9" s="8"/>
      <c r="AB9" s="8"/>
      <c r="AC9" s="7"/>
      <c r="AD9" s="7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</row>
    <row r="10" spans="1:41" ht="20.100000000000001" customHeight="1">
      <c r="A10" s="9" t="s">
        <v>288</v>
      </c>
      <c r="B10" s="7">
        <v>1</v>
      </c>
      <c r="C10" s="8" t="s">
        <v>463</v>
      </c>
      <c r="D10" s="8" t="s">
        <v>463</v>
      </c>
      <c r="E10" s="8"/>
      <c r="F10" s="8"/>
      <c r="G10" s="8"/>
      <c r="H10" s="8"/>
      <c r="I10" s="8"/>
      <c r="J10" s="7"/>
      <c r="K10" s="7"/>
      <c r="L10" s="7"/>
      <c r="M10" s="7"/>
      <c r="N10" s="8"/>
      <c r="O10" s="7"/>
      <c r="P10" s="7"/>
      <c r="Q10" s="8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7"/>
      <c r="AD10" s="7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</row>
    <row r="11" spans="1:41" ht="18.75" customHeight="1">
      <c r="A11" s="9"/>
      <c r="B11" s="10">
        <v>2</v>
      </c>
      <c r="C11" s="10" t="s">
        <v>464</v>
      </c>
      <c r="D11" s="10" t="s">
        <v>464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</row>
    <row r="12" spans="1:41" ht="18.75" customHeight="1">
      <c r="A12" s="11"/>
      <c r="B12" s="7">
        <v>3</v>
      </c>
      <c r="C12" s="10" t="s">
        <v>465</v>
      </c>
      <c r="D12" s="10" t="s">
        <v>465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</row>
    <row r="13" spans="1:41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</row>
    <row r="14" spans="1:41" ht="18.75" customHeight="1">
      <c r="A14" s="11"/>
      <c r="B14" s="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</row>
    <row r="15" spans="1:41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</row>
    <row r="16" spans="1:41" ht="18.75" customHeight="1">
      <c r="A16" s="11"/>
      <c r="B16" s="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</row>
    <row r="17" spans="1:41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</row>
    <row r="18" spans="1:41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</row>
    <row r="19" spans="1:41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</row>
    <row r="20" spans="1:41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</row>
    <row r="21" spans="1:41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</row>
    <row r="22" spans="1:41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</row>
    <row r="23" spans="1:41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</row>
    <row r="24" spans="1:41" ht="18.75" customHeight="1">
      <c r="A24" s="11"/>
      <c r="B24" s="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</row>
    <row r="25" spans="1:41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</row>
    <row r="26" spans="1:41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</row>
    <row r="27" spans="1:41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</row>
    <row r="28" spans="1:41" ht="18.75" customHeight="1">
      <c r="A28" s="11"/>
      <c r="B28" s="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</row>
    <row r="29" spans="1:41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</row>
    <row r="30" spans="1:41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</row>
    <row r="31" spans="1:41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</row>
    <row r="32" spans="1:41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</row>
    <row r="33" spans="1:41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</row>
    <row r="34" spans="1:41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</row>
    <row r="35" spans="1:41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</row>
    <row r="36" spans="1:41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</row>
    <row r="37" spans="1:41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</row>
    <row r="38" spans="1:41" ht="18.75" customHeight="1">
      <c r="A38" s="11"/>
      <c r="B38" s="7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</row>
    <row r="39" spans="1:41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</row>
    <row r="40" spans="1:41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</row>
    <row r="41" spans="1:41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</row>
    <row r="42" spans="1:41" ht="18.75" customHeight="1">
      <c r="A42" s="11"/>
      <c r="B42" s="7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</row>
    <row r="43" spans="1:41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</row>
    <row r="44" spans="1:41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</row>
    <row r="45" spans="1:41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</row>
    <row r="46" spans="1:41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</row>
    <row r="47" spans="1:41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</row>
    <row r="48" spans="1:41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</row>
    <row r="49" spans="1:41" ht="18.75" customHeight="1">
      <c r="A49" s="11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</row>
    <row r="50" spans="1:41" ht="18.75" customHeight="1">
      <c r="B50" s="7"/>
      <c r="C50" s="10"/>
      <c r="D50" s="10"/>
      <c r="E50" s="22"/>
      <c r="F50" s="22"/>
      <c r="N50" s="22"/>
    </row>
    <row r="51" spans="1:41" ht="18.75" customHeight="1">
      <c r="B51" s="10"/>
      <c r="C51" s="10"/>
      <c r="D51" s="10"/>
      <c r="E51" s="22"/>
      <c r="F51" s="22"/>
      <c r="N51" s="22"/>
    </row>
    <row r="52" spans="1:41" ht="18.75" customHeight="1">
      <c r="B52" s="7"/>
      <c r="C52" s="10"/>
      <c r="D52" s="10"/>
      <c r="E52" s="22"/>
      <c r="F52" s="22"/>
      <c r="N52" s="22"/>
    </row>
    <row r="53" spans="1:41" ht="18.75" customHeight="1">
      <c r="B53" s="10"/>
      <c r="C53" s="10"/>
      <c r="D53" s="10"/>
      <c r="E53" s="22"/>
      <c r="F53" s="22"/>
      <c r="N53" s="22"/>
    </row>
    <row r="54" spans="1:41" ht="18.75" customHeight="1">
      <c r="B54" s="7"/>
      <c r="C54" s="10"/>
      <c r="D54" s="10"/>
      <c r="E54" s="22"/>
      <c r="F54" s="22"/>
      <c r="N54" s="22"/>
    </row>
    <row r="55" spans="1:41" ht="18.75" customHeight="1">
      <c r="B55" s="10"/>
      <c r="C55" s="10"/>
      <c r="D55" s="10"/>
      <c r="E55" s="22"/>
      <c r="F55" s="22"/>
      <c r="N55" s="22"/>
    </row>
    <row r="56" spans="1:41" ht="18.75" customHeight="1">
      <c r="B56" s="7"/>
      <c r="C56" s="10"/>
      <c r="D56" s="10"/>
      <c r="E56" s="22"/>
      <c r="F56" s="22"/>
      <c r="N56" s="22"/>
    </row>
    <row r="57" spans="1:41" ht="18.75" customHeight="1">
      <c r="B57" s="10"/>
      <c r="C57" s="10"/>
      <c r="D57" s="10"/>
      <c r="E57" s="22"/>
      <c r="F57" s="22"/>
      <c r="N57" s="22"/>
    </row>
    <row r="58" spans="1:41" ht="18.75" customHeight="1">
      <c r="B58" s="7"/>
      <c r="C58" s="10"/>
      <c r="D58" s="10"/>
      <c r="E58" s="22"/>
      <c r="F58" s="22"/>
      <c r="N58" s="22"/>
    </row>
    <row r="59" spans="1:41" ht="18.75" customHeight="1">
      <c r="B59" s="10"/>
      <c r="C59" s="10"/>
      <c r="D59" s="10"/>
      <c r="E59" s="22"/>
      <c r="F59" s="22"/>
      <c r="N59" s="22"/>
    </row>
    <row r="60" spans="1:41" ht="18.75" customHeight="1">
      <c r="B60" s="7"/>
      <c r="C60" s="10"/>
      <c r="D60" s="10"/>
      <c r="E60" s="22"/>
      <c r="F60" s="22"/>
      <c r="N60" s="22"/>
    </row>
    <row r="61" spans="1:41" ht="18.75" customHeight="1">
      <c r="B61" s="10"/>
      <c r="C61" s="10"/>
      <c r="D61" s="10"/>
      <c r="E61" s="22"/>
      <c r="F61" s="22"/>
      <c r="N61" s="22"/>
    </row>
    <row r="62" spans="1:41" ht="18.75" customHeight="1">
      <c r="B62" s="7"/>
      <c r="C62" s="10"/>
      <c r="D62" s="10"/>
      <c r="E62" s="22"/>
      <c r="F62" s="22"/>
      <c r="N62" s="22"/>
    </row>
    <row r="63" spans="1:41" ht="18.75" customHeight="1">
      <c r="B63" s="10"/>
      <c r="C63" s="10"/>
      <c r="D63" s="10"/>
      <c r="E63" s="22"/>
      <c r="F63" s="22"/>
      <c r="N63" s="22"/>
    </row>
    <row r="64" spans="1:41" ht="18.75" customHeight="1">
      <c r="B64" s="7"/>
      <c r="C64" s="10"/>
      <c r="D64" s="10"/>
      <c r="E64" s="22"/>
      <c r="F64" s="22"/>
      <c r="N64" s="22"/>
    </row>
    <row r="65" spans="2:14" ht="18.75" customHeight="1">
      <c r="B65" s="10"/>
      <c r="C65" s="10"/>
      <c r="D65" s="10"/>
      <c r="E65" s="22"/>
      <c r="F65" s="22"/>
      <c r="N65" s="22"/>
    </row>
    <row r="66" spans="2:14" ht="18.75" customHeight="1">
      <c r="B66" s="7"/>
      <c r="C66" s="10"/>
      <c r="D66" s="10"/>
      <c r="E66" s="22"/>
      <c r="F66" s="22"/>
      <c r="N66" s="22"/>
    </row>
    <row r="67" spans="2:14" ht="18.75" customHeight="1">
      <c r="B67" s="10"/>
      <c r="C67" s="10"/>
      <c r="D67" s="10"/>
      <c r="E67" s="22"/>
      <c r="F67" s="22"/>
      <c r="N67" s="22"/>
    </row>
    <row r="68" spans="2:14" ht="18.75" customHeight="1">
      <c r="B68" s="7"/>
      <c r="C68" s="10"/>
      <c r="D68" s="10"/>
      <c r="E68" s="22"/>
      <c r="F68" s="22"/>
      <c r="N68" s="22"/>
    </row>
    <row r="69" spans="2:14" ht="18.75" customHeight="1">
      <c r="B69" s="10"/>
      <c r="C69" s="10"/>
      <c r="D69" s="10"/>
      <c r="E69" s="22"/>
      <c r="F69" s="22"/>
      <c r="N69" s="22"/>
    </row>
    <row r="70" spans="2:14" ht="18.75" customHeight="1">
      <c r="B70" s="7"/>
      <c r="C70" s="10"/>
      <c r="D70" s="10"/>
      <c r="E70" s="22"/>
      <c r="F70" s="22"/>
      <c r="N70" s="22"/>
    </row>
    <row r="71" spans="2:14" ht="18.75" customHeight="1">
      <c r="B71" s="10"/>
      <c r="C71" s="10"/>
      <c r="D71" s="10"/>
      <c r="E71" s="22"/>
      <c r="F71" s="22"/>
      <c r="N71" s="22"/>
    </row>
    <row r="72" spans="2:14" ht="18.75" customHeight="1">
      <c r="B72" s="7"/>
      <c r="C72" s="10"/>
      <c r="D72" s="10"/>
      <c r="E72" s="22"/>
      <c r="F72" s="22"/>
      <c r="N72" s="22"/>
    </row>
    <row r="73" spans="2:14" ht="18.75" customHeight="1">
      <c r="B73" s="10"/>
      <c r="C73" s="10"/>
      <c r="D73" s="10"/>
      <c r="E73" s="22"/>
      <c r="F73" s="22"/>
      <c r="N73" s="22"/>
    </row>
    <row r="74" spans="2:14" ht="18.75" customHeight="1">
      <c r="B74" s="7"/>
      <c r="C74" s="10"/>
      <c r="D74" s="10"/>
      <c r="E74" s="22"/>
      <c r="F74" s="22"/>
      <c r="N74" s="22"/>
    </row>
    <row r="75" spans="2:14" ht="18.75" customHeight="1">
      <c r="B75" s="10"/>
      <c r="C75" s="10"/>
      <c r="D75" s="10"/>
      <c r="E75" s="22"/>
      <c r="F75" s="22"/>
      <c r="N75" s="22"/>
    </row>
    <row r="76" spans="2:14" ht="18.75" customHeight="1">
      <c r="B76" s="7"/>
      <c r="C76" s="10"/>
      <c r="D76" s="10"/>
      <c r="E76" s="22"/>
      <c r="F76" s="22"/>
      <c r="N76" s="22"/>
    </row>
    <row r="77" spans="2:14" ht="18.75" customHeight="1">
      <c r="B77" s="10"/>
      <c r="C77" s="10"/>
      <c r="D77" s="10"/>
      <c r="E77" s="22"/>
      <c r="F77" s="22"/>
      <c r="N77" s="22"/>
    </row>
    <row r="78" spans="2:14" ht="18.75" customHeight="1">
      <c r="B78" s="7"/>
      <c r="C78" s="10"/>
      <c r="D78" s="10"/>
      <c r="E78" s="22"/>
      <c r="F78" s="22"/>
      <c r="N78" s="22"/>
    </row>
    <row r="79" spans="2:14" ht="18.75" customHeight="1">
      <c r="B79" s="10"/>
      <c r="C79" s="10"/>
      <c r="D79" s="10"/>
      <c r="E79" s="22"/>
      <c r="F79" s="22"/>
      <c r="N79" s="22"/>
    </row>
    <row r="80" spans="2:14" ht="18.75" customHeight="1">
      <c r="B80" s="7"/>
      <c r="C80" s="10"/>
      <c r="D80" s="10"/>
      <c r="E80" s="22"/>
      <c r="F80" s="22"/>
      <c r="N80" s="22"/>
    </row>
    <row r="81" spans="2:14" ht="18.75" customHeight="1">
      <c r="B81" s="10"/>
      <c r="C81" s="10"/>
      <c r="D81" s="10"/>
      <c r="E81" s="22"/>
      <c r="F81" s="22"/>
      <c r="N81" s="22"/>
    </row>
    <row r="82" spans="2:14" ht="18.75" customHeight="1">
      <c r="B82" s="7"/>
      <c r="C82" s="10"/>
      <c r="D82" s="10"/>
      <c r="E82" s="22"/>
      <c r="F82" s="22"/>
      <c r="N82" s="22"/>
    </row>
    <row r="83" spans="2:14" ht="18.75" customHeight="1">
      <c r="B83" s="10"/>
      <c r="C83" s="10"/>
      <c r="D83" s="10"/>
      <c r="E83" s="22"/>
      <c r="F83" s="22"/>
      <c r="N83" s="22"/>
    </row>
    <row r="84" spans="2:14" ht="18.75" customHeight="1">
      <c r="B84" s="7"/>
      <c r="C84" s="10"/>
      <c r="D84" s="10"/>
      <c r="E84" s="22"/>
      <c r="F84" s="22"/>
      <c r="N84" s="22"/>
    </row>
    <row r="85" spans="2:14" ht="18.75" customHeight="1">
      <c r="B85" s="10"/>
      <c r="C85" s="10"/>
      <c r="D85" s="10"/>
      <c r="E85" s="22"/>
      <c r="F85" s="22"/>
      <c r="N85" s="22"/>
    </row>
    <row r="86" spans="2:14" ht="18.75" customHeight="1">
      <c r="B86" s="7"/>
      <c r="C86" s="10"/>
      <c r="D86" s="10"/>
      <c r="E86" s="22"/>
      <c r="F86" s="22"/>
      <c r="N86" s="22"/>
    </row>
    <row r="87" spans="2:14" ht="18.75" customHeight="1">
      <c r="B87" s="10"/>
      <c r="C87" s="10"/>
      <c r="D87" s="10"/>
      <c r="E87" s="22"/>
      <c r="F87" s="22"/>
      <c r="N87" s="22"/>
    </row>
    <row r="88" spans="2:14" ht="18.75" customHeight="1">
      <c r="B88" s="7"/>
      <c r="C88" s="10"/>
      <c r="D88" s="10"/>
      <c r="E88" s="22"/>
      <c r="F88" s="22"/>
      <c r="N88" s="22"/>
    </row>
    <row r="89" spans="2:14" ht="18.75" customHeight="1">
      <c r="B89" s="10"/>
      <c r="C89" s="10"/>
      <c r="D89" s="10"/>
      <c r="E89" s="22"/>
      <c r="F89" s="22"/>
      <c r="N89" s="22"/>
    </row>
    <row r="90" spans="2:14" ht="18.75" customHeight="1">
      <c r="B90" s="7"/>
      <c r="C90" s="10"/>
      <c r="D90" s="10"/>
      <c r="E90" s="22"/>
      <c r="F90" s="22"/>
      <c r="N90" s="22"/>
    </row>
    <row r="91" spans="2:14" ht="18.75" customHeight="1">
      <c r="B91" s="10"/>
      <c r="C91" s="10"/>
      <c r="D91" s="10"/>
      <c r="E91" s="22"/>
      <c r="F91" s="22"/>
      <c r="N91" s="22"/>
    </row>
    <row r="92" spans="2:14" ht="18.75" customHeight="1">
      <c r="B92" s="7"/>
      <c r="C92" s="10"/>
      <c r="D92" s="10"/>
      <c r="E92" s="22"/>
      <c r="F92" s="22"/>
      <c r="N92" s="22"/>
    </row>
    <row r="93" spans="2:14" ht="18.75" customHeight="1">
      <c r="B93" s="10"/>
      <c r="C93" s="10"/>
      <c r="D93" s="10"/>
      <c r="E93" s="22"/>
      <c r="F93" s="22"/>
      <c r="N93" s="22"/>
    </row>
    <row r="94" spans="2:14" ht="18.75" customHeight="1">
      <c r="B94" s="7"/>
      <c r="C94" s="10"/>
      <c r="D94" s="10"/>
      <c r="E94" s="22"/>
      <c r="F94" s="22"/>
      <c r="N94" s="22"/>
    </row>
    <row r="95" spans="2:14" ht="18.75" customHeight="1">
      <c r="B95" s="10"/>
      <c r="C95" s="10"/>
      <c r="D95" s="10"/>
      <c r="E95" s="22"/>
      <c r="F95" s="22"/>
      <c r="N95" s="22"/>
    </row>
    <row r="96" spans="2:14" ht="18.75" customHeight="1">
      <c r="B96" s="7"/>
      <c r="C96" s="10"/>
      <c r="D96" s="10"/>
      <c r="E96" s="22"/>
      <c r="F96" s="22"/>
      <c r="N96" s="22"/>
    </row>
    <row r="97" spans="2:14" ht="18.75" customHeight="1">
      <c r="B97" s="10"/>
      <c r="C97" s="10"/>
      <c r="D97" s="10"/>
      <c r="E97" s="22"/>
      <c r="F97" s="22"/>
      <c r="N97" s="22"/>
    </row>
    <row r="98" spans="2:14" ht="18.75" customHeight="1">
      <c r="B98" s="7"/>
      <c r="C98" s="10"/>
      <c r="D98" s="10"/>
      <c r="E98" s="22"/>
      <c r="F98" s="22"/>
      <c r="N98" s="22"/>
    </row>
    <row r="99" spans="2:14" ht="18.75" customHeight="1">
      <c r="B99" s="10"/>
      <c r="C99" s="10"/>
      <c r="D99" s="10"/>
      <c r="E99" s="22"/>
      <c r="F99" s="22"/>
      <c r="N99" s="22"/>
    </row>
    <row r="100" spans="2:14" ht="18.75" customHeight="1">
      <c r="B100" s="7"/>
      <c r="C100" s="10"/>
      <c r="D100" s="10"/>
      <c r="E100" s="22"/>
      <c r="F100" s="22"/>
      <c r="N100" s="22"/>
    </row>
    <row r="101" spans="2:14" ht="18.75" customHeight="1">
      <c r="B101" s="10"/>
      <c r="C101" s="10"/>
      <c r="D101" s="10"/>
      <c r="E101" s="22"/>
      <c r="F101" s="22"/>
      <c r="N101" s="22"/>
    </row>
    <row r="102" spans="2:14" ht="18.75" customHeight="1">
      <c r="B102" s="7"/>
      <c r="C102" s="10"/>
      <c r="D102" s="10"/>
      <c r="E102" s="22"/>
      <c r="F102" s="22"/>
      <c r="N102" s="22"/>
    </row>
    <row r="103" spans="2:14" ht="18.75" customHeight="1">
      <c r="B103" s="10"/>
      <c r="C103" s="10"/>
      <c r="D103" s="10"/>
      <c r="E103" s="22"/>
      <c r="F103" s="22"/>
      <c r="N103" s="22"/>
    </row>
    <row r="104" spans="2:14" ht="18.75" customHeight="1">
      <c r="B104" s="7"/>
      <c r="C104" s="10"/>
      <c r="D104" s="10"/>
      <c r="E104" s="22"/>
      <c r="F104" s="22"/>
      <c r="N104" s="22"/>
    </row>
    <row r="105" spans="2:14" ht="18.75" customHeight="1">
      <c r="B105" s="10"/>
      <c r="C105" s="10"/>
      <c r="D105" s="10"/>
      <c r="E105" s="22"/>
      <c r="F105" s="22"/>
      <c r="N105" s="22"/>
    </row>
    <row r="106" spans="2:14" ht="18.75" customHeight="1">
      <c r="B106" s="7"/>
      <c r="C106" s="10"/>
      <c r="D106" s="10"/>
      <c r="E106" s="22"/>
      <c r="F106" s="22"/>
      <c r="N106" s="22"/>
    </row>
    <row r="107" spans="2:14" ht="18.75" customHeight="1">
      <c r="B107" s="10"/>
      <c r="C107" s="10"/>
      <c r="D107" s="10"/>
      <c r="E107" s="22"/>
      <c r="F107" s="22"/>
      <c r="N107" s="22"/>
    </row>
    <row r="108" spans="2:14" ht="18.75" customHeight="1">
      <c r="B108" s="7"/>
      <c r="C108" s="10"/>
      <c r="D108" s="10"/>
      <c r="E108" s="22"/>
      <c r="F108" s="22"/>
      <c r="N108" s="22"/>
    </row>
    <row r="109" spans="2:14" ht="18.75" customHeight="1">
      <c r="B109" s="10"/>
      <c r="C109" s="10"/>
      <c r="D109" s="10"/>
      <c r="E109" s="22"/>
      <c r="F109" s="22"/>
      <c r="N109" s="22"/>
    </row>
    <row r="110" spans="2:14" ht="18.75" customHeight="1"/>
    <row r="111" spans="2:14" ht="18.75" customHeight="1"/>
    <row r="112" spans="2:14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O7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J1004"/>
  <sheetViews>
    <sheetView tabSelected="1" topLeftCell="A7" workbookViewId="0">
      <selection activeCell="F9" sqref="F9"/>
    </sheetView>
  </sheetViews>
  <sheetFormatPr defaultColWidth="12.625" defaultRowHeight="15" customHeight="1"/>
  <cols>
    <col min="1" max="1" width="7.625" customWidth="1"/>
    <col min="2" max="3" width="17" customWidth="1"/>
    <col min="4" max="4" width="44.75" customWidth="1"/>
    <col min="5" max="5" width="19" customWidth="1"/>
    <col min="6" max="6" width="15.375" customWidth="1"/>
    <col min="7" max="10" width="18.625" customWidth="1"/>
    <col min="11" max="11" width="18.375" customWidth="1"/>
    <col min="12" max="12" width="18.625" customWidth="1"/>
    <col min="13" max="14" width="18.375" customWidth="1"/>
    <col min="15" max="15" width="18.625" customWidth="1"/>
    <col min="16" max="17" width="18.375" customWidth="1"/>
    <col min="18" max="18" width="18.625" customWidth="1"/>
    <col min="19" max="36" width="12.625" customWidth="1"/>
  </cols>
  <sheetData>
    <row r="1" spans="1:36" ht="12" customHeight="1"/>
    <row r="2" spans="1:36" ht="40.5" customHeight="1">
      <c r="A2" s="1" t="s">
        <v>0</v>
      </c>
      <c r="B2" s="2" t="s">
        <v>483</v>
      </c>
      <c r="C2" s="14"/>
      <c r="K2" s="12"/>
    </row>
    <row r="3" spans="1:36" ht="18.75" customHeight="1">
      <c r="A3" s="3"/>
      <c r="B3" s="3" t="s">
        <v>2</v>
      </c>
      <c r="C3" s="3"/>
      <c r="D3" s="3"/>
      <c r="E3" s="3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</row>
    <row r="4" spans="1:36" ht="18.75" customHeight="1">
      <c r="A4" s="1" t="s">
        <v>3</v>
      </c>
      <c r="B4" s="5" t="s">
        <v>4</v>
      </c>
      <c r="C4" s="5" t="s">
        <v>484</v>
      </c>
      <c r="D4" s="5" t="s">
        <v>128</v>
      </c>
      <c r="E4" s="5" t="s">
        <v>394</v>
      </c>
      <c r="F4" s="5" t="s">
        <v>488</v>
      </c>
      <c r="G4" s="5" t="s">
        <v>378</v>
      </c>
      <c r="H4" s="5"/>
      <c r="I4" s="5"/>
      <c r="J4" s="5"/>
      <c r="K4" s="5"/>
      <c r="L4" s="5"/>
      <c r="M4" s="5" t="s">
        <v>490</v>
      </c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6" ht="18.75" customHeight="1">
      <c r="A5" s="1" t="s">
        <v>19</v>
      </c>
      <c r="B5" s="5"/>
      <c r="C5" s="5"/>
      <c r="D5" s="5"/>
      <c r="E5" s="5"/>
      <c r="F5" s="5"/>
      <c r="G5" s="5">
        <v>1</v>
      </c>
      <c r="H5" s="5"/>
      <c r="I5" s="5"/>
      <c r="J5" s="5">
        <v>2</v>
      </c>
      <c r="K5" s="5"/>
      <c r="L5" s="5"/>
      <c r="M5" s="5">
        <v>1</v>
      </c>
      <c r="N5" s="5"/>
      <c r="O5" s="5"/>
      <c r="P5" s="5">
        <v>2</v>
      </c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</row>
    <row r="6" spans="1:36" ht="18.75" customHeight="1">
      <c r="A6" s="1" t="s">
        <v>25</v>
      </c>
      <c r="B6" s="5"/>
      <c r="C6" s="5"/>
      <c r="D6" s="5"/>
      <c r="E6" s="5"/>
      <c r="F6" s="5"/>
      <c r="G6" s="5" t="s">
        <v>379</v>
      </c>
      <c r="H6" s="5" t="s">
        <v>380</v>
      </c>
      <c r="I6" s="5" t="s">
        <v>466</v>
      </c>
      <c r="J6" s="5" t="s">
        <v>379</v>
      </c>
      <c r="K6" s="5" t="s">
        <v>380</v>
      </c>
      <c r="L6" s="5" t="s">
        <v>466</v>
      </c>
      <c r="M6" s="5" t="s">
        <v>379</v>
      </c>
      <c r="N6" s="5" t="s">
        <v>380</v>
      </c>
      <c r="O6" s="5" t="s">
        <v>466</v>
      </c>
      <c r="P6" s="5" t="s">
        <v>379</v>
      </c>
      <c r="Q6" s="5" t="s">
        <v>380</v>
      </c>
      <c r="R6" s="5" t="s">
        <v>466</v>
      </c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</row>
    <row r="7" spans="1:36" ht="18.75" customHeight="1">
      <c r="A7" s="1" t="s">
        <v>32</v>
      </c>
      <c r="B7" s="6" t="s">
        <v>33</v>
      </c>
      <c r="C7" s="6" t="s">
        <v>141</v>
      </c>
      <c r="D7" s="6" t="s">
        <v>34</v>
      </c>
      <c r="E7" s="6" t="s">
        <v>34</v>
      </c>
      <c r="F7" s="6" t="s">
        <v>141</v>
      </c>
      <c r="G7" s="6" t="s">
        <v>33</v>
      </c>
      <c r="H7" s="6" t="s">
        <v>33</v>
      </c>
      <c r="I7" s="6" t="s">
        <v>250</v>
      </c>
      <c r="J7" s="6" t="s">
        <v>33</v>
      </c>
      <c r="K7" s="6" t="s">
        <v>33</v>
      </c>
      <c r="L7" s="6" t="s">
        <v>250</v>
      </c>
      <c r="M7" s="6" t="s">
        <v>33</v>
      </c>
      <c r="N7" s="6" t="s">
        <v>33</v>
      </c>
      <c r="O7" s="6" t="s">
        <v>250</v>
      </c>
      <c r="P7" s="6" t="s">
        <v>33</v>
      </c>
      <c r="Q7" s="6" t="s">
        <v>33</v>
      </c>
      <c r="R7" s="6" t="s">
        <v>250</v>
      </c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</row>
    <row r="8" spans="1:36" ht="76.5" customHeight="1">
      <c r="A8" s="1" t="s">
        <v>37</v>
      </c>
      <c r="B8" s="7" t="s">
        <v>38</v>
      </c>
      <c r="C8" s="7" t="s">
        <v>485</v>
      </c>
      <c r="D8" s="7" t="s">
        <v>487</v>
      </c>
      <c r="E8" s="7" t="s">
        <v>404</v>
      </c>
      <c r="F8" s="8" t="s">
        <v>489</v>
      </c>
      <c r="G8" s="8" t="s">
        <v>382</v>
      </c>
      <c r="H8" s="8" t="s">
        <v>383</v>
      </c>
      <c r="I8" s="8" t="s">
        <v>467</v>
      </c>
      <c r="J8" s="8" t="s">
        <v>382</v>
      </c>
      <c r="K8" s="8" t="s">
        <v>383</v>
      </c>
      <c r="L8" s="8" t="s">
        <v>467</v>
      </c>
      <c r="M8" s="8" t="s">
        <v>382</v>
      </c>
      <c r="N8" s="8" t="s">
        <v>383</v>
      </c>
      <c r="O8" s="8" t="s">
        <v>467</v>
      </c>
      <c r="P8" s="8" t="s">
        <v>382</v>
      </c>
      <c r="Q8" s="8" t="s">
        <v>383</v>
      </c>
      <c r="R8" s="8" t="s">
        <v>467</v>
      </c>
      <c r="S8" s="7"/>
      <c r="T8" s="7"/>
      <c r="U8" s="7"/>
      <c r="V8" s="7"/>
      <c r="W8" s="7"/>
      <c r="X8" s="7"/>
      <c r="Y8" s="7"/>
      <c r="Z8" s="8"/>
      <c r="AA8" s="8"/>
      <c r="AB8" s="7"/>
      <c r="AC8" s="7"/>
      <c r="AD8" s="7"/>
      <c r="AE8" s="7"/>
      <c r="AF8" s="7"/>
      <c r="AG8" s="7"/>
      <c r="AH8" s="7"/>
      <c r="AI8" s="7"/>
      <c r="AJ8" s="7"/>
    </row>
    <row r="9" spans="1:36" ht="191.25" customHeight="1">
      <c r="A9" s="1" t="s">
        <v>64</v>
      </c>
      <c r="B9" s="29"/>
      <c r="C9" s="30" t="s">
        <v>486</v>
      </c>
      <c r="D9" s="30"/>
      <c r="E9" s="30"/>
      <c r="F9" s="31"/>
      <c r="G9" s="30" t="s">
        <v>491</v>
      </c>
      <c r="H9" s="30"/>
      <c r="I9" s="30"/>
      <c r="J9" s="30" t="s">
        <v>491</v>
      </c>
      <c r="K9" s="30"/>
      <c r="L9" s="30"/>
      <c r="M9" s="30" t="s">
        <v>491</v>
      </c>
      <c r="N9" s="29"/>
      <c r="O9" s="30"/>
      <c r="P9" s="30" t="s">
        <v>491</v>
      </c>
      <c r="Q9" s="30"/>
      <c r="R9" s="30"/>
      <c r="S9" s="30"/>
      <c r="T9" s="30"/>
      <c r="U9" s="30"/>
      <c r="V9" s="30"/>
      <c r="W9" s="30"/>
      <c r="X9" s="29"/>
      <c r="Y9" s="29"/>
      <c r="Z9" s="30"/>
      <c r="AA9" s="30"/>
      <c r="AB9" s="30"/>
      <c r="AC9" s="8"/>
      <c r="AD9" s="8"/>
      <c r="AE9" s="8"/>
      <c r="AF9" s="8"/>
      <c r="AG9" s="8"/>
      <c r="AH9" s="8"/>
      <c r="AI9" s="8"/>
      <c r="AJ9" s="8"/>
    </row>
    <row r="10" spans="1:36" ht="18.75" customHeight="1">
      <c r="A10" s="9" t="s">
        <v>70</v>
      </c>
      <c r="B10" s="23">
        <v>100010001</v>
      </c>
      <c r="C10" s="23">
        <v>1</v>
      </c>
      <c r="D10" s="23" t="s">
        <v>492</v>
      </c>
      <c r="E10" s="23"/>
      <c r="F10" s="7">
        <v>4001001</v>
      </c>
      <c r="G10" s="23"/>
      <c r="H10" s="33"/>
      <c r="I10" s="34"/>
      <c r="J10" s="23"/>
      <c r="K10" s="23"/>
      <c r="L10" s="33"/>
      <c r="M10" s="23">
        <v>1</v>
      </c>
      <c r="N10" s="23">
        <v>100010001</v>
      </c>
      <c r="O10" s="33"/>
      <c r="P10" s="23"/>
      <c r="Q10" s="23"/>
      <c r="R10" s="3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6"/>
      <c r="AD10" s="10"/>
      <c r="AE10" s="10"/>
      <c r="AF10" s="10"/>
      <c r="AG10" s="10"/>
      <c r="AH10" s="10"/>
      <c r="AI10" s="10"/>
      <c r="AJ10" s="10"/>
    </row>
    <row r="11" spans="1:36" ht="18.75" customHeight="1">
      <c r="A11" s="11"/>
      <c r="B11" s="23">
        <v>100010002</v>
      </c>
      <c r="C11" s="23">
        <v>1</v>
      </c>
      <c r="D11" s="23" t="s">
        <v>493</v>
      </c>
      <c r="E11" s="23"/>
      <c r="F11" s="23">
        <v>4001002</v>
      </c>
      <c r="G11" s="23">
        <v>5</v>
      </c>
      <c r="H11" s="23">
        <v>100010001</v>
      </c>
      <c r="I11" s="35"/>
      <c r="J11" s="23"/>
      <c r="K11" s="23"/>
      <c r="L11" s="23"/>
      <c r="M11" s="23">
        <v>1</v>
      </c>
      <c r="N11" s="23">
        <v>100010002</v>
      </c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6"/>
      <c r="AD11" s="10"/>
      <c r="AE11" s="10"/>
      <c r="AF11" s="10"/>
      <c r="AG11" s="10"/>
      <c r="AH11" s="10"/>
      <c r="AI11" s="10"/>
      <c r="AJ11" s="10"/>
    </row>
    <row r="12" spans="1:36" ht="18.75" customHeight="1">
      <c r="A12" s="11"/>
      <c r="B12" s="23">
        <v>100010003</v>
      </c>
      <c r="C12" s="23">
        <v>1</v>
      </c>
      <c r="D12" s="23" t="s">
        <v>498</v>
      </c>
      <c r="E12" s="23"/>
      <c r="F12" s="23">
        <v>4001003</v>
      </c>
      <c r="G12" s="23">
        <v>5</v>
      </c>
      <c r="H12" s="23">
        <v>100010002</v>
      </c>
      <c r="I12" s="35"/>
      <c r="J12" s="23"/>
      <c r="K12" s="23"/>
      <c r="L12" s="23"/>
      <c r="M12" s="23">
        <v>1</v>
      </c>
      <c r="N12" s="23">
        <v>100060014</v>
      </c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6"/>
      <c r="AD12" s="10"/>
      <c r="AE12" s="10"/>
      <c r="AF12" s="10"/>
      <c r="AG12" s="10"/>
      <c r="AH12" s="10"/>
      <c r="AI12" s="10"/>
      <c r="AJ12" s="10"/>
    </row>
    <row r="13" spans="1:36" ht="18.75" customHeight="1">
      <c r="A13" s="11"/>
      <c r="B13" s="23">
        <v>200010001</v>
      </c>
      <c r="C13" s="23">
        <v>2</v>
      </c>
      <c r="D13" s="23" t="s">
        <v>499</v>
      </c>
      <c r="E13" s="23"/>
      <c r="F13" s="10">
        <v>5001001</v>
      </c>
      <c r="G13" s="23"/>
      <c r="H13" s="23"/>
      <c r="I13" s="35"/>
      <c r="J13" s="23"/>
      <c r="K13" s="23"/>
      <c r="L13" s="23"/>
      <c r="M13" s="23">
        <v>12</v>
      </c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6"/>
      <c r="AD13" s="10"/>
      <c r="AE13" s="10"/>
      <c r="AF13" s="10"/>
      <c r="AG13" s="10"/>
      <c r="AH13" s="10"/>
      <c r="AI13" s="10"/>
      <c r="AJ13" s="10"/>
    </row>
    <row r="14" spans="1:36" ht="18.75" customHeight="1">
      <c r="A14" s="11"/>
      <c r="B14" s="23">
        <v>200010002</v>
      </c>
      <c r="C14" s="23">
        <v>2</v>
      </c>
      <c r="D14" s="23" t="s">
        <v>500</v>
      </c>
      <c r="E14" s="23"/>
      <c r="F14" s="10">
        <v>5001002</v>
      </c>
      <c r="G14" s="23"/>
      <c r="H14" s="23"/>
      <c r="I14" s="35"/>
      <c r="J14" s="23"/>
      <c r="K14" s="23"/>
      <c r="L14" s="23"/>
      <c r="M14" s="23">
        <v>13</v>
      </c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6"/>
      <c r="AD14" s="10"/>
      <c r="AE14" s="10"/>
      <c r="AF14" s="10"/>
      <c r="AG14" s="10"/>
      <c r="AH14" s="10"/>
      <c r="AI14" s="10"/>
      <c r="AJ14" s="10"/>
    </row>
    <row r="15" spans="1:36" ht="18.75" customHeight="1">
      <c r="A15" s="11"/>
      <c r="B15" s="23">
        <v>200010003</v>
      </c>
      <c r="C15" s="23">
        <v>2</v>
      </c>
      <c r="D15" s="23" t="s">
        <v>501</v>
      </c>
      <c r="E15" s="23"/>
      <c r="F15" s="10">
        <v>5001003</v>
      </c>
      <c r="G15" s="23"/>
      <c r="H15" s="23"/>
      <c r="I15" s="35"/>
      <c r="J15" s="23"/>
      <c r="K15" s="23"/>
      <c r="L15" s="23"/>
      <c r="M15" s="23">
        <v>9</v>
      </c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6"/>
      <c r="AD15" s="10"/>
      <c r="AE15" s="10"/>
      <c r="AF15" s="10"/>
      <c r="AG15" s="10"/>
      <c r="AH15" s="10"/>
      <c r="AI15" s="10"/>
      <c r="AJ15" s="10"/>
    </row>
    <row r="16" spans="1:36" ht="18.75" customHeight="1">
      <c r="A16" s="11"/>
      <c r="B16" s="23">
        <v>500010001</v>
      </c>
      <c r="C16" s="23">
        <v>5</v>
      </c>
      <c r="D16" s="23" t="s">
        <v>505</v>
      </c>
      <c r="E16" s="23"/>
      <c r="F16" s="23">
        <v>6001001</v>
      </c>
      <c r="G16" s="23"/>
      <c r="H16" s="23"/>
      <c r="I16" s="35"/>
      <c r="J16" s="23"/>
      <c r="K16" s="23"/>
      <c r="L16" s="23"/>
      <c r="M16" s="23">
        <v>1</v>
      </c>
      <c r="N16" s="23">
        <v>200010001</v>
      </c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6"/>
      <c r="AD16" s="10"/>
      <c r="AE16" s="10"/>
      <c r="AF16" s="10"/>
      <c r="AG16" s="10"/>
      <c r="AH16" s="10"/>
      <c r="AI16" s="10"/>
      <c r="AJ16" s="10"/>
    </row>
    <row r="17" spans="1:36" ht="18.75" customHeight="1">
      <c r="A17" s="11"/>
      <c r="B17" s="23">
        <v>500010002</v>
      </c>
      <c r="C17" s="23">
        <v>5</v>
      </c>
      <c r="D17" s="23" t="s">
        <v>506</v>
      </c>
      <c r="E17" s="23"/>
      <c r="F17" s="23">
        <v>6001002</v>
      </c>
      <c r="G17" s="23"/>
      <c r="H17" s="23"/>
      <c r="I17" s="35"/>
      <c r="J17" s="23"/>
      <c r="K17" s="23"/>
      <c r="L17" s="23"/>
      <c r="M17" s="23">
        <v>1</v>
      </c>
      <c r="N17" s="23">
        <v>200010002</v>
      </c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6"/>
      <c r="AD17" s="10"/>
      <c r="AE17" s="10"/>
      <c r="AF17" s="10"/>
      <c r="AG17" s="10"/>
      <c r="AH17" s="10"/>
      <c r="AI17" s="10"/>
      <c r="AJ17" s="10"/>
    </row>
    <row r="18" spans="1:36" ht="18.75" customHeight="1">
      <c r="A18" s="11"/>
      <c r="B18" s="23">
        <v>500010003</v>
      </c>
      <c r="C18" s="23">
        <v>5</v>
      </c>
      <c r="D18" s="23" t="s">
        <v>507</v>
      </c>
      <c r="E18" s="23"/>
      <c r="F18" s="23">
        <v>6001003</v>
      </c>
      <c r="G18" s="23"/>
      <c r="H18" s="23"/>
      <c r="I18" s="35"/>
      <c r="J18" s="23"/>
      <c r="K18" s="23"/>
      <c r="L18" s="23"/>
      <c r="M18" s="23">
        <v>1</v>
      </c>
      <c r="N18" s="23">
        <v>200010003</v>
      </c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6"/>
      <c r="AD18" s="10"/>
      <c r="AE18" s="10"/>
      <c r="AF18" s="10"/>
      <c r="AG18" s="10"/>
      <c r="AH18" s="10"/>
      <c r="AI18" s="10"/>
      <c r="AJ18" s="10"/>
    </row>
    <row r="19" spans="1:36" ht="18.75" customHeight="1">
      <c r="A19" s="11"/>
      <c r="B19" s="23">
        <v>500010004</v>
      </c>
      <c r="C19" s="23">
        <v>5</v>
      </c>
      <c r="D19" s="23" t="s">
        <v>508</v>
      </c>
      <c r="E19" s="23"/>
      <c r="F19" s="23">
        <v>6001004</v>
      </c>
      <c r="G19" s="23"/>
      <c r="H19" s="23"/>
      <c r="I19" s="35"/>
      <c r="J19" s="23"/>
      <c r="K19" s="23"/>
      <c r="L19" s="23"/>
      <c r="M19" s="23">
        <v>1</v>
      </c>
      <c r="N19" s="23">
        <v>200010004</v>
      </c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6"/>
      <c r="AD19" s="10"/>
      <c r="AE19" s="10"/>
      <c r="AF19" s="10"/>
      <c r="AG19" s="10"/>
      <c r="AH19" s="10"/>
      <c r="AI19" s="10"/>
      <c r="AJ19" s="10"/>
    </row>
    <row r="20" spans="1:36" ht="18.75" customHeight="1">
      <c r="A20" s="11"/>
      <c r="B20" s="23">
        <v>500010005</v>
      </c>
      <c r="C20" s="23">
        <v>5</v>
      </c>
      <c r="D20" s="23" t="s">
        <v>494</v>
      </c>
      <c r="E20" s="23"/>
      <c r="F20" s="23">
        <v>6001005</v>
      </c>
      <c r="G20" s="23"/>
      <c r="H20" s="23"/>
      <c r="I20" s="35"/>
      <c r="J20" s="23"/>
      <c r="K20" s="23"/>
      <c r="L20" s="23"/>
      <c r="M20" s="23">
        <v>1</v>
      </c>
      <c r="N20" s="23">
        <v>200010005</v>
      </c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6"/>
      <c r="AD20" s="10"/>
      <c r="AE20" s="10"/>
      <c r="AF20" s="10"/>
      <c r="AG20" s="10"/>
      <c r="AH20" s="10"/>
      <c r="AI20" s="10"/>
      <c r="AJ20" s="10"/>
    </row>
    <row r="21" spans="1:36" ht="18.75" customHeight="1">
      <c r="A21" s="11"/>
      <c r="B21" s="23"/>
      <c r="C21" s="23"/>
      <c r="D21" s="23"/>
      <c r="E21" s="23"/>
      <c r="F21" s="23"/>
      <c r="G21" s="23"/>
      <c r="H21" s="23"/>
      <c r="I21" s="35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6"/>
      <c r="AD21" s="10"/>
      <c r="AE21" s="10"/>
      <c r="AF21" s="10"/>
      <c r="AG21" s="10"/>
      <c r="AH21" s="10"/>
      <c r="AI21" s="10"/>
      <c r="AJ21" s="10"/>
    </row>
    <row r="22" spans="1:36" ht="18.75" customHeight="1">
      <c r="A22" s="11"/>
      <c r="B22" s="23"/>
      <c r="C22" s="23"/>
      <c r="D22" s="23"/>
      <c r="E22" s="23"/>
      <c r="F22" s="23"/>
      <c r="G22" s="23"/>
      <c r="H22" s="23"/>
      <c r="I22" s="35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6"/>
      <c r="AD22" s="10"/>
      <c r="AE22" s="10"/>
      <c r="AF22" s="10"/>
      <c r="AG22" s="10"/>
      <c r="AH22" s="10"/>
      <c r="AI22" s="10"/>
      <c r="AJ22" s="10"/>
    </row>
    <row r="23" spans="1:36" ht="18.75" customHeight="1">
      <c r="A23" s="11"/>
      <c r="B23" s="23"/>
      <c r="C23" s="23"/>
      <c r="D23" s="23"/>
      <c r="E23" s="23"/>
      <c r="F23" s="23"/>
      <c r="G23" s="23"/>
      <c r="H23" s="23"/>
      <c r="I23" s="35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6"/>
      <c r="AD23" s="10"/>
      <c r="AE23" s="10"/>
      <c r="AF23" s="10"/>
      <c r="AG23" s="10"/>
      <c r="AH23" s="10"/>
      <c r="AI23" s="10"/>
      <c r="AJ23" s="10"/>
    </row>
    <row r="24" spans="1:36" ht="18.75" customHeight="1">
      <c r="A24" s="11"/>
      <c r="B24" s="23"/>
      <c r="C24" s="23"/>
      <c r="D24" s="23"/>
      <c r="E24" s="23"/>
      <c r="F24" s="23"/>
      <c r="G24" s="23"/>
      <c r="H24" s="23"/>
      <c r="I24" s="35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6"/>
      <c r="AD24" s="10"/>
      <c r="AE24" s="10"/>
      <c r="AF24" s="10"/>
      <c r="AG24" s="10"/>
      <c r="AH24" s="10"/>
      <c r="AI24" s="10"/>
      <c r="AJ24" s="10"/>
    </row>
    <row r="25" spans="1:36" ht="18.75" customHeight="1">
      <c r="A25" s="11"/>
      <c r="B25" s="23"/>
      <c r="C25" s="23"/>
      <c r="D25" s="23"/>
      <c r="E25" s="23"/>
      <c r="F25" s="23"/>
      <c r="G25" s="23"/>
      <c r="H25" s="23"/>
      <c r="I25" s="35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6"/>
      <c r="AD25" s="10"/>
      <c r="AE25" s="10"/>
      <c r="AF25" s="10"/>
      <c r="AG25" s="10"/>
      <c r="AH25" s="10"/>
      <c r="AI25" s="10"/>
      <c r="AJ25" s="10"/>
    </row>
    <row r="26" spans="1:36" ht="18.75" customHeight="1">
      <c r="A26" s="11"/>
      <c r="B26" s="23"/>
      <c r="C26" s="23"/>
      <c r="D26" s="23"/>
      <c r="E26" s="23"/>
      <c r="F26" s="23"/>
      <c r="G26" s="23"/>
      <c r="H26" s="23"/>
      <c r="I26" s="35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6"/>
      <c r="AD26" s="10"/>
      <c r="AE26" s="10"/>
      <c r="AF26" s="10"/>
      <c r="AG26" s="10"/>
      <c r="AH26" s="10"/>
      <c r="AI26" s="10"/>
      <c r="AJ26" s="10"/>
    </row>
    <row r="27" spans="1:36" ht="18.75" customHeight="1">
      <c r="A27" s="11"/>
      <c r="B27" s="23"/>
      <c r="C27" s="23"/>
      <c r="D27" s="23"/>
      <c r="E27" s="23"/>
      <c r="F27" s="23"/>
      <c r="G27" s="23"/>
      <c r="H27" s="23"/>
      <c r="I27" s="35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6"/>
      <c r="AD27" s="10"/>
      <c r="AE27" s="10"/>
      <c r="AF27" s="10"/>
      <c r="AG27" s="10"/>
      <c r="AH27" s="10"/>
      <c r="AI27" s="10"/>
      <c r="AJ27" s="10"/>
    </row>
    <row r="28" spans="1:36" ht="18.75" customHeight="1">
      <c r="A28" s="11"/>
      <c r="B28" s="23"/>
      <c r="C28" s="23"/>
      <c r="D28" s="23"/>
      <c r="E28" s="23"/>
      <c r="F28" s="23"/>
      <c r="G28" s="23"/>
      <c r="H28" s="23"/>
      <c r="I28" s="35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6"/>
      <c r="AD28" s="10"/>
      <c r="AE28" s="10"/>
      <c r="AF28" s="10"/>
      <c r="AG28" s="10"/>
      <c r="AH28" s="10"/>
      <c r="AI28" s="10"/>
      <c r="AJ28" s="10"/>
    </row>
    <row r="29" spans="1:36" ht="18.75" customHeight="1">
      <c r="A29" s="11"/>
      <c r="B29" s="23"/>
      <c r="C29" s="23"/>
      <c r="D29" s="23"/>
      <c r="E29" s="23"/>
      <c r="F29" s="23"/>
      <c r="G29" s="23"/>
      <c r="H29" s="23"/>
      <c r="I29" s="35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6"/>
      <c r="AD29" s="10"/>
      <c r="AE29" s="10"/>
      <c r="AF29" s="10"/>
      <c r="AG29" s="10"/>
      <c r="AH29" s="10"/>
      <c r="AI29" s="10"/>
      <c r="AJ29" s="10"/>
    </row>
    <row r="30" spans="1:36" ht="18.75" customHeight="1">
      <c r="A30" s="11"/>
      <c r="B30" s="23"/>
      <c r="C30" s="23"/>
      <c r="D30" s="23"/>
      <c r="E30" s="23"/>
      <c r="F30" s="23"/>
      <c r="G30" s="23"/>
      <c r="H30" s="23"/>
      <c r="I30" s="35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6"/>
      <c r="AD30" s="10"/>
      <c r="AE30" s="10"/>
      <c r="AF30" s="10"/>
      <c r="AG30" s="10"/>
      <c r="AH30" s="10"/>
      <c r="AI30" s="10"/>
      <c r="AJ30" s="10"/>
    </row>
    <row r="31" spans="1:36" ht="18.75" customHeight="1">
      <c r="A31" s="11"/>
      <c r="B31" s="23"/>
      <c r="C31" s="23"/>
      <c r="D31" s="23"/>
      <c r="E31" s="23"/>
      <c r="F31" s="23"/>
      <c r="G31" s="23"/>
      <c r="H31" s="23"/>
      <c r="I31" s="35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6"/>
      <c r="AD31" s="10"/>
      <c r="AE31" s="10"/>
      <c r="AF31" s="10"/>
      <c r="AG31" s="10"/>
      <c r="AH31" s="10"/>
      <c r="AI31" s="10"/>
      <c r="AJ31" s="10"/>
    </row>
    <row r="32" spans="1:36" ht="18.75" customHeight="1">
      <c r="A32" s="11"/>
      <c r="B32" s="23"/>
      <c r="C32" s="23"/>
      <c r="D32" s="23"/>
      <c r="E32" s="23"/>
      <c r="F32" s="23"/>
      <c r="G32" s="23"/>
      <c r="H32" s="33"/>
      <c r="I32" s="34"/>
      <c r="J32" s="23"/>
      <c r="K32" s="23"/>
      <c r="L32" s="33"/>
      <c r="M32" s="23"/>
      <c r="N32" s="33"/>
      <c r="O32" s="33"/>
      <c r="P32" s="23"/>
      <c r="Q32" s="23"/>
      <c r="R32" s="3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6"/>
      <c r="AD32" s="10"/>
      <c r="AE32" s="10"/>
      <c r="AF32" s="10"/>
      <c r="AG32" s="10"/>
      <c r="AH32" s="10"/>
      <c r="AI32" s="10"/>
      <c r="AJ32" s="10"/>
    </row>
    <row r="33" spans="1:36" ht="18.75" customHeight="1">
      <c r="A33" s="11"/>
      <c r="B33" s="23"/>
      <c r="C33" s="23"/>
      <c r="D33" s="23"/>
      <c r="E33" s="23"/>
      <c r="F33" s="23"/>
      <c r="G33" s="23"/>
      <c r="H33" s="23"/>
      <c r="I33" s="35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6"/>
      <c r="AD33" s="10"/>
      <c r="AE33" s="10"/>
      <c r="AF33" s="10"/>
      <c r="AG33" s="10"/>
      <c r="AH33" s="10"/>
      <c r="AI33" s="10"/>
      <c r="AJ33" s="10"/>
    </row>
    <row r="34" spans="1:36" ht="18.75" customHeight="1">
      <c r="A34" s="11"/>
      <c r="B34" s="23"/>
      <c r="C34" s="23"/>
      <c r="D34" s="23"/>
      <c r="E34" s="23"/>
      <c r="F34" s="23"/>
      <c r="G34" s="23"/>
      <c r="H34" s="23"/>
      <c r="I34" s="35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6"/>
      <c r="AD34" s="10"/>
      <c r="AE34" s="10"/>
      <c r="AF34" s="10"/>
      <c r="AG34" s="10"/>
      <c r="AH34" s="10"/>
      <c r="AI34" s="10"/>
      <c r="AJ34" s="10"/>
    </row>
    <row r="35" spans="1:36" ht="18.75" customHeight="1">
      <c r="A35" s="11"/>
      <c r="B35" s="23"/>
      <c r="C35" s="23"/>
      <c r="D35" s="23"/>
      <c r="E35" s="23"/>
      <c r="F35" s="23"/>
      <c r="G35" s="23"/>
      <c r="H35" s="33"/>
      <c r="I35" s="34"/>
      <c r="J35" s="23"/>
      <c r="K35" s="23"/>
      <c r="L35" s="33"/>
      <c r="M35" s="23"/>
      <c r="N35" s="33"/>
      <c r="O35" s="33"/>
      <c r="P35" s="23"/>
      <c r="Q35" s="23"/>
      <c r="R35" s="3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6"/>
      <c r="AD35" s="10"/>
      <c r="AE35" s="10"/>
      <c r="AF35" s="10"/>
      <c r="AG35" s="10"/>
      <c r="AH35" s="10"/>
      <c r="AI35" s="10"/>
      <c r="AJ35" s="10"/>
    </row>
    <row r="36" spans="1:36" ht="18.75" customHeight="1">
      <c r="A36" s="11"/>
      <c r="B36" s="23"/>
      <c r="C36" s="23"/>
      <c r="D36" s="23"/>
      <c r="E36" s="23"/>
      <c r="F36" s="23"/>
      <c r="G36" s="23"/>
      <c r="H36" s="23"/>
      <c r="I36" s="35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6"/>
      <c r="AD36" s="10"/>
      <c r="AE36" s="10"/>
      <c r="AF36" s="10"/>
      <c r="AG36" s="10"/>
      <c r="AH36" s="10"/>
      <c r="AI36" s="10"/>
      <c r="AJ36" s="10"/>
    </row>
    <row r="37" spans="1:36" ht="18.75" customHeight="1">
      <c r="A37" s="11"/>
      <c r="B37" s="23"/>
      <c r="C37" s="23"/>
      <c r="D37" s="23"/>
      <c r="E37" s="23"/>
      <c r="F37" s="23"/>
      <c r="G37" s="23"/>
      <c r="H37" s="23"/>
      <c r="I37" s="35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6"/>
      <c r="AD37" s="10"/>
      <c r="AE37" s="10"/>
      <c r="AF37" s="10"/>
      <c r="AG37" s="10"/>
      <c r="AH37" s="10"/>
      <c r="AI37" s="10"/>
      <c r="AJ37" s="10"/>
    </row>
    <row r="38" spans="1:36" ht="18.75" customHeight="1">
      <c r="A38" s="11"/>
      <c r="B38" s="23"/>
      <c r="C38" s="23"/>
      <c r="D38" s="23"/>
      <c r="E38" s="23"/>
      <c r="F38" s="23"/>
      <c r="G38" s="23"/>
      <c r="H38" s="33"/>
      <c r="I38" s="34"/>
      <c r="J38" s="23"/>
      <c r="K38" s="23"/>
      <c r="L38" s="33"/>
      <c r="M38" s="23"/>
      <c r="N38" s="33"/>
      <c r="O38" s="33"/>
      <c r="P38" s="23"/>
      <c r="Q38" s="23"/>
      <c r="R38" s="3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6"/>
      <c r="AD38" s="10"/>
      <c r="AE38" s="10"/>
      <c r="AF38" s="10"/>
      <c r="AG38" s="10"/>
      <c r="AH38" s="10"/>
      <c r="AI38" s="10"/>
      <c r="AJ38" s="10"/>
    </row>
    <row r="39" spans="1:36" ht="18.75" customHeight="1">
      <c r="A39" s="11"/>
      <c r="B39" s="23"/>
      <c r="C39" s="23"/>
      <c r="D39" s="23"/>
      <c r="E39" s="23"/>
      <c r="F39" s="23"/>
      <c r="G39" s="23"/>
      <c r="H39" s="23"/>
      <c r="I39" s="35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6"/>
      <c r="AD39" s="10"/>
      <c r="AE39" s="10"/>
      <c r="AF39" s="10"/>
      <c r="AG39" s="10"/>
      <c r="AH39" s="10"/>
      <c r="AI39" s="10"/>
      <c r="AJ39" s="10"/>
    </row>
    <row r="40" spans="1:36" ht="18.75" customHeight="1">
      <c r="A40" s="11"/>
      <c r="B40" s="23"/>
      <c r="C40" s="23"/>
      <c r="D40" s="23"/>
      <c r="E40" s="23"/>
      <c r="F40" s="23"/>
      <c r="G40" s="23"/>
      <c r="H40" s="23"/>
      <c r="I40" s="35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6"/>
      <c r="AD40" s="10"/>
      <c r="AE40" s="10"/>
      <c r="AF40" s="10"/>
      <c r="AG40" s="10"/>
      <c r="AH40" s="10"/>
      <c r="AI40" s="10"/>
      <c r="AJ40" s="10"/>
    </row>
    <row r="41" spans="1:36" ht="18.75" customHeight="1">
      <c r="A41" s="11"/>
      <c r="B41" s="23"/>
      <c r="C41" s="23"/>
      <c r="D41" s="23"/>
      <c r="E41" s="23"/>
      <c r="F41" s="23"/>
      <c r="G41" s="23"/>
      <c r="H41" s="33"/>
      <c r="I41" s="34"/>
      <c r="J41" s="23"/>
      <c r="K41" s="23"/>
      <c r="L41" s="33"/>
      <c r="M41" s="23"/>
      <c r="N41" s="33"/>
      <c r="O41" s="33"/>
      <c r="P41" s="23"/>
      <c r="Q41" s="23"/>
      <c r="R41" s="3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6"/>
      <c r="AD41" s="10"/>
      <c r="AE41" s="10"/>
      <c r="AF41" s="10"/>
      <c r="AG41" s="10"/>
      <c r="AH41" s="10"/>
      <c r="AI41" s="10"/>
      <c r="AJ41" s="10"/>
    </row>
    <row r="42" spans="1:36" ht="18.75" customHeight="1">
      <c r="A42" s="11"/>
      <c r="B42" s="23"/>
      <c r="C42" s="23"/>
      <c r="D42" s="23"/>
      <c r="E42" s="23"/>
      <c r="F42" s="23"/>
      <c r="G42" s="23"/>
      <c r="H42" s="23"/>
      <c r="I42" s="35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6"/>
      <c r="AD42" s="10"/>
      <c r="AE42" s="10"/>
      <c r="AF42" s="10"/>
      <c r="AG42" s="10"/>
      <c r="AH42" s="10"/>
      <c r="AI42" s="10"/>
      <c r="AJ42" s="10"/>
    </row>
    <row r="43" spans="1:36" ht="18.75" customHeight="1">
      <c r="A43" s="11"/>
      <c r="B43" s="23"/>
      <c r="C43" s="23"/>
      <c r="D43" s="23"/>
      <c r="E43" s="23"/>
      <c r="F43" s="23"/>
      <c r="G43" s="23"/>
      <c r="H43" s="23"/>
      <c r="I43" s="35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6"/>
      <c r="AD43" s="10"/>
      <c r="AE43" s="10"/>
      <c r="AF43" s="10"/>
      <c r="AG43" s="10"/>
      <c r="AH43" s="10"/>
      <c r="AI43" s="10"/>
      <c r="AJ43" s="10"/>
    </row>
    <row r="44" spans="1:36" ht="18.75" customHeight="1">
      <c r="A44" s="11"/>
      <c r="B44" s="23"/>
      <c r="C44" s="23"/>
      <c r="D44" s="23"/>
      <c r="E44" s="23"/>
      <c r="F44" s="23"/>
      <c r="G44" s="23"/>
      <c r="H44" s="33"/>
      <c r="I44" s="34"/>
      <c r="J44" s="23"/>
      <c r="K44" s="23"/>
      <c r="L44" s="33"/>
      <c r="M44" s="23"/>
      <c r="N44" s="33"/>
      <c r="O44" s="33"/>
      <c r="P44" s="23"/>
      <c r="Q44" s="23"/>
      <c r="R44" s="3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6"/>
      <c r="AD44" s="10"/>
      <c r="AE44" s="10"/>
      <c r="AF44" s="10"/>
      <c r="AG44" s="10"/>
      <c r="AH44" s="10"/>
      <c r="AI44" s="10"/>
      <c r="AJ44" s="10"/>
    </row>
    <row r="45" spans="1:36" ht="18.75" customHeight="1">
      <c r="A45" s="11"/>
      <c r="B45" s="23"/>
      <c r="C45" s="23"/>
      <c r="D45" s="23"/>
      <c r="E45" s="23"/>
      <c r="F45" s="23"/>
      <c r="G45" s="23"/>
      <c r="H45" s="23"/>
      <c r="I45" s="35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6"/>
      <c r="AD45" s="10"/>
      <c r="AE45" s="10"/>
      <c r="AF45" s="10"/>
      <c r="AG45" s="10"/>
      <c r="AH45" s="10"/>
      <c r="AI45" s="10"/>
      <c r="AJ45" s="10"/>
    </row>
    <row r="46" spans="1:36" ht="18.75" customHeight="1">
      <c r="A46" s="11"/>
      <c r="B46" s="23"/>
      <c r="C46" s="23"/>
      <c r="D46" s="23"/>
      <c r="E46" s="23"/>
      <c r="F46" s="23"/>
      <c r="G46" s="23"/>
      <c r="H46" s="23"/>
      <c r="I46" s="35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6"/>
      <c r="AD46" s="10"/>
      <c r="AE46" s="10"/>
      <c r="AF46" s="10"/>
      <c r="AG46" s="10"/>
      <c r="AH46" s="10"/>
      <c r="AI46" s="10"/>
      <c r="AJ46" s="10"/>
    </row>
    <row r="47" spans="1:36" ht="18.75" customHeight="1">
      <c r="A47" s="11"/>
      <c r="B47" s="23"/>
      <c r="C47" s="23"/>
      <c r="D47" s="23"/>
      <c r="E47" s="23"/>
      <c r="F47" s="23"/>
      <c r="G47" s="23"/>
      <c r="H47" s="23"/>
      <c r="I47" s="35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6"/>
      <c r="AD47" s="10"/>
      <c r="AE47" s="10"/>
      <c r="AF47" s="10"/>
      <c r="AG47" s="10"/>
      <c r="AH47" s="10"/>
      <c r="AI47" s="10"/>
      <c r="AJ47" s="10"/>
    </row>
    <row r="48" spans="1:36" ht="18.75" customHeight="1">
      <c r="A48" s="11"/>
      <c r="B48" s="23"/>
      <c r="C48" s="23"/>
      <c r="D48" s="23"/>
      <c r="E48" s="23"/>
      <c r="F48" s="23"/>
      <c r="G48" s="23"/>
      <c r="H48" s="23"/>
      <c r="I48" s="35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6"/>
      <c r="AD48" s="10"/>
      <c r="AE48" s="10"/>
      <c r="AF48" s="10"/>
      <c r="AG48" s="10"/>
      <c r="AH48" s="10"/>
      <c r="AI48" s="10"/>
      <c r="AJ48" s="10"/>
    </row>
    <row r="49" spans="1:36" ht="18.75" customHeight="1">
      <c r="A49" s="11"/>
      <c r="B49" s="23"/>
      <c r="C49" s="23"/>
      <c r="D49" s="23"/>
      <c r="E49" s="23"/>
      <c r="F49" s="23"/>
      <c r="G49" s="23"/>
      <c r="H49" s="23"/>
      <c r="I49" s="35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6"/>
      <c r="AD49" s="10"/>
      <c r="AE49" s="10"/>
      <c r="AF49" s="10"/>
      <c r="AG49" s="10"/>
      <c r="AH49" s="10"/>
      <c r="AI49" s="10"/>
      <c r="AJ49" s="10"/>
    </row>
    <row r="50" spans="1:36" ht="18.75" customHeight="1">
      <c r="A50" s="11"/>
      <c r="B50" s="23"/>
      <c r="C50" s="23"/>
      <c r="D50" s="23"/>
      <c r="E50" s="23"/>
      <c r="F50" s="23"/>
      <c r="G50" s="23"/>
      <c r="H50" s="23"/>
      <c r="I50" s="35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6"/>
      <c r="AD50" s="10"/>
      <c r="AE50" s="10"/>
      <c r="AF50" s="10"/>
      <c r="AG50" s="10"/>
      <c r="AH50" s="10"/>
      <c r="AI50" s="10"/>
      <c r="AJ50" s="10"/>
    </row>
    <row r="51" spans="1:36" ht="18.75" customHeight="1">
      <c r="A51" s="11"/>
      <c r="B51" s="23"/>
      <c r="C51" s="23"/>
      <c r="D51" s="23"/>
      <c r="E51" s="23"/>
      <c r="F51" s="23"/>
      <c r="G51" s="23"/>
      <c r="H51" s="23"/>
      <c r="I51" s="35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6"/>
      <c r="AD51" s="10"/>
      <c r="AE51" s="10"/>
      <c r="AF51" s="10"/>
      <c r="AG51" s="10"/>
      <c r="AH51" s="10"/>
      <c r="AI51" s="10"/>
      <c r="AJ51" s="10"/>
    </row>
    <row r="52" spans="1:36" ht="18.75" customHeight="1">
      <c r="A52" s="11"/>
      <c r="B52" s="23"/>
      <c r="C52" s="23"/>
      <c r="D52" s="23"/>
      <c r="E52" s="23"/>
      <c r="F52" s="23"/>
      <c r="G52" s="23"/>
      <c r="H52" s="23"/>
      <c r="I52" s="35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7"/>
      <c r="AD52" s="19"/>
      <c r="AE52" s="19"/>
      <c r="AF52" s="19"/>
      <c r="AG52" s="19"/>
      <c r="AH52" s="19"/>
      <c r="AI52" s="19"/>
      <c r="AJ52" s="19"/>
    </row>
    <row r="53" spans="1:36" ht="18.75" customHeight="1">
      <c r="B53" s="23"/>
      <c r="C53" s="23"/>
      <c r="D53" s="23"/>
      <c r="E53" s="23"/>
      <c r="F53" s="23"/>
      <c r="G53" s="23"/>
      <c r="H53" s="23"/>
      <c r="I53" s="35"/>
      <c r="J53" s="20"/>
      <c r="K53" s="20"/>
      <c r="L53" s="23"/>
      <c r="M53" s="23"/>
      <c r="N53" s="23"/>
      <c r="O53" s="23"/>
      <c r="P53" s="20"/>
      <c r="Q53" s="20"/>
      <c r="R53" s="23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8"/>
      <c r="AD53" s="20"/>
      <c r="AE53" s="20"/>
      <c r="AF53" s="20"/>
      <c r="AG53" s="20"/>
      <c r="AH53" s="20"/>
      <c r="AI53" s="20"/>
      <c r="AJ53" s="20"/>
    </row>
    <row r="54" spans="1:36" ht="18.75" customHeight="1">
      <c r="B54" s="23"/>
      <c r="C54" s="23"/>
      <c r="D54" s="23"/>
      <c r="E54" s="23"/>
      <c r="F54" s="23"/>
      <c r="G54" s="23"/>
      <c r="H54" s="23"/>
      <c r="I54" s="35"/>
      <c r="J54" s="20"/>
      <c r="K54" s="20"/>
      <c r="L54" s="23"/>
      <c r="M54" s="23"/>
      <c r="N54" s="23"/>
      <c r="O54" s="23"/>
      <c r="P54" s="20"/>
      <c r="Q54" s="20"/>
      <c r="R54" s="23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8"/>
      <c r="AD54" s="20"/>
      <c r="AE54" s="20"/>
      <c r="AF54" s="20"/>
      <c r="AG54" s="20"/>
      <c r="AH54" s="20"/>
      <c r="AI54" s="20"/>
      <c r="AJ54" s="20"/>
    </row>
    <row r="55" spans="1:36" ht="18.75" customHeight="1">
      <c r="B55" s="23"/>
      <c r="C55" s="23"/>
      <c r="D55" s="23"/>
      <c r="E55" s="23"/>
      <c r="F55" s="23"/>
      <c r="G55" s="23"/>
      <c r="H55" s="23"/>
      <c r="I55" s="35"/>
      <c r="J55" s="20"/>
      <c r="K55" s="20"/>
      <c r="L55" s="23"/>
      <c r="M55" s="23"/>
      <c r="N55" s="23"/>
      <c r="O55" s="23"/>
      <c r="P55" s="20"/>
      <c r="Q55" s="20"/>
      <c r="R55" s="23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8"/>
      <c r="AD55" s="20"/>
      <c r="AE55" s="20"/>
      <c r="AF55" s="20"/>
      <c r="AG55" s="20"/>
      <c r="AH55" s="20"/>
      <c r="AI55" s="20"/>
      <c r="AJ55" s="20"/>
    </row>
    <row r="56" spans="1:36" ht="18.75" customHeight="1">
      <c r="B56" s="23"/>
      <c r="C56" s="23"/>
      <c r="D56" s="23"/>
      <c r="E56" s="23"/>
      <c r="F56" s="23"/>
      <c r="G56" s="23"/>
      <c r="H56" s="23"/>
      <c r="I56" s="35"/>
      <c r="J56" s="20"/>
      <c r="K56" s="20"/>
      <c r="L56" s="23"/>
      <c r="M56" s="23"/>
      <c r="N56" s="23"/>
      <c r="O56" s="23"/>
      <c r="P56" s="20"/>
      <c r="Q56" s="20"/>
      <c r="R56" s="23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8"/>
      <c r="AD56" s="20"/>
      <c r="AE56" s="20"/>
      <c r="AF56" s="20"/>
      <c r="AG56" s="20"/>
      <c r="AH56" s="20"/>
      <c r="AI56" s="20"/>
      <c r="AJ56" s="20"/>
    </row>
    <row r="57" spans="1:36" ht="18.75" customHeight="1">
      <c r="B57" s="23"/>
      <c r="C57" s="23"/>
      <c r="D57" s="23"/>
      <c r="E57" s="23"/>
      <c r="F57" s="23"/>
      <c r="G57" s="23"/>
      <c r="H57" s="23"/>
      <c r="I57" s="35"/>
      <c r="J57" s="20"/>
      <c r="K57" s="20"/>
      <c r="L57" s="23"/>
      <c r="M57" s="23"/>
      <c r="N57" s="23"/>
      <c r="O57" s="23"/>
      <c r="P57" s="20"/>
      <c r="Q57" s="20"/>
      <c r="R57" s="23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8"/>
      <c r="AD57" s="20"/>
      <c r="AE57" s="20"/>
      <c r="AF57" s="20"/>
      <c r="AG57" s="20"/>
      <c r="AH57" s="20"/>
      <c r="AI57" s="20"/>
      <c r="AJ57" s="20"/>
    </row>
    <row r="58" spans="1:36" ht="18.75" customHeight="1">
      <c r="B58" s="23"/>
      <c r="C58" s="23"/>
      <c r="D58" s="23"/>
      <c r="E58" s="23"/>
      <c r="F58" s="23"/>
      <c r="G58" s="23"/>
      <c r="H58" s="23"/>
      <c r="I58" s="35"/>
      <c r="J58" s="20"/>
      <c r="K58" s="20"/>
      <c r="L58" s="23"/>
      <c r="M58" s="23"/>
      <c r="N58" s="23"/>
      <c r="O58" s="23"/>
      <c r="P58" s="20"/>
      <c r="Q58" s="20"/>
      <c r="R58" s="23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8"/>
      <c r="AD58" s="20"/>
      <c r="AE58" s="20"/>
      <c r="AF58" s="20"/>
      <c r="AG58" s="20"/>
      <c r="AH58" s="20"/>
      <c r="AI58" s="20"/>
      <c r="AJ58" s="20"/>
    </row>
    <row r="59" spans="1:36" ht="18.75" customHeight="1">
      <c r="B59" s="23"/>
      <c r="C59" s="23"/>
      <c r="D59" s="23"/>
      <c r="E59" s="23"/>
      <c r="F59" s="23"/>
      <c r="G59" s="23"/>
      <c r="H59" s="23"/>
      <c r="I59" s="35"/>
      <c r="J59" s="20"/>
      <c r="K59" s="20"/>
      <c r="L59" s="23"/>
      <c r="M59" s="23"/>
      <c r="N59" s="23"/>
      <c r="O59" s="23"/>
      <c r="P59" s="20"/>
      <c r="Q59" s="20"/>
      <c r="R59" s="23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8"/>
      <c r="AD59" s="20"/>
      <c r="AE59" s="20"/>
      <c r="AF59" s="20"/>
      <c r="AG59" s="20"/>
      <c r="AH59" s="20"/>
      <c r="AI59" s="20"/>
      <c r="AJ59" s="20"/>
    </row>
    <row r="60" spans="1:36" ht="18.75" customHeight="1">
      <c r="B60" s="23"/>
      <c r="C60" s="23"/>
      <c r="D60" s="23"/>
      <c r="E60" s="23"/>
      <c r="F60" s="23"/>
      <c r="G60" s="23"/>
      <c r="H60" s="23"/>
      <c r="I60" s="35"/>
      <c r="J60" s="20"/>
      <c r="K60" s="20"/>
      <c r="L60" s="23"/>
      <c r="M60" s="23"/>
      <c r="N60" s="23"/>
      <c r="O60" s="23"/>
      <c r="P60" s="20"/>
      <c r="Q60" s="20"/>
      <c r="R60" s="23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8"/>
      <c r="AD60" s="20"/>
      <c r="AE60" s="20"/>
      <c r="AF60" s="20"/>
      <c r="AG60" s="20"/>
      <c r="AH60" s="20"/>
      <c r="AI60" s="20"/>
      <c r="AJ60" s="20"/>
    </row>
    <row r="61" spans="1:36" ht="18.75" customHeight="1">
      <c r="B61" s="23"/>
      <c r="C61" s="23"/>
      <c r="D61" s="23"/>
      <c r="E61" s="23"/>
      <c r="F61" s="23"/>
      <c r="G61" s="23"/>
      <c r="H61" s="23"/>
      <c r="I61" s="35"/>
      <c r="J61" s="20"/>
      <c r="K61" s="20"/>
      <c r="L61" s="23"/>
      <c r="M61" s="23"/>
      <c r="N61" s="23"/>
      <c r="O61" s="23"/>
      <c r="P61" s="20"/>
      <c r="Q61" s="20"/>
      <c r="R61" s="23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8"/>
      <c r="AD61" s="20"/>
      <c r="AE61" s="20"/>
      <c r="AF61" s="20"/>
      <c r="AG61" s="20"/>
      <c r="AH61" s="20"/>
      <c r="AI61" s="20"/>
      <c r="AJ61" s="20"/>
    </row>
    <row r="62" spans="1:36" ht="18.75" customHeight="1">
      <c r="B62" s="23"/>
      <c r="C62" s="23"/>
      <c r="D62" s="23"/>
      <c r="E62" s="23"/>
      <c r="F62" s="23"/>
      <c r="G62" s="23"/>
      <c r="H62" s="33"/>
      <c r="I62" s="34"/>
      <c r="J62" s="20"/>
      <c r="K62" s="20"/>
      <c r="L62" s="33"/>
      <c r="M62" s="23"/>
      <c r="N62" s="33"/>
      <c r="O62" s="33"/>
      <c r="P62" s="20"/>
      <c r="Q62" s="20"/>
      <c r="R62" s="33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8"/>
      <c r="AD62" s="20"/>
      <c r="AE62" s="20"/>
      <c r="AF62" s="20"/>
      <c r="AG62" s="20"/>
      <c r="AH62" s="20"/>
      <c r="AI62" s="20"/>
      <c r="AJ62" s="20"/>
    </row>
    <row r="63" spans="1:36" ht="18.75" customHeight="1">
      <c r="B63" s="23"/>
      <c r="C63" s="23"/>
      <c r="D63" s="23"/>
      <c r="E63" s="23"/>
      <c r="F63" s="23"/>
      <c r="G63" s="23"/>
      <c r="H63" s="23"/>
      <c r="I63" s="35"/>
      <c r="J63" s="20"/>
      <c r="K63" s="20"/>
      <c r="L63" s="23"/>
      <c r="M63" s="23"/>
      <c r="N63" s="23"/>
      <c r="O63" s="23"/>
      <c r="P63" s="20"/>
      <c r="Q63" s="20"/>
      <c r="R63" s="23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8"/>
      <c r="AD63" s="20"/>
      <c r="AE63" s="20"/>
      <c r="AF63" s="20"/>
      <c r="AG63" s="20"/>
      <c r="AH63" s="20"/>
      <c r="AI63" s="20"/>
      <c r="AJ63" s="20"/>
    </row>
    <row r="64" spans="1:36" ht="18.75" customHeight="1">
      <c r="B64" s="23"/>
      <c r="C64" s="23"/>
      <c r="D64" s="23"/>
      <c r="E64" s="23"/>
      <c r="F64" s="23"/>
      <c r="G64" s="23"/>
      <c r="H64" s="23"/>
      <c r="I64" s="35"/>
      <c r="J64" s="20"/>
      <c r="K64" s="20"/>
      <c r="L64" s="23"/>
      <c r="M64" s="23"/>
      <c r="N64" s="23"/>
      <c r="O64" s="23"/>
      <c r="P64" s="20"/>
      <c r="Q64" s="20"/>
      <c r="R64" s="23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8"/>
      <c r="AD64" s="20"/>
      <c r="AE64" s="20"/>
      <c r="AF64" s="20"/>
      <c r="AG64" s="20"/>
      <c r="AH64" s="20"/>
      <c r="AI64" s="20"/>
      <c r="AJ64" s="20"/>
    </row>
    <row r="65" spans="2:36" ht="18.75" customHeight="1">
      <c r="B65" s="23"/>
      <c r="C65" s="23"/>
      <c r="D65" s="23"/>
      <c r="E65" s="23"/>
      <c r="F65" s="23"/>
      <c r="G65" s="23"/>
      <c r="H65" s="33"/>
      <c r="I65" s="34"/>
      <c r="J65" s="20"/>
      <c r="K65" s="20"/>
      <c r="L65" s="33"/>
      <c r="M65" s="23"/>
      <c r="N65" s="33"/>
      <c r="O65" s="33"/>
      <c r="P65" s="20"/>
      <c r="Q65" s="20"/>
      <c r="R65" s="33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8"/>
      <c r="AD65" s="20"/>
      <c r="AE65" s="20"/>
      <c r="AF65" s="20"/>
      <c r="AG65" s="20"/>
      <c r="AH65" s="20"/>
      <c r="AI65" s="20"/>
      <c r="AJ65" s="20"/>
    </row>
    <row r="66" spans="2:36" ht="18.75" customHeight="1">
      <c r="B66" s="23"/>
      <c r="C66" s="23"/>
      <c r="D66" s="23"/>
      <c r="E66" s="23"/>
      <c r="F66" s="23"/>
      <c r="G66" s="23"/>
      <c r="H66" s="23"/>
      <c r="I66" s="35"/>
      <c r="J66" s="20"/>
      <c r="K66" s="20"/>
      <c r="L66" s="23"/>
      <c r="M66" s="23"/>
      <c r="N66" s="23"/>
      <c r="O66" s="23"/>
      <c r="P66" s="20"/>
      <c r="Q66" s="20"/>
      <c r="R66" s="23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8"/>
      <c r="AD66" s="20"/>
      <c r="AE66" s="20"/>
      <c r="AF66" s="20"/>
      <c r="AG66" s="20"/>
      <c r="AH66" s="20"/>
      <c r="AI66" s="20"/>
      <c r="AJ66" s="20"/>
    </row>
    <row r="67" spans="2:36" ht="18.75" customHeight="1">
      <c r="B67" s="23"/>
      <c r="C67" s="23"/>
      <c r="D67" s="23"/>
      <c r="E67" s="23"/>
      <c r="F67" s="23"/>
      <c r="G67" s="23"/>
      <c r="H67" s="23"/>
      <c r="I67" s="35"/>
      <c r="J67" s="20"/>
      <c r="K67" s="20"/>
      <c r="L67" s="23"/>
      <c r="M67" s="23"/>
      <c r="N67" s="23"/>
      <c r="O67" s="23"/>
      <c r="P67" s="20"/>
      <c r="Q67" s="20"/>
      <c r="R67" s="23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8"/>
      <c r="AD67" s="20"/>
      <c r="AE67" s="20"/>
      <c r="AF67" s="20"/>
      <c r="AG67" s="20"/>
      <c r="AH67" s="20"/>
      <c r="AI67" s="20"/>
      <c r="AJ67" s="20"/>
    </row>
    <row r="68" spans="2:36" ht="18.75" customHeight="1">
      <c r="B68" s="23"/>
      <c r="C68" s="23"/>
      <c r="D68" s="23"/>
      <c r="E68" s="23"/>
      <c r="F68" s="23"/>
      <c r="G68" s="23"/>
      <c r="H68" s="33"/>
      <c r="I68" s="34"/>
      <c r="J68" s="20"/>
      <c r="K68" s="20"/>
      <c r="L68" s="33"/>
      <c r="M68" s="23"/>
      <c r="N68" s="33"/>
      <c r="O68" s="33"/>
      <c r="P68" s="20"/>
      <c r="Q68" s="20"/>
      <c r="R68" s="33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8"/>
      <c r="AD68" s="20"/>
      <c r="AE68" s="20"/>
      <c r="AF68" s="20"/>
      <c r="AG68" s="20"/>
      <c r="AH68" s="20"/>
      <c r="AI68" s="20"/>
      <c r="AJ68" s="20"/>
    </row>
    <row r="69" spans="2:36" ht="18.75" customHeight="1">
      <c r="B69" s="23"/>
      <c r="C69" s="23"/>
      <c r="D69" s="23"/>
      <c r="E69" s="23"/>
      <c r="F69" s="23"/>
      <c r="G69" s="23"/>
      <c r="H69" s="23"/>
      <c r="I69" s="35"/>
      <c r="J69" s="20"/>
      <c r="K69" s="20"/>
      <c r="L69" s="23"/>
      <c r="M69" s="23"/>
      <c r="N69" s="23"/>
      <c r="O69" s="23"/>
      <c r="P69" s="20"/>
      <c r="Q69" s="20"/>
      <c r="R69" s="23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8"/>
      <c r="AD69" s="20"/>
      <c r="AE69" s="20"/>
      <c r="AF69" s="20"/>
      <c r="AG69" s="20"/>
      <c r="AH69" s="20"/>
      <c r="AI69" s="20"/>
      <c r="AJ69" s="20"/>
    </row>
    <row r="70" spans="2:36" ht="18.75" customHeight="1">
      <c r="B70" s="23"/>
      <c r="C70" s="23"/>
      <c r="D70" s="23"/>
      <c r="E70" s="23"/>
      <c r="F70" s="23"/>
      <c r="G70" s="23"/>
      <c r="H70" s="23"/>
      <c r="I70" s="35"/>
      <c r="J70" s="20"/>
      <c r="K70" s="20"/>
      <c r="L70" s="23"/>
      <c r="M70" s="23"/>
      <c r="N70" s="23"/>
      <c r="O70" s="23"/>
      <c r="P70" s="20"/>
      <c r="Q70" s="20"/>
      <c r="R70" s="23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8"/>
      <c r="AD70" s="20"/>
      <c r="AE70" s="20"/>
      <c r="AF70" s="20"/>
      <c r="AG70" s="20"/>
      <c r="AH70" s="20"/>
      <c r="AI70" s="20"/>
      <c r="AJ70" s="20"/>
    </row>
    <row r="71" spans="2:36" ht="18.75" customHeight="1">
      <c r="B71" s="23"/>
      <c r="C71" s="23"/>
      <c r="D71" s="23"/>
      <c r="E71" s="23"/>
      <c r="F71" s="23"/>
      <c r="G71" s="23"/>
      <c r="H71" s="33"/>
      <c r="I71" s="34"/>
      <c r="J71" s="20"/>
      <c r="K71" s="20"/>
      <c r="L71" s="33"/>
      <c r="M71" s="23"/>
      <c r="N71" s="33"/>
      <c r="O71" s="33"/>
      <c r="P71" s="20"/>
      <c r="Q71" s="20"/>
      <c r="R71" s="33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8"/>
      <c r="AD71" s="20"/>
      <c r="AE71" s="20"/>
      <c r="AF71" s="20"/>
      <c r="AG71" s="20"/>
      <c r="AH71" s="20"/>
      <c r="AI71" s="20"/>
      <c r="AJ71" s="20"/>
    </row>
    <row r="72" spans="2:36" ht="18.75" customHeight="1">
      <c r="B72" s="23"/>
      <c r="C72" s="23"/>
      <c r="D72" s="23"/>
      <c r="E72" s="23"/>
      <c r="F72" s="23"/>
      <c r="G72" s="23"/>
      <c r="H72" s="23"/>
      <c r="I72" s="35"/>
      <c r="J72" s="20"/>
      <c r="K72" s="20"/>
      <c r="L72" s="23"/>
      <c r="M72" s="23"/>
      <c r="N72" s="23"/>
      <c r="O72" s="23"/>
      <c r="P72" s="20"/>
      <c r="Q72" s="20"/>
      <c r="R72" s="23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8"/>
      <c r="AD72" s="20"/>
      <c r="AE72" s="20"/>
      <c r="AF72" s="20"/>
      <c r="AG72" s="20"/>
      <c r="AH72" s="20"/>
      <c r="AI72" s="20"/>
      <c r="AJ72" s="20"/>
    </row>
    <row r="73" spans="2:36" ht="18.75" customHeight="1">
      <c r="B73" s="23"/>
      <c r="C73" s="23"/>
      <c r="D73" s="23"/>
      <c r="E73" s="23"/>
      <c r="F73" s="23"/>
      <c r="G73" s="23"/>
      <c r="H73" s="23"/>
      <c r="I73" s="35"/>
      <c r="J73" s="20"/>
      <c r="K73" s="20"/>
      <c r="L73" s="23"/>
      <c r="M73" s="23"/>
      <c r="N73" s="23"/>
      <c r="O73" s="23"/>
      <c r="P73" s="20"/>
      <c r="Q73" s="20"/>
      <c r="R73" s="23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8"/>
      <c r="AD73" s="20"/>
      <c r="AE73" s="20"/>
      <c r="AF73" s="20"/>
      <c r="AG73" s="20"/>
      <c r="AH73" s="20"/>
      <c r="AI73" s="20"/>
      <c r="AJ73" s="20"/>
    </row>
    <row r="74" spans="2:36" ht="18.75" customHeight="1">
      <c r="B74" s="23"/>
      <c r="C74" s="23"/>
      <c r="D74" s="23"/>
      <c r="E74" s="23"/>
      <c r="F74" s="23"/>
      <c r="G74" s="23"/>
      <c r="H74" s="33"/>
      <c r="I74" s="34"/>
      <c r="J74" s="20"/>
      <c r="K74" s="20"/>
      <c r="L74" s="33"/>
      <c r="M74" s="23"/>
      <c r="N74" s="33"/>
      <c r="O74" s="33"/>
      <c r="P74" s="20"/>
      <c r="Q74" s="20"/>
      <c r="R74" s="33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8"/>
      <c r="AD74" s="20"/>
      <c r="AE74" s="20"/>
      <c r="AF74" s="20"/>
      <c r="AG74" s="20"/>
      <c r="AH74" s="20"/>
      <c r="AI74" s="20"/>
      <c r="AJ74" s="20"/>
    </row>
    <row r="75" spans="2:36" ht="18.75" customHeight="1">
      <c r="B75" s="23"/>
      <c r="C75" s="23"/>
      <c r="D75" s="23"/>
      <c r="E75" s="23"/>
      <c r="F75" s="23"/>
      <c r="G75" s="23"/>
      <c r="H75" s="23"/>
      <c r="I75" s="35"/>
      <c r="J75" s="20"/>
      <c r="K75" s="20"/>
      <c r="L75" s="23"/>
      <c r="M75" s="23"/>
      <c r="N75" s="23"/>
      <c r="O75" s="23"/>
      <c r="P75" s="20"/>
      <c r="Q75" s="20"/>
      <c r="R75" s="23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8"/>
      <c r="AD75" s="20"/>
      <c r="AE75" s="20"/>
      <c r="AF75" s="20"/>
      <c r="AG75" s="20"/>
      <c r="AH75" s="20"/>
      <c r="AI75" s="20"/>
      <c r="AJ75" s="20"/>
    </row>
    <row r="76" spans="2:36" ht="18.75" customHeight="1">
      <c r="B76" s="23"/>
      <c r="C76" s="23"/>
      <c r="D76" s="23"/>
      <c r="E76" s="23"/>
      <c r="F76" s="23"/>
      <c r="G76" s="23"/>
      <c r="H76" s="23"/>
      <c r="I76" s="35"/>
      <c r="J76" s="20"/>
      <c r="K76" s="20"/>
      <c r="L76" s="23"/>
      <c r="M76" s="23"/>
      <c r="N76" s="23"/>
      <c r="O76" s="23"/>
      <c r="P76" s="20"/>
      <c r="Q76" s="20"/>
      <c r="R76" s="23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8"/>
      <c r="AD76" s="20"/>
      <c r="AE76" s="20"/>
      <c r="AF76" s="20"/>
      <c r="AG76" s="20"/>
      <c r="AH76" s="20"/>
      <c r="AI76" s="20"/>
      <c r="AJ76" s="20"/>
    </row>
    <row r="77" spans="2:36" ht="18.75" customHeight="1">
      <c r="B77" s="23"/>
      <c r="C77" s="23"/>
      <c r="D77" s="23"/>
      <c r="E77" s="23"/>
      <c r="F77" s="23"/>
      <c r="G77" s="23"/>
      <c r="H77" s="23"/>
      <c r="I77" s="35"/>
      <c r="J77" s="20"/>
      <c r="K77" s="20"/>
      <c r="L77" s="23"/>
      <c r="M77" s="23"/>
      <c r="N77" s="23"/>
      <c r="O77" s="23"/>
      <c r="P77" s="20"/>
      <c r="Q77" s="20"/>
      <c r="R77" s="23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8"/>
      <c r="AD77" s="20"/>
      <c r="AE77" s="20"/>
      <c r="AF77" s="20"/>
      <c r="AG77" s="20"/>
      <c r="AH77" s="20"/>
      <c r="AI77" s="20"/>
      <c r="AJ77" s="20"/>
    </row>
    <row r="78" spans="2:36" ht="18.75" customHeight="1">
      <c r="B78" s="23"/>
      <c r="C78" s="23"/>
      <c r="D78" s="23"/>
      <c r="E78" s="23"/>
      <c r="F78" s="23"/>
      <c r="G78" s="23"/>
      <c r="H78" s="23"/>
      <c r="I78" s="35"/>
      <c r="J78" s="20"/>
      <c r="K78" s="20"/>
      <c r="L78" s="23"/>
      <c r="M78" s="23"/>
      <c r="N78" s="23"/>
      <c r="O78" s="23"/>
      <c r="P78" s="20"/>
      <c r="Q78" s="20"/>
      <c r="R78" s="23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8"/>
      <c r="AD78" s="20"/>
      <c r="AE78" s="20"/>
      <c r="AF78" s="20"/>
      <c r="AG78" s="20"/>
      <c r="AH78" s="20"/>
      <c r="AI78" s="20"/>
      <c r="AJ78" s="20"/>
    </row>
    <row r="79" spans="2:36" ht="18.75" customHeight="1">
      <c r="B79" s="23"/>
      <c r="C79" s="23"/>
      <c r="D79" s="23"/>
      <c r="E79" s="23"/>
      <c r="F79" s="23"/>
      <c r="G79" s="23"/>
      <c r="H79" s="23"/>
      <c r="I79" s="35"/>
      <c r="J79" s="20"/>
      <c r="K79" s="20"/>
      <c r="L79" s="23"/>
      <c r="M79" s="23"/>
      <c r="N79" s="23"/>
      <c r="O79" s="23"/>
      <c r="P79" s="20"/>
      <c r="Q79" s="20"/>
      <c r="R79" s="23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8"/>
      <c r="AD79" s="20"/>
      <c r="AE79" s="20"/>
      <c r="AF79" s="20"/>
      <c r="AG79" s="20"/>
      <c r="AH79" s="20"/>
      <c r="AI79" s="20"/>
      <c r="AJ79" s="20"/>
    </row>
    <row r="80" spans="2:36" ht="18.75" customHeight="1">
      <c r="B80" s="23"/>
      <c r="C80" s="23"/>
      <c r="D80" s="23"/>
      <c r="E80" s="23"/>
      <c r="F80" s="23"/>
      <c r="G80" s="23"/>
      <c r="H80" s="23"/>
      <c r="I80" s="35"/>
      <c r="J80" s="20"/>
      <c r="K80" s="20"/>
      <c r="L80" s="23"/>
      <c r="M80" s="23"/>
      <c r="N80" s="23"/>
      <c r="O80" s="23"/>
      <c r="P80" s="20"/>
      <c r="Q80" s="20"/>
      <c r="R80" s="23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8"/>
      <c r="AD80" s="20"/>
      <c r="AE80" s="20"/>
      <c r="AF80" s="20"/>
      <c r="AG80" s="20"/>
      <c r="AH80" s="20"/>
      <c r="AI80" s="20"/>
      <c r="AJ80" s="20"/>
    </row>
    <row r="81" spans="2:36" ht="18.75" customHeight="1">
      <c r="B81" s="23"/>
      <c r="C81" s="23"/>
      <c r="D81" s="23"/>
      <c r="E81" s="23"/>
      <c r="F81" s="23"/>
      <c r="G81" s="23"/>
      <c r="H81" s="23"/>
      <c r="I81" s="35"/>
      <c r="J81" s="20"/>
      <c r="K81" s="20"/>
      <c r="L81" s="23"/>
      <c r="M81" s="23"/>
      <c r="N81" s="23"/>
      <c r="O81" s="23"/>
      <c r="P81" s="20"/>
      <c r="Q81" s="20"/>
      <c r="R81" s="23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8"/>
      <c r="AD81" s="20"/>
      <c r="AE81" s="20"/>
      <c r="AF81" s="20"/>
      <c r="AG81" s="20"/>
      <c r="AH81" s="20"/>
      <c r="AI81" s="20"/>
      <c r="AJ81" s="20"/>
    </row>
    <row r="82" spans="2:36" ht="18.75" customHeight="1">
      <c r="B82" s="23"/>
      <c r="C82" s="23"/>
      <c r="D82" s="23"/>
      <c r="E82" s="23"/>
      <c r="F82" s="23"/>
      <c r="G82" s="23"/>
      <c r="H82" s="23"/>
      <c r="I82" s="35"/>
      <c r="J82" s="20"/>
      <c r="K82" s="20"/>
      <c r="L82" s="23"/>
      <c r="M82" s="23"/>
      <c r="N82" s="23"/>
      <c r="O82" s="23"/>
      <c r="P82" s="20"/>
      <c r="Q82" s="20"/>
      <c r="R82" s="23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8"/>
      <c r="AD82" s="20"/>
      <c r="AE82" s="20"/>
      <c r="AF82" s="20"/>
      <c r="AG82" s="20"/>
      <c r="AH82" s="20"/>
      <c r="AI82" s="20"/>
      <c r="AJ82" s="20"/>
    </row>
    <row r="83" spans="2:36" ht="18.75" customHeight="1">
      <c r="B83" s="23"/>
      <c r="C83" s="23"/>
      <c r="D83" s="23"/>
      <c r="E83" s="23"/>
      <c r="F83" s="23"/>
      <c r="G83" s="23"/>
      <c r="H83" s="23"/>
      <c r="I83" s="35"/>
      <c r="J83" s="20"/>
      <c r="K83" s="20"/>
      <c r="L83" s="23"/>
      <c r="M83" s="23"/>
      <c r="N83" s="23"/>
      <c r="O83" s="23"/>
      <c r="P83" s="20"/>
      <c r="Q83" s="20"/>
      <c r="R83" s="23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8"/>
      <c r="AD83" s="20"/>
      <c r="AE83" s="20"/>
      <c r="AF83" s="20"/>
      <c r="AG83" s="20"/>
      <c r="AH83" s="20"/>
      <c r="AI83" s="20"/>
      <c r="AJ83" s="20"/>
    </row>
    <row r="84" spans="2:36" ht="18.75" customHeight="1">
      <c r="B84" s="23"/>
      <c r="C84" s="23"/>
      <c r="D84" s="23"/>
      <c r="E84" s="23"/>
      <c r="F84" s="23"/>
      <c r="G84" s="23"/>
      <c r="H84" s="23"/>
      <c r="I84" s="35"/>
      <c r="J84" s="20"/>
      <c r="K84" s="20"/>
      <c r="L84" s="23"/>
      <c r="M84" s="23"/>
      <c r="N84" s="23"/>
      <c r="O84" s="23"/>
      <c r="P84" s="20"/>
      <c r="Q84" s="20"/>
      <c r="R84" s="23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8"/>
      <c r="AD84" s="20"/>
      <c r="AE84" s="20"/>
      <c r="AF84" s="20"/>
      <c r="AG84" s="20"/>
      <c r="AH84" s="20"/>
      <c r="AI84" s="20"/>
      <c r="AJ84" s="20"/>
    </row>
    <row r="85" spans="2:36" ht="18.75" customHeight="1">
      <c r="B85" s="23"/>
      <c r="C85" s="23"/>
      <c r="D85" s="23"/>
      <c r="E85" s="23"/>
      <c r="F85" s="23"/>
      <c r="G85" s="23"/>
      <c r="H85" s="23"/>
      <c r="I85" s="35"/>
      <c r="J85" s="20"/>
      <c r="K85" s="20"/>
      <c r="L85" s="23"/>
      <c r="M85" s="23"/>
      <c r="N85" s="23"/>
      <c r="O85" s="23"/>
      <c r="P85" s="20"/>
      <c r="Q85" s="20"/>
      <c r="R85" s="23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8"/>
      <c r="AD85" s="20"/>
      <c r="AE85" s="20"/>
      <c r="AF85" s="20"/>
      <c r="AG85" s="20"/>
      <c r="AH85" s="20"/>
      <c r="AI85" s="20"/>
      <c r="AJ85" s="20"/>
    </row>
    <row r="86" spans="2:36" ht="18.75" customHeight="1">
      <c r="B86" s="23"/>
      <c r="C86" s="23"/>
      <c r="D86" s="23"/>
      <c r="E86" s="23"/>
      <c r="F86" s="23"/>
      <c r="G86" s="23"/>
      <c r="H86" s="23"/>
      <c r="I86" s="35"/>
      <c r="J86" s="20"/>
      <c r="K86" s="20"/>
      <c r="L86" s="23"/>
      <c r="M86" s="23"/>
      <c r="N86" s="23"/>
      <c r="O86" s="23"/>
      <c r="P86" s="20"/>
      <c r="Q86" s="20"/>
      <c r="R86" s="23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8"/>
      <c r="AD86" s="20"/>
      <c r="AE86" s="20"/>
      <c r="AF86" s="20"/>
      <c r="AG86" s="20"/>
      <c r="AH86" s="20"/>
      <c r="AI86" s="20"/>
      <c r="AJ86" s="20"/>
    </row>
    <row r="87" spans="2:36" ht="18.75" customHeight="1">
      <c r="B87" s="23"/>
      <c r="C87" s="23"/>
      <c r="D87" s="23"/>
      <c r="E87" s="23"/>
      <c r="F87" s="23"/>
      <c r="G87" s="23"/>
      <c r="H87" s="23"/>
      <c r="I87" s="35"/>
      <c r="J87" s="20"/>
      <c r="K87" s="20"/>
      <c r="L87" s="23"/>
      <c r="M87" s="23"/>
      <c r="N87" s="23"/>
      <c r="O87" s="23"/>
      <c r="P87" s="20"/>
      <c r="Q87" s="20"/>
      <c r="R87" s="23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8"/>
      <c r="AD87" s="20"/>
      <c r="AE87" s="20"/>
      <c r="AF87" s="20"/>
      <c r="AG87" s="20"/>
      <c r="AH87" s="20"/>
      <c r="AI87" s="20"/>
      <c r="AJ87" s="20"/>
    </row>
    <row r="88" spans="2:36" ht="18.75" customHeight="1">
      <c r="B88" s="23"/>
      <c r="C88" s="23"/>
      <c r="D88" s="23"/>
      <c r="E88" s="23"/>
      <c r="F88" s="23"/>
      <c r="G88" s="23"/>
      <c r="H88" s="23"/>
      <c r="I88" s="35"/>
      <c r="J88" s="20"/>
      <c r="K88" s="20"/>
      <c r="L88" s="23"/>
      <c r="M88" s="23"/>
      <c r="N88" s="23"/>
      <c r="O88" s="23"/>
      <c r="P88" s="20"/>
      <c r="Q88" s="20"/>
      <c r="R88" s="23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8"/>
      <c r="AD88" s="20"/>
      <c r="AE88" s="20"/>
      <c r="AF88" s="20"/>
      <c r="AG88" s="20"/>
      <c r="AH88" s="20"/>
      <c r="AI88" s="20"/>
      <c r="AJ88" s="20"/>
    </row>
    <row r="89" spans="2:36" ht="18.75" customHeight="1">
      <c r="B89" s="23"/>
      <c r="C89" s="23"/>
      <c r="D89" s="23"/>
      <c r="E89" s="23"/>
      <c r="F89" s="23"/>
      <c r="G89" s="23"/>
      <c r="H89" s="23"/>
      <c r="I89" s="35"/>
      <c r="J89" s="23"/>
      <c r="K89" s="20"/>
      <c r="L89" s="35"/>
      <c r="M89" s="23"/>
      <c r="N89" s="23"/>
      <c r="O89" s="23"/>
      <c r="P89" s="20"/>
      <c r="Q89" s="20"/>
      <c r="R89" s="23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8"/>
      <c r="AD89" s="20"/>
      <c r="AE89" s="20"/>
      <c r="AF89" s="20"/>
      <c r="AG89" s="20"/>
      <c r="AH89" s="20"/>
      <c r="AI89" s="20"/>
      <c r="AJ89" s="20"/>
    </row>
    <row r="90" spans="2:36" ht="18.75" customHeight="1">
      <c r="B90" s="23"/>
      <c r="C90" s="23"/>
      <c r="D90" s="23"/>
      <c r="E90" s="23"/>
      <c r="F90" s="23"/>
      <c r="G90" s="23"/>
      <c r="H90" s="23"/>
      <c r="I90" s="35"/>
      <c r="J90" s="23"/>
      <c r="K90" s="20"/>
      <c r="L90" s="35"/>
      <c r="M90" s="23"/>
      <c r="N90" s="23"/>
      <c r="O90" s="23"/>
      <c r="P90" s="20"/>
      <c r="Q90" s="20"/>
      <c r="R90" s="23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8"/>
      <c r="AD90" s="20"/>
      <c r="AE90" s="20"/>
      <c r="AF90" s="20"/>
      <c r="AG90" s="20"/>
      <c r="AH90" s="20"/>
      <c r="AI90" s="20"/>
      <c r="AJ90" s="20"/>
    </row>
    <row r="91" spans="2:36" ht="18.75" customHeight="1">
      <c r="B91" s="23"/>
      <c r="C91" s="23"/>
      <c r="D91" s="23"/>
      <c r="E91" s="23"/>
      <c r="F91" s="23"/>
      <c r="G91" s="23"/>
      <c r="H91" s="23"/>
      <c r="I91" s="35"/>
      <c r="J91" s="23"/>
      <c r="K91" s="20"/>
      <c r="L91" s="35"/>
      <c r="M91" s="23"/>
      <c r="N91" s="23"/>
      <c r="O91" s="23"/>
      <c r="P91" s="20"/>
      <c r="Q91" s="20"/>
      <c r="R91" s="23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8"/>
      <c r="AD91" s="20"/>
      <c r="AE91" s="20"/>
      <c r="AF91" s="20"/>
      <c r="AG91" s="20"/>
      <c r="AH91" s="20"/>
      <c r="AI91" s="20"/>
      <c r="AJ91" s="20"/>
    </row>
    <row r="92" spans="2:36" ht="18.75" customHeight="1">
      <c r="B92" s="23"/>
      <c r="C92" s="23"/>
      <c r="D92" s="23"/>
      <c r="E92" s="23"/>
      <c r="F92" s="23"/>
      <c r="G92" s="23"/>
      <c r="H92" s="23"/>
      <c r="I92" s="35"/>
      <c r="J92" s="23"/>
      <c r="K92" s="20"/>
      <c r="L92" s="35"/>
      <c r="M92" s="23"/>
      <c r="N92" s="23"/>
      <c r="O92" s="23"/>
      <c r="P92" s="20"/>
      <c r="Q92" s="20"/>
      <c r="R92" s="23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8"/>
      <c r="AD92" s="20"/>
      <c r="AE92" s="20"/>
      <c r="AF92" s="20"/>
      <c r="AG92" s="20"/>
      <c r="AH92" s="20"/>
      <c r="AI92" s="20"/>
      <c r="AJ92" s="20"/>
    </row>
    <row r="93" spans="2:36" ht="18.75" customHeight="1">
      <c r="B93" s="23"/>
      <c r="C93" s="23"/>
      <c r="D93" s="23"/>
      <c r="E93" s="23"/>
      <c r="F93" s="23"/>
      <c r="G93" s="36"/>
      <c r="H93" s="20"/>
      <c r="I93" s="35"/>
      <c r="J93" s="36"/>
      <c r="K93" s="20"/>
      <c r="L93" s="35"/>
      <c r="M93" s="23"/>
      <c r="N93" s="23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5"/>
    </row>
    <row r="94" spans="2:36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5"/>
    </row>
    <row r="95" spans="2:36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5"/>
    </row>
    <row r="96" spans="2:36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5"/>
    </row>
    <row r="97" spans="2:29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5"/>
    </row>
    <row r="98" spans="2:29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5"/>
    </row>
    <row r="99" spans="2:29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5"/>
    </row>
    <row r="100" spans="2:29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5"/>
    </row>
    <row r="101" spans="2:29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5"/>
    </row>
    <row r="102" spans="2:29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5"/>
    </row>
    <row r="103" spans="2:29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5"/>
    </row>
    <row r="104" spans="2:29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5"/>
    </row>
    <row r="105" spans="2:29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5"/>
    </row>
    <row r="106" spans="2:29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5"/>
    </row>
    <row r="107" spans="2:29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5"/>
    </row>
    <row r="108" spans="2:29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5"/>
    </row>
    <row r="109" spans="2:29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5"/>
    </row>
    <row r="110" spans="2:29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5"/>
    </row>
    <row r="111" spans="2:29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5"/>
    </row>
    <row r="112" spans="2:29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5"/>
    </row>
    <row r="113" spans="2:29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5"/>
    </row>
    <row r="114" spans="2:29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5"/>
    </row>
    <row r="115" spans="2:29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5"/>
    </row>
    <row r="116" spans="2:29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5"/>
    </row>
    <row r="117" spans="2:29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5"/>
    </row>
    <row r="118" spans="2:29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5"/>
    </row>
    <row r="119" spans="2:29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5"/>
    </row>
    <row r="120" spans="2:29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5"/>
    </row>
    <row r="121" spans="2:29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5"/>
    </row>
    <row r="122" spans="2:29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5"/>
    </row>
    <row r="123" spans="2:29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5"/>
    </row>
    <row r="124" spans="2:29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5"/>
    </row>
    <row r="125" spans="2:29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5"/>
    </row>
    <row r="126" spans="2:29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5"/>
    </row>
    <row r="127" spans="2:29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5"/>
    </row>
    <row r="128" spans="2:29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5"/>
    </row>
    <row r="129" spans="2:29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5"/>
    </row>
    <row r="130" spans="2:29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5"/>
    </row>
    <row r="131" spans="2:29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5"/>
    </row>
    <row r="132" spans="2:29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5"/>
    </row>
    <row r="133" spans="2:29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5"/>
    </row>
    <row r="134" spans="2:29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5"/>
    </row>
    <row r="135" spans="2:29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5"/>
    </row>
    <row r="136" spans="2:29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5"/>
    </row>
    <row r="137" spans="2:29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5"/>
    </row>
    <row r="138" spans="2:29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5"/>
    </row>
    <row r="139" spans="2:29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5"/>
    </row>
    <row r="140" spans="2:29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5"/>
    </row>
    <row r="141" spans="2:29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5"/>
    </row>
    <row r="142" spans="2:29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5"/>
    </row>
    <row r="143" spans="2:29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5"/>
    </row>
    <row r="144" spans="2:29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5"/>
    </row>
    <row r="145" spans="2:29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5"/>
    </row>
    <row r="146" spans="2:29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5"/>
    </row>
    <row r="147" spans="2:29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5"/>
    </row>
    <row r="148" spans="2:29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5"/>
    </row>
    <row r="149" spans="2:29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5"/>
    </row>
    <row r="150" spans="2:29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5"/>
    </row>
    <row r="151" spans="2:29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5"/>
    </row>
    <row r="152" spans="2:29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5"/>
    </row>
    <row r="153" spans="2:29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5"/>
    </row>
    <row r="154" spans="2:29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5"/>
    </row>
    <row r="155" spans="2:29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5"/>
    </row>
    <row r="156" spans="2:29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5"/>
    </row>
    <row r="157" spans="2:29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5"/>
    </row>
    <row r="158" spans="2:29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5"/>
    </row>
    <row r="159" spans="2:29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5"/>
    </row>
    <row r="160" spans="2:29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5"/>
    </row>
    <row r="161" spans="2:29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5"/>
    </row>
    <row r="162" spans="2:29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5"/>
    </row>
    <row r="163" spans="2:29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5"/>
    </row>
    <row r="164" spans="2:29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5"/>
    </row>
    <row r="165" spans="2:29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5"/>
    </row>
    <row r="166" spans="2:29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5"/>
    </row>
    <row r="167" spans="2:29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5"/>
    </row>
    <row r="168" spans="2:29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5"/>
    </row>
    <row r="169" spans="2:29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5"/>
    </row>
    <row r="170" spans="2:29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5"/>
    </row>
    <row r="171" spans="2:29" ht="18.75" customHeight="1"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5"/>
    </row>
    <row r="172" spans="2:29" ht="18.75" customHeight="1"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5"/>
    </row>
    <row r="173" spans="2:29" ht="18.75" customHeight="1"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5"/>
    </row>
    <row r="174" spans="2:29" ht="18.75" customHeight="1"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5"/>
    </row>
    <row r="175" spans="2:29" ht="18.75" customHeight="1"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5"/>
    </row>
    <row r="176" spans="2:29" ht="18.75" customHeight="1"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5"/>
    </row>
    <row r="177" spans="2:29" ht="18.75" customHeight="1"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5"/>
    </row>
    <row r="178" spans="2:29" ht="18.75" customHeight="1"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5"/>
    </row>
    <row r="179" spans="2:29" ht="18.75" customHeight="1"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5"/>
    </row>
    <row r="180" spans="2:29" ht="18.75" customHeight="1"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5"/>
    </row>
    <row r="181" spans="2:29" ht="18.75" customHeight="1"/>
    <row r="182" spans="2:29" ht="18.75" customHeight="1"/>
    <row r="183" spans="2:29" ht="18.75" customHeight="1"/>
    <row r="184" spans="2:29" ht="18.75" customHeight="1"/>
    <row r="185" spans="2:29" ht="18.75" customHeight="1"/>
    <row r="186" spans="2:29" ht="18.75" customHeight="1"/>
    <row r="187" spans="2:29" ht="18.75" customHeight="1"/>
    <row r="188" spans="2:29" ht="18.75" customHeight="1"/>
    <row r="189" spans="2:29" ht="18.75" customHeight="1"/>
    <row r="190" spans="2:29" ht="18.75" customHeight="1"/>
    <row r="191" spans="2:29" ht="18.75" customHeight="1"/>
    <row r="192" spans="2:29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</sheetData>
  <phoneticPr fontId="5"/>
  <dataValidations count="1">
    <dataValidation type="list" allowBlank="1" showErrorMessage="1" sqref="B7:AJ7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21</vt:i4>
      </vt:variant>
    </vt:vector>
  </HeadingPairs>
  <TitlesOfParts>
    <vt:vector size="21" baseType="lpstr">
      <vt:lpstr>SampleMB</vt:lpstr>
      <vt:lpstr>MonsterMB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QuestCategoryMB</vt:lpstr>
      <vt:lpstr>QuestMB</vt:lpstr>
      <vt:lpstr>QuestWaveMB</vt:lpstr>
      <vt:lpstr>QuestMonsterMB</vt:lpstr>
      <vt:lpstr>PieceMB</vt:lpstr>
      <vt:lpstr>PassiveSkillMB</vt:lpstr>
      <vt:lpstr>NormalSkillMB</vt:lpstr>
      <vt:lpstr>UltimateSkillMB</vt:lpstr>
      <vt:lpstr>SkillFxMB</vt:lpstr>
      <vt:lpstr>MissionMB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sangwoo kim</cp:lastModifiedBy>
  <dcterms:created xsi:type="dcterms:W3CDTF">2015-06-05T18:19:34Z</dcterms:created>
  <dcterms:modified xsi:type="dcterms:W3CDTF">2022-02-14T15:22:31Z</dcterms:modified>
</cp:coreProperties>
</file>