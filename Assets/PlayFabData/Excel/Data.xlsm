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FFCC9955-017B-4751-8688-31C4A8AE3609}" xr6:coauthVersionLast="47" xr6:coauthVersionMax="47" xr10:uidLastSave="{00000000-0000-0000-0000-000000000000}"/>
  <bookViews>
    <workbookView xWindow="-120" yWindow="-120" windowWidth="29040" windowHeight="15840" firstSheet="20" activeTab="26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K15" i="31" l="1"/>
  <c r="J15" i="31"/>
  <c r="I15" i="31"/>
  <c r="H15" i="31"/>
  <c r="K14" i="31"/>
  <c r="J14" i="31"/>
  <c r="I14" i="31"/>
  <c r="H14" i="31"/>
  <c r="G15" i="31"/>
  <c r="G14" i="31"/>
  <c r="N15" i="31"/>
  <c r="O15" i="31"/>
  <c r="M15" i="31"/>
  <c r="L15" i="31"/>
  <c r="F15" i="31" s="1"/>
  <c r="O14" i="31"/>
  <c r="N14" i="31"/>
  <c r="M14" i="31"/>
  <c r="L14" i="31"/>
  <c r="F14" i="31" s="1"/>
  <c r="E14" i="31"/>
  <c r="E15" i="31"/>
  <c r="D12" i="1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F19" i="31" l="1"/>
  <c r="E19" i="31"/>
  <c r="E18" i="31"/>
  <c r="F18" i="31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<sst xmlns="http://schemas.openxmlformats.org/spreadsheetml/2006/main" count="4629" uniqueCount="2024">
  <si>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</si>
  <si>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</si>
  <si>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</si>
  <si>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</si>
  <si>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</si>
  <si>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</si>
  <si>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</si>
  <si>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</si>
  <si>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</si>
  <si>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</si>
  <si>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</si>
  <si>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</si>
  <si>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</si>
  <si>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</si>
  <si>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</si>
  <si>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</si>
  <si>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</si>
  <si>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</si>
  <si>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</si>
  <si>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</si>
  <si>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</si>
  <si>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</si>
  <si>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</si>
  <si>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</si>
  <si>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</si>
  <si>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</si>
  <si>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</si>
  <si>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</si>
  <si>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</si>
  <si>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</si>
  <si>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</si>
  <si>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</si>
  <si>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</si>
  <si>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</si>
  <si>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</si>
  <si>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</si>
  <si>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</si>
  <si>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</si>
  <si>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</si>
  <si>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</si>
  <si>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</si>
  <si>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</si>
  <si>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</si>
  <si>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</si>
  <si>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</si>
  <si>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</si>
  <si>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</si>
  <si>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</si>
  <si>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</si>
  <si>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</si>
  <si>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</si>
  <si>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</si>
  <si>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</si>
  <si>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</si>
  <si>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</si>
  <si>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</si>
  <si>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</si>
  <si>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</si>
  <si>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</si>
  <si>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</si>
  <si>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</si>
  <si>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</si>
  <si>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</si>
  <si>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</si>
  <si>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</si>
  <si>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</si>
  <si>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</si>
  <si>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</si>
  <si>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</si>
  <si>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</si>
  <si>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</si>
  <si>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</si>
  <si>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</si>
  <si>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</si>
  <si>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</si>
  <si>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</si>
  <si>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</si>
  <si>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</si>
  <si>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</si>
  <si>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</si>
  <si>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</si>
  <si>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</si>
  <si>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</si>
  <si>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</si>
  <si>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</si>
  <si>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</si>
  <si>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</si>
  <si>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</si>
  <si>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</si>
  <si>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</si>
  <si>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</si>
  <si>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</si>
  <si>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</si>
  <si>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</si>
  <si>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</si>
  <si>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</si>
  <si>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</si>
  <si>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</si>
  <si>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</si>
  <si>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</si>
  <si>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</si>
  <si>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</si>
  <si>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</si>
  <si>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</si>
  <si>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</si>
  <si>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</si>
  <si>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</si>
  <si>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</si>
  <si>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</si>
  <si>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</si>
  <si>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</si>
  <si>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</si>
  <si>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</si>
  <si>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</si>
  <si>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</si>
  <si>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</si>
  <si>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</si>
  <si>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</si>
  <si>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</si>
  <si>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</si>
  <si>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</si>
  <si>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</si>
  <si>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</si>
  <si>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</si>
  <si>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</si>
  <si>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</si>
  <si>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</si>
  <si>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</si>
  <si>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</si>
  <si>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</si>
  <si>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</si>
  <si>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</si>
  <si>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</si>
  <si>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</si>
  <si>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</si>
  <si>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</si>
  <si>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</si>
  <si>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level1Attack</t>
    <phoneticPr fontId="5"/>
  </si>
  <si>
    <t>level1Hp</t>
    <phoneticPr fontId="5"/>
  </si>
  <si>
    <t>level1Heal</t>
    <phoneticPr fontId="5"/>
  </si>
  <si>
    <t>level100Hp</t>
    <phoneticPr fontId="5"/>
  </si>
  <si>
    <t>level100Attack</t>
    <phoneticPr fontId="5"/>
  </si>
  <si>
    <t>level100Heal</t>
    <phoneticPr fontId="5"/>
  </si>
  <si>
    <t>レベル100での体力</t>
    <rPh sb="0" eb="2">
      <t>ジテn</t>
    </rPh>
    <phoneticPr fontId="5"/>
  </si>
  <si>
    <t>レベル1での体力</t>
    <rPh sb="0" eb="2">
      <t>ジテn</t>
    </rPh>
    <phoneticPr fontId="5"/>
  </si>
  <si>
    <t>レベル1での攻撃力</t>
    <rPh sb="0" eb="2">
      <t>ジテn</t>
    </rPh>
    <phoneticPr fontId="5"/>
  </si>
  <si>
    <t>レベル1での回復力</t>
    <rPh sb="0" eb="2">
      <t>ジテn</t>
    </rPh>
    <phoneticPr fontId="5"/>
  </si>
  <si>
    <t>レベル100での攻撃力</t>
    <rPh sb="0" eb="2">
      <t>ジテn</t>
    </rPh>
    <phoneticPr fontId="5"/>
  </si>
  <si>
    <t>レベル100での回復力</t>
    <rPh sb="0" eb="2">
      <t>ジテn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</si>
  <si>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</si>
  <si>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</si>
  <si>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</si>
  <si>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</si>
  <si>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</si>
  <si>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</si>
  <si>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</si>
  <si>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</si>
  <si>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</si>
  <si>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</si>
  <si>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</si>
  <si>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</si>
  <si>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</si>
  <si>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</si>
  <si>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</si>
  <si>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</si>
  <si>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</si>
  <si>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</si>
  <si>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</si>
  <si>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</si>
  <si>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</si>
  <si>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firstRewardBundleId</t>
    <phoneticPr fontId="5"/>
  </si>
  <si>
    <t>dropBundleId</t>
    <phoneticPr fontId="5"/>
  </si>
  <si>
    <t>初回クリア報酬</t>
    <phoneticPr fontId="5"/>
  </si>
  <si>
    <t>ドロップバンドルID</t>
    <phoneticPr fontId="5"/>
  </si>
  <si>
    <t>QuestMonsterMB</t>
    <phoneticPr fontId="5"/>
  </si>
  <si>
    <t>monsterId</t>
    <phoneticPr fontId="5"/>
  </si>
  <si>
    <t>モンスターID</t>
    <phoneticPr fontId="5"/>
  </si>
  <si>
    <t>HP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</si>
  <si>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</si>
  <si>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</si>
  <si>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</si>
  <si>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</si>
  <si>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</si>
  <si>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</si>
  <si>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</si>
  <si>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</si>
  <si>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</si>
  <si>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</si>
  <si>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</si>
  <si>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</si>
  <si>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</si>
  <si>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</si>
  <si>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</si>
  <si>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</si>
  <si>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</si>
  <si>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</si>
  <si>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</si>
  <si>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</si>
  <si>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</si>
  <si>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</si>
  <si>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</si>
  <si>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</si>
  <si>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</si>
  <si>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</si>
  <si>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</si>
  <si>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</si>
  <si>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</si>
  <si>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</si>
  <si>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</si>
  <si>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</si>
  <si>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</si>
  <si>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</si>
  <si>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</si>
  <si>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</si>
  <si>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</si>
  <si>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</si>
  <si>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</si>
  <si>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</si>
  <si>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</si>
  <si>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</si>
  <si>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</si>
  <si>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</si>
  <si>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</si>
  <si>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</si>
  <si>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</si>
  <si>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</si>
  <si>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</si>
  <si>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</si>
  <si>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</si>
  <si>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</si>
  <si>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</si>
  <si>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</si>
  <si>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questWaveIdList</t>
  </si>
  <si>
    <t>クエストウェーブIDリスト</t>
    <phoneticPr fontId="5"/>
  </si>
  <si>
    <t>questMonsterIdList</t>
    <phoneticPr fontId="5"/>
  </si>
  <si>
    <t>level1Defense</t>
    <phoneticPr fontId="5"/>
  </si>
  <si>
    <t>level1Speed</t>
    <phoneticPr fontId="5"/>
  </si>
  <si>
    <t>レベル１での防御力</t>
    <rPh sb="6" eb="9">
      <t>ボウギョリョク</t>
    </rPh>
    <phoneticPr fontId="5"/>
  </si>
  <si>
    <t>レベル１でのスピード</t>
    <phoneticPr fontId="5"/>
  </si>
  <si>
    <t>level100Defense</t>
    <phoneticPr fontId="5"/>
  </si>
  <si>
    <t>level100Speed</t>
    <phoneticPr fontId="5"/>
  </si>
  <si>
    <t>レベル100での防御力</t>
    <rPh sb="8" eb="11">
      <t>ボウギョリョク</t>
    </rPh>
    <phoneticPr fontId="5"/>
  </si>
  <si>
    <t>レベル100でのスピード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</si>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</sst>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176" fontId="2" fillId="0" borderId="4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Z1000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5" width="12.625" style="37" customWidth="1"/>
    <col min="16" max="16" width="13.75" style="37" customWidth="1"/>
    <col min="17" max="17" width="14.375" style="37" customWidth="1"/>
    <col min="18" max="22" width="12.625" style="37" customWidth="1"/>
    <col min="23" max="29" width="14.75" style="37" customWidth="1"/>
    <col min="30" max="30" width="15.25" style="37" customWidth="1"/>
    <col min="31" max="31" width="17.5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14</v>
      </c>
    </row>
    <row r="3" spans="1:5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149</v>
      </c>
      <c r="E4" s="3" t="s">
        <v>1828</v>
      </c>
      <c r="F4" s="3" t="s">
        <v>1862</v>
      </c>
      <c r="G4" s="3" t="s">
        <v>23</v>
      </c>
      <c r="H4" s="3"/>
      <c r="I4" s="3" t="s">
        <v>2002</v>
      </c>
      <c r="J4" s="3" t="s">
        <v>2003</v>
      </c>
      <c r="K4" s="3" t="s">
        <v>2004</v>
      </c>
      <c r="L4" s="3" t="s">
        <v>2005</v>
      </c>
      <c r="M4" s="3" t="s">
        <v>138</v>
      </c>
      <c r="N4" s="3" t="s">
        <v>137</v>
      </c>
      <c r="O4" s="3" t="s">
        <v>139</v>
      </c>
      <c r="P4" s="3" t="s">
        <v>235</v>
      </c>
      <c r="Q4" s="3" t="s">
        <v>236</v>
      </c>
      <c r="R4" s="3" t="s">
        <v>140</v>
      </c>
      <c r="S4" s="3" t="s">
        <v>141</v>
      </c>
      <c r="T4" s="3" t="s">
        <v>142</v>
      </c>
      <c r="U4" s="3" t="s">
        <v>239</v>
      </c>
      <c r="V4" s="3" t="s">
        <v>240</v>
      </c>
      <c r="W4" s="3" t="s">
        <v>1802</v>
      </c>
      <c r="X4" s="3" t="s">
        <v>1803</v>
      </c>
      <c r="Y4" s="3" t="s">
        <v>1804</v>
      </c>
      <c r="Z4" s="3" t="s">
        <v>1808</v>
      </c>
      <c r="AA4" s="3" t="s">
        <v>1810</v>
      </c>
      <c r="AB4" s="3" t="s">
        <v>1811</v>
      </c>
      <c r="AC4" s="3" t="s">
        <v>1814</v>
      </c>
      <c r="AD4" s="3" t="s">
        <v>1818</v>
      </c>
      <c r="AE4" s="3" t="s">
        <v>1819</v>
      </c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9</v>
      </c>
      <c r="G7" s="4" t="s">
        <v>20</v>
      </c>
      <c r="H7" s="4" t="s">
        <v>7</v>
      </c>
      <c r="I7" s="4" t="s">
        <v>2006</v>
      </c>
      <c r="J7" s="4" t="s">
        <v>2006</v>
      </c>
      <c r="K7" s="4" t="s">
        <v>2006</v>
      </c>
      <c r="L7" s="4" t="s">
        <v>2006</v>
      </c>
      <c r="M7" s="4" t="s">
        <v>20</v>
      </c>
      <c r="N7" s="4" t="s">
        <v>20</v>
      </c>
      <c r="O7" s="4" t="s">
        <v>20</v>
      </c>
      <c r="P7" s="4" t="s">
        <v>20</v>
      </c>
      <c r="Q7" s="4" t="s">
        <v>20</v>
      </c>
      <c r="R7" s="4" t="s">
        <v>20</v>
      </c>
      <c r="S7" s="4" t="s">
        <v>20</v>
      </c>
      <c r="T7" s="4" t="s">
        <v>20</v>
      </c>
      <c r="U7" s="4" t="s">
        <v>20</v>
      </c>
      <c r="V7" s="4" t="s">
        <v>20</v>
      </c>
      <c r="W7" s="4" t="s">
        <v>20</v>
      </c>
      <c r="X7" s="4" t="s">
        <v>20</v>
      </c>
      <c r="Y7" s="4" t="s">
        <v>20</v>
      </c>
      <c r="Z7" s="4" t="s">
        <v>20</v>
      </c>
      <c r="AA7" s="4" t="s">
        <v>20</v>
      </c>
      <c r="AB7" s="4" t="s">
        <v>20</v>
      </c>
      <c r="AC7" s="4" t="s">
        <v>20</v>
      </c>
      <c r="AD7" s="4" t="s">
        <v>20</v>
      </c>
      <c r="AE7" s="4" t="s">
        <v>20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6" t="s">
        <v>11</v>
      </c>
      <c r="C8" s="6" t="s">
        <v>16</v>
      </c>
      <c r="D8" s="6" t="s">
        <v>1830</v>
      </c>
      <c r="E8" s="6" t="s">
        <v>1829</v>
      </c>
      <c r="F8" s="6" t="s">
        <v>1863</v>
      </c>
      <c r="G8" s="6" t="s">
        <v>21</v>
      </c>
      <c r="H8" s="6"/>
      <c r="I8" s="6" t="s">
        <v>2007</v>
      </c>
      <c r="J8" s="6" t="s">
        <v>2008</v>
      </c>
      <c r="K8" s="6" t="s">
        <v>2009</v>
      </c>
      <c r="L8" s="6" t="s">
        <v>2010</v>
      </c>
      <c r="M8" s="6" t="s">
        <v>144</v>
      </c>
      <c r="N8" s="6" t="s">
        <v>145</v>
      </c>
      <c r="O8" s="6" t="s">
        <v>146</v>
      </c>
      <c r="P8" s="6" t="s">
        <v>237</v>
      </c>
      <c r="Q8" s="6" t="s">
        <v>238</v>
      </c>
      <c r="R8" s="6" t="s">
        <v>143</v>
      </c>
      <c r="S8" s="6" t="s">
        <v>147</v>
      </c>
      <c r="T8" s="6" t="s">
        <v>148</v>
      </c>
      <c r="U8" s="6" t="s">
        <v>241</v>
      </c>
      <c r="V8" s="6" t="s">
        <v>242</v>
      </c>
      <c r="W8" s="6" t="s">
        <v>1805</v>
      </c>
      <c r="X8" s="6" t="s">
        <v>1806</v>
      </c>
      <c r="Y8" s="6" t="s">
        <v>1807</v>
      </c>
      <c r="Z8" s="6" t="s">
        <v>1809</v>
      </c>
      <c r="AA8" s="6" t="s">
        <v>1812</v>
      </c>
      <c r="AB8" s="6" t="s">
        <v>1813</v>
      </c>
      <c r="AC8" s="6" t="s">
        <v>1815</v>
      </c>
      <c r="AD8" s="6" t="s">
        <v>1816</v>
      </c>
      <c r="AE8" s="6" t="s">
        <v>1817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6"/>
      <c r="AQ8" s="6"/>
      <c r="AR8" s="5"/>
      <c r="AS8" s="5"/>
      <c r="AT8" s="5"/>
      <c r="AU8" s="5"/>
      <c r="AV8" s="5"/>
      <c r="AW8" s="5"/>
      <c r="AX8" s="5"/>
      <c r="AY8" s="5"/>
      <c r="AZ8" s="5"/>
    </row>
    <row r="9" spans="1:52" ht="132" customHeight="1">
      <c r="A9" s="57" t="s">
        <v>12</v>
      </c>
      <c r="B9" s="6"/>
      <c r="C9" s="6"/>
      <c r="D9" s="6" t="s">
        <v>150</v>
      </c>
      <c r="E9" s="6" t="s">
        <v>1831</v>
      </c>
      <c r="F9" s="6"/>
      <c r="G9" s="6" t="s">
        <v>24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6"/>
      <c r="AI9" s="6"/>
      <c r="AJ9" s="6"/>
      <c r="AK9" s="6"/>
      <c r="AL9" s="6"/>
      <c r="AM9" s="6"/>
      <c r="AN9" s="5"/>
      <c r="AO9" s="5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 ht="18.75" customHeight="1">
      <c r="A10" s="58" t="s">
        <v>13</v>
      </c>
      <c r="B10" s="7">
        <v>1</v>
      </c>
      <c r="C10" s="7" t="s">
        <v>610</v>
      </c>
      <c r="D10" s="7">
        <v>1</v>
      </c>
      <c r="E10" s="7">
        <v>2</v>
      </c>
      <c r="F10" s="7" t="b">
        <v>1</v>
      </c>
      <c r="G10" s="7">
        <v>1</v>
      </c>
      <c r="H10" s="7"/>
      <c r="I10" s="7">
        <v>80</v>
      </c>
      <c r="J10" s="7">
        <v>80</v>
      </c>
      <c r="K10" s="7">
        <v>80</v>
      </c>
      <c r="L10" s="7">
        <v>80</v>
      </c>
      <c r="M10" s="7">
        <v>120</v>
      </c>
      <c r="N10" s="7">
        <v>180</v>
      </c>
      <c r="O10" s="7">
        <v>80</v>
      </c>
      <c r="P10" s="7">
        <v>100</v>
      </c>
      <c r="Q10" s="7">
        <v>100</v>
      </c>
      <c r="R10" s="7">
        <v>2600</v>
      </c>
      <c r="S10" s="7">
        <v>3200</v>
      </c>
      <c r="T10" s="7">
        <v>1900</v>
      </c>
      <c r="U10" s="7">
        <v>2000</v>
      </c>
      <c r="V10" s="7">
        <v>2000</v>
      </c>
      <c r="W10" s="7">
        <v>100010001</v>
      </c>
      <c r="X10" s="7">
        <v>100010002</v>
      </c>
      <c r="Y10" s="7">
        <v>100010003</v>
      </c>
      <c r="Z10" s="7">
        <v>10001</v>
      </c>
      <c r="AA10" s="7">
        <v>10002</v>
      </c>
      <c r="AB10" s="7">
        <v>10003</v>
      </c>
      <c r="AC10" s="7">
        <v>10001</v>
      </c>
      <c r="AD10" s="7">
        <v>10002</v>
      </c>
      <c r="AE10" s="7">
        <v>10003</v>
      </c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 ht="18.75" customHeight="1">
      <c r="A11" s="8"/>
      <c r="B11" s="7">
        <v>2</v>
      </c>
      <c r="C11" s="7" t="s">
        <v>611</v>
      </c>
      <c r="D11" s="7">
        <v>2</v>
      </c>
      <c r="E11" s="7">
        <v>2</v>
      </c>
      <c r="F11" s="7" t="b">
        <v>1</v>
      </c>
      <c r="G11" s="7">
        <v>1</v>
      </c>
      <c r="H11" s="7"/>
      <c r="I11" s="7">
        <v>80</v>
      </c>
      <c r="J11" s="7">
        <v>80</v>
      </c>
      <c r="K11" s="7">
        <v>80</v>
      </c>
      <c r="L11" s="7">
        <v>80</v>
      </c>
      <c r="M11" s="7">
        <v>130</v>
      </c>
      <c r="N11" s="7">
        <v>120</v>
      </c>
      <c r="O11" s="7">
        <v>170</v>
      </c>
      <c r="P11" s="7">
        <v>100</v>
      </c>
      <c r="Q11" s="7">
        <v>120</v>
      </c>
      <c r="R11" s="7">
        <v>2800</v>
      </c>
      <c r="S11" s="7">
        <v>2600</v>
      </c>
      <c r="T11" s="7">
        <v>3100</v>
      </c>
      <c r="U11" s="7">
        <v>2000</v>
      </c>
      <c r="V11" s="7">
        <v>2600</v>
      </c>
      <c r="W11" s="7">
        <v>200010001</v>
      </c>
      <c r="X11" s="7">
        <v>200010002</v>
      </c>
      <c r="Y11" s="7">
        <v>200010003</v>
      </c>
      <c r="Z11" s="7">
        <v>20001</v>
      </c>
      <c r="AA11" s="7">
        <v>20002</v>
      </c>
      <c r="AB11" s="7">
        <v>20003</v>
      </c>
      <c r="AC11" s="7">
        <v>20001</v>
      </c>
      <c r="AD11" s="7">
        <v>20002</v>
      </c>
      <c r="AE11" s="7">
        <v>20003</v>
      </c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7">
        <v>3</v>
      </c>
      <c r="C12" s="7" t="s">
        <v>612</v>
      </c>
      <c r="D12" s="7">
        <v>3</v>
      </c>
      <c r="E12" s="7">
        <v>2</v>
      </c>
      <c r="F12" s="7" t="b">
        <v>1</v>
      </c>
      <c r="G12" s="7">
        <v>1</v>
      </c>
      <c r="H12" s="7"/>
      <c r="I12" s="7">
        <v>80</v>
      </c>
      <c r="J12" s="7">
        <v>80</v>
      </c>
      <c r="K12" s="7">
        <v>80</v>
      </c>
      <c r="L12" s="7">
        <v>80</v>
      </c>
      <c r="M12" s="7">
        <v>180</v>
      </c>
      <c r="N12" s="7">
        <v>140</v>
      </c>
      <c r="O12" s="7">
        <v>120</v>
      </c>
      <c r="P12" s="7">
        <v>100</v>
      </c>
      <c r="Q12" s="7">
        <v>80</v>
      </c>
      <c r="R12" s="7">
        <v>3200</v>
      </c>
      <c r="S12" s="7">
        <v>2700</v>
      </c>
      <c r="T12" s="7">
        <v>2600</v>
      </c>
      <c r="U12" s="7">
        <v>2000</v>
      </c>
      <c r="V12" s="7">
        <v>1500</v>
      </c>
      <c r="W12" s="7">
        <v>300010001</v>
      </c>
      <c r="X12" s="7">
        <v>300010002</v>
      </c>
      <c r="Y12" s="7">
        <v>300010003</v>
      </c>
      <c r="Z12" s="7">
        <v>30001</v>
      </c>
      <c r="AA12" s="7">
        <v>30002</v>
      </c>
      <c r="AB12" s="7">
        <v>30003</v>
      </c>
      <c r="AC12" s="7">
        <v>30001</v>
      </c>
      <c r="AD12" s="7">
        <v>30002</v>
      </c>
      <c r="AE12" s="7">
        <v>30003</v>
      </c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4</v>
      </c>
      <c r="C13" s="7" t="s">
        <v>613</v>
      </c>
      <c r="D13" s="7">
        <v>4</v>
      </c>
      <c r="E13" s="7">
        <v>2</v>
      </c>
      <c r="F13" s="7" t="b">
        <v>1</v>
      </c>
      <c r="G13" s="7">
        <v>1</v>
      </c>
      <c r="H13" s="7"/>
      <c r="I13" s="7">
        <v>80</v>
      </c>
      <c r="J13" s="7">
        <v>80</v>
      </c>
      <c r="K13" s="7">
        <v>80</v>
      </c>
      <c r="L13" s="7">
        <v>80</v>
      </c>
      <c r="M13" s="7">
        <v>160</v>
      </c>
      <c r="N13" s="7">
        <v>180</v>
      </c>
      <c r="O13" s="7">
        <v>100</v>
      </c>
      <c r="P13" s="7">
        <v>100</v>
      </c>
      <c r="Q13" s="7">
        <v>100</v>
      </c>
      <c r="R13" s="7">
        <v>3000</v>
      </c>
      <c r="S13" s="7">
        <v>3200</v>
      </c>
      <c r="T13" s="7">
        <v>2400</v>
      </c>
      <c r="U13" s="7">
        <v>2000</v>
      </c>
      <c r="V13" s="7">
        <v>2600</v>
      </c>
      <c r="W13" s="7">
        <v>400010001</v>
      </c>
      <c r="X13" s="7">
        <v>400010002</v>
      </c>
      <c r="Y13" s="7">
        <v>400010003</v>
      </c>
      <c r="Z13" s="7">
        <v>40001</v>
      </c>
      <c r="AA13" s="7">
        <v>40002</v>
      </c>
      <c r="AB13" s="7">
        <v>40003</v>
      </c>
      <c r="AC13" s="7">
        <v>40001</v>
      </c>
      <c r="AD13" s="7">
        <v>40002</v>
      </c>
      <c r="AE13" s="7">
        <v>40003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5</v>
      </c>
      <c r="C14" s="7" t="s">
        <v>614</v>
      </c>
      <c r="D14" s="7">
        <v>5</v>
      </c>
      <c r="E14" s="7">
        <v>2</v>
      </c>
      <c r="F14" s="7" t="b">
        <v>1</v>
      </c>
      <c r="G14" s="7">
        <v>1</v>
      </c>
      <c r="H14" s="7"/>
      <c r="I14" s="7">
        <v>80</v>
      </c>
      <c r="J14" s="7">
        <v>80</v>
      </c>
      <c r="K14" s="7">
        <v>80</v>
      </c>
      <c r="L14" s="7">
        <v>80</v>
      </c>
      <c r="M14" s="7">
        <v>150</v>
      </c>
      <c r="N14" s="7">
        <v>140</v>
      </c>
      <c r="O14" s="7">
        <v>180</v>
      </c>
      <c r="P14" s="7">
        <v>100</v>
      </c>
      <c r="Q14" s="7">
        <v>100</v>
      </c>
      <c r="R14" s="7">
        <v>2900</v>
      </c>
      <c r="S14" s="7">
        <v>2700</v>
      </c>
      <c r="T14" s="7">
        <v>3200</v>
      </c>
      <c r="U14" s="7">
        <v>2000</v>
      </c>
      <c r="V14" s="7">
        <v>2200</v>
      </c>
      <c r="W14" s="7">
        <v>500010001</v>
      </c>
      <c r="X14" s="7">
        <v>500010002</v>
      </c>
      <c r="Y14" s="7">
        <v>500010003</v>
      </c>
      <c r="Z14" s="7">
        <v>50001</v>
      </c>
      <c r="AA14" s="7">
        <v>50002</v>
      </c>
      <c r="AB14" s="7">
        <v>50003</v>
      </c>
      <c r="AC14" s="7">
        <v>50001</v>
      </c>
      <c r="AD14" s="7">
        <v>50002</v>
      </c>
      <c r="AE14" s="7">
        <v>50003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6</v>
      </c>
      <c r="C15" s="7" t="s">
        <v>615</v>
      </c>
      <c r="D15" s="7">
        <v>1</v>
      </c>
      <c r="E15" s="7">
        <v>2</v>
      </c>
      <c r="F15" s="7" t="b">
        <v>1</v>
      </c>
      <c r="G15" s="7">
        <v>1</v>
      </c>
      <c r="H15" s="7"/>
      <c r="I15" s="7">
        <v>80</v>
      </c>
      <c r="J15" s="7">
        <v>80</v>
      </c>
      <c r="K15" s="7">
        <v>80</v>
      </c>
      <c r="L15" s="7">
        <v>80</v>
      </c>
      <c r="M15" s="7">
        <v>200</v>
      </c>
      <c r="N15" s="7">
        <v>180</v>
      </c>
      <c r="O15" s="7">
        <v>150</v>
      </c>
      <c r="P15" s="7">
        <v>100</v>
      </c>
      <c r="Q15" s="7">
        <v>60</v>
      </c>
      <c r="R15" s="7">
        <v>3400</v>
      </c>
      <c r="S15" s="7">
        <v>3200</v>
      </c>
      <c r="T15" s="7">
        <v>2900</v>
      </c>
      <c r="U15" s="7">
        <v>2000</v>
      </c>
      <c r="V15" s="7">
        <v>1200</v>
      </c>
      <c r="W15" s="7">
        <v>600010001</v>
      </c>
      <c r="X15" s="7">
        <v>600010002</v>
      </c>
      <c r="Y15" s="7">
        <v>600010003</v>
      </c>
      <c r="Z15" s="7">
        <v>60001</v>
      </c>
      <c r="AA15" s="7">
        <v>60002</v>
      </c>
      <c r="AB15" s="7">
        <v>60003</v>
      </c>
      <c r="AC15" s="7">
        <v>60001</v>
      </c>
      <c r="AD15" s="7">
        <v>60002</v>
      </c>
      <c r="AE15" s="7">
        <v>60003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7</v>
      </c>
      <c r="C16" s="7" t="s">
        <v>616</v>
      </c>
      <c r="D16" s="7">
        <v>2</v>
      </c>
      <c r="E16" s="7">
        <v>2</v>
      </c>
      <c r="F16" s="7" t="b">
        <v>1</v>
      </c>
      <c r="G16" s="7">
        <v>1</v>
      </c>
      <c r="H16" s="7"/>
      <c r="I16" s="7">
        <v>80</v>
      </c>
      <c r="J16" s="7">
        <v>80</v>
      </c>
      <c r="K16" s="7">
        <v>80</v>
      </c>
      <c r="L16" s="7">
        <v>80</v>
      </c>
      <c r="M16" s="7">
        <v>120</v>
      </c>
      <c r="N16" s="7">
        <v>180</v>
      </c>
      <c r="O16" s="7">
        <v>80</v>
      </c>
      <c r="P16" s="7">
        <v>100</v>
      </c>
      <c r="Q16" s="7">
        <v>100</v>
      </c>
      <c r="R16" s="7">
        <v>2600</v>
      </c>
      <c r="S16" s="7">
        <v>3200</v>
      </c>
      <c r="T16" s="7">
        <v>1900</v>
      </c>
      <c r="U16" s="7">
        <v>2000</v>
      </c>
      <c r="V16" s="7">
        <v>2000</v>
      </c>
      <c r="W16" s="7">
        <v>700010001</v>
      </c>
      <c r="X16" s="7">
        <v>700010002</v>
      </c>
      <c r="Y16" s="7">
        <v>700010003</v>
      </c>
      <c r="Z16" s="7">
        <v>70001</v>
      </c>
      <c r="AA16" s="7">
        <v>70002</v>
      </c>
      <c r="AB16" s="7">
        <v>70003</v>
      </c>
      <c r="AC16" s="7">
        <v>70001</v>
      </c>
      <c r="AD16" s="7">
        <v>70002</v>
      </c>
      <c r="AE16" s="7">
        <v>70003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7">
        <v>8</v>
      </c>
      <c r="C17" s="7" t="s">
        <v>617</v>
      </c>
      <c r="D17" s="7">
        <v>3</v>
      </c>
      <c r="E17" s="7">
        <v>2</v>
      </c>
      <c r="F17" s="7" t="b">
        <v>1</v>
      </c>
      <c r="G17" s="7">
        <v>1</v>
      </c>
      <c r="H17" s="7"/>
      <c r="I17" s="7">
        <v>80</v>
      </c>
      <c r="J17" s="7">
        <v>80</v>
      </c>
      <c r="K17" s="7">
        <v>80</v>
      </c>
      <c r="L17" s="7">
        <v>80</v>
      </c>
      <c r="M17" s="7">
        <v>130</v>
      </c>
      <c r="N17" s="7">
        <v>120</v>
      </c>
      <c r="O17" s="7">
        <v>170</v>
      </c>
      <c r="P17" s="7">
        <v>100</v>
      </c>
      <c r="Q17" s="7">
        <v>80</v>
      </c>
      <c r="R17" s="7">
        <v>2800</v>
      </c>
      <c r="S17" s="7">
        <v>2600</v>
      </c>
      <c r="T17" s="7">
        <v>3100</v>
      </c>
      <c r="U17" s="7">
        <v>2000</v>
      </c>
      <c r="V17" s="7">
        <v>1600</v>
      </c>
      <c r="W17" s="7">
        <v>800010001</v>
      </c>
      <c r="X17" s="7">
        <v>800010002</v>
      </c>
      <c r="Y17" s="7">
        <v>800010003</v>
      </c>
      <c r="Z17" s="7">
        <v>80001</v>
      </c>
      <c r="AA17" s="7">
        <v>80002</v>
      </c>
      <c r="AB17" s="7">
        <v>80003</v>
      </c>
      <c r="AC17" s="7">
        <v>80001</v>
      </c>
      <c r="AD17" s="7">
        <v>80002</v>
      </c>
      <c r="AE17" s="7">
        <v>80003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7">
        <v>9</v>
      </c>
      <c r="C18" s="7" t="s">
        <v>618</v>
      </c>
      <c r="D18" s="7">
        <v>4</v>
      </c>
      <c r="E18" s="7">
        <v>2</v>
      </c>
      <c r="F18" s="7" t="b">
        <v>1</v>
      </c>
      <c r="G18" s="7">
        <v>1</v>
      </c>
      <c r="H18" s="7"/>
      <c r="I18" s="7">
        <v>80</v>
      </c>
      <c r="J18" s="7">
        <v>80</v>
      </c>
      <c r="K18" s="7">
        <v>80</v>
      </c>
      <c r="L18" s="7">
        <v>80</v>
      </c>
      <c r="M18" s="7">
        <v>180</v>
      </c>
      <c r="N18" s="7">
        <v>140</v>
      </c>
      <c r="O18" s="7">
        <v>120</v>
      </c>
      <c r="P18" s="7">
        <v>100</v>
      </c>
      <c r="Q18" s="7">
        <v>60</v>
      </c>
      <c r="R18" s="7">
        <v>3200</v>
      </c>
      <c r="S18" s="7">
        <v>2700</v>
      </c>
      <c r="T18" s="7">
        <v>2600</v>
      </c>
      <c r="U18" s="7">
        <v>2000</v>
      </c>
      <c r="V18" s="7">
        <v>1400</v>
      </c>
      <c r="W18" s="7">
        <v>900010001</v>
      </c>
      <c r="X18" s="7">
        <v>900010002</v>
      </c>
      <c r="Y18" s="7">
        <v>900010003</v>
      </c>
      <c r="Z18" s="7">
        <v>90001</v>
      </c>
      <c r="AA18" s="7">
        <v>90002</v>
      </c>
      <c r="AB18" s="7">
        <v>90003</v>
      </c>
      <c r="AC18" s="7">
        <v>90001</v>
      </c>
      <c r="AD18" s="7">
        <v>90002</v>
      </c>
      <c r="AE18" s="7">
        <v>90003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10</v>
      </c>
      <c r="C19" s="7" t="s">
        <v>619</v>
      </c>
      <c r="D19" s="10">
        <v>5</v>
      </c>
      <c r="E19" s="7">
        <v>2</v>
      </c>
      <c r="F19" s="7" t="b">
        <v>1</v>
      </c>
      <c r="G19" s="7">
        <v>1</v>
      </c>
      <c r="H19" s="7"/>
      <c r="I19" s="7">
        <v>80</v>
      </c>
      <c r="J19" s="7">
        <v>80</v>
      </c>
      <c r="K19" s="7">
        <v>80</v>
      </c>
      <c r="L19" s="7">
        <v>80</v>
      </c>
      <c r="M19" s="7">
        <v>160</v>
      </c>
      <c r="N19" s="7">
        <v>180</v>
      </c>
      <c r="O19" s="7">
        <v>100</v>
      </c>
      <c r="P19" s="7">
        <v>100</v>
      </c>
      <c r="Q19" s="7">
        <v>100</v>
      </c>
      <c r="R19" s="7">
        <v>3000</v>
      </c>
      <c r="S19" s="7">
        <v>3200</v>
      </c>
      <c r="T19" s="7">
        <v>2400</v>
      </c>
      <c r="U19" s="7">
        <v>2000</v>
      </c>
      <c r="V19" s="7">
        <v>2000</v>
      </c>
      <c r="W19" s="7">
        <v>1000010001</v>
      </c>
      <c r="X19" s="7">
        <v>1000010002</v>
      </c>
      <c r="Y19" s="7">
        <v>1000010003</v>
      </c>
      <c r="Z19" s="7">
        <v>100001</v>
      </c>
      <c r="AA19" s="7">
        <v>100002</v>
      </c>
      <c r="AB19" s="7">
        <v>100003</v>
      </c>
      <c r="AC19" s="7">
        <v>100001</v>
      </c>
      <c r="AD19" s="7">
        <v>100002</v>
      </c>
      <c r="AE19" s="7">
        <v>100003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11</v>
      </c>
      <c r="C20" s="7" t="s">
        <v>620</v>
      </c>
      <c r="D20" s="7">
        <v>1</v>
      </c>
      <c r="E20" s="7">
        <v>3</v>
      </c>
      <c r="F20" s="7" t="b">
        <v>1</v>
      </c>
      <c r="G20" s="7">
        <v>1</v>
      </c>
      <c r="H20" s="7"/>
      <c r="I20" s="7">
        <v>80</v>
      </c>
      <c r="J20" s="7">
        <v>80</v>
      </c>
      <c r="K20" s="7">
        <v>80</v>
      </c>
      <c r="L20" s="7">
        <v>80</v>
      </c>
      <c r="M20" s="7">
        <v>150</v>
      </c>
      <c r="N20" s="7">
        <v>140</v>
      </c>
      <c r="O20" s="7">
        <v>180</v>
      </c>
      <c r="P20" s="7">
        <v>100</v>
      </c>
      <c r="Q20" s="7">
        <v>120</v>
      </c>
      <c r="R20" s="7">
        <v>2900</v>
      </c>
      <c r="S20" s="7">
        <v>2700</v>
      </c>
      <c r="T20" s="7">
        <v>3200</v>
      </c>
      <c r="U20" s="7">
        <v>2000</v>
      </c>
      <c r="V20" s="7">
        <v>2500</v>
      </c>
      <c r="W20" s="7">
        <v>1100010001</v>
      </c>
      <c r="X20" s="7">
        <v>1100010002</v>
      </c>
      <c r="Y20" s="7">
        <v>1100010003</v>
      </c>
      <c r="Z20" s="7">
        <v>110001</v>
      </c>
      <c r="AA20" s="7">
        <v>110002</v>
      </c>
      <c r="AB20" s="7">
        <v>110003</v>
      </c>
      <c r="AC20" s="7">
        <v>110001</v>
      </c>
      <c r="AD20" s="7">
        <v>110002</v>
      </c>
      <c r="AE20" s="7">
        <v>110003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12</v>
      </c>
      <c r="C21" s="7" t="s">
        <v>621</v>
      </c>
      <c r="D21" s="7">
        <v>2</v>
      </c>
      <c r="E21" s="7">
        <v>3</v>
      </c>
      <c r="F21" s="7" t="b">
        <v>1</v>
      </c>
      <c r="G21" s="7">
        <v>1</v>
      </c>
      <c r="H21" s="7"/>
      <c r="I21" s="7">
        <v>80</v>
      </c>
      <c r="J21" s="7">
        <v>80</v>
      </c>
      <c r="K21" s="7">
        <v>80</v>
      </c>
      <c r="L21" s="7">
        <v>80</v>
      </c>
      <c r="M21" s="7">
        <v>200</v>
      </c>
      <c r="N21" s="7">
        <v>180</v>
      </c>
      <c r="O21" s="7">
        <v>150</v>
      </c>
      <c r="P21" s="7">
        <v>100</v>
      </c>
      <c r="Q21" s="7">
        <v>140</v>
      </c>
      <c r="R21" s="7">
        <v>3400</v>
      </c>
      <c r="S21" s="7">
        <v>3200</v>
      </c>
      <c r="T21" s="7">
        <v>2900</v>
      </c>
      <c r="U21" s="7">
        <v>2000</v>
      </c>
      <c r="V21" s="7">
        <v>2000</v>
      </c>
      <c r="W21" s="7">
        <v>1200010001</v>
      </c>
      <c r="X21" s="7">
        <v>1200010002</v>
      </c>
      <c r="Y21" s="7">
        <v>1200010003</v>
      </c>
      <c r="Z21" s="7">
        <v>120001</v>
      </c>
      <c r="AA21" s="7">
        <v>120002</v>
      </c>
      <c r="AB21" s="7">
        <v>120003</v>
      </c>
      <c r="AC21" s="7">
        <v>120001</v>
      </c>
      <c r="AD21" s="7">
        <v>120002</v>
      </c>
      <c r="AE21" s="7">
        <v>120003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13</v>
      </c>
      <c r="C22" s="7" t="s">
        <v>622</v>
      </c>
      <c r="D22" s="7">
        <v>3</v>
      </c>
      <c r="E22" s="7">
        <v>3</v>
      </c>
      <c r="F22" s="7" t="b">
        <v>1</v>
      </c>
      <c r="G22" s="7">
        <v>1</v>
      </c>
      <c r="H22" s="7"/>
      <c r="I22" s="7">
        <v>80</v>
      </c>
      <c r="J22" s="7">
        <v>80</v>
      </c>
      <c r="K22" s="7">
        <v>80</v>
      </c>
      <c r="L22" s="7">
        <v>80</v>
      </c>
      <c r="M22" s="7">
        <v>120</v>
      </c>
      <c r="N22" s="7">
        <v>180</v>
      </c>
      <c r="O22" s="7">
        <v>80</v>
      </c>
      <c r="P22" s="7">
        <v>100</v>
      </c>
      <c r="Q22" s="7">
        <v>160</v>
      </c>
      <c r="R22" s="7">
        <v>2600</v>
      </c>
      <c r="S22" s="7">
        <v>3200</v>
      </c>
      <c r="T22" s="7">
        <v>1900</v>
      </c>
      <c r="U22" s="7">
        <v>2000</v>
      </c>
      <c r="V22" s="7">
        <v>2200</v>
      </c>
      <c r="W22" s="7">
        <v>1300010001</v>
      </c>
      <c r="X22" s="7">
        <v>1300010002</v>
      </c>
      <c r="Y22" s="7">
        <v>1300010003</v>
      </c>
      <c r="Z22" s="7">
        <v>130001</v>
      </c>
      <c r="AA22" s="7">
        <v>130002</v>
      </c>
      <c r="AB22" s="7">
        <v>130003</v>
      </c>
      <c r="AC22" s="7">
        <v>130001</v>
      </c>
      <c r="AD22" s="7">
        <v>130002</v>
      </c>
      <c r="AE22" s="7">
        <v>130003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7">
        <v>14</v>
      </c>
      <c r="C23" s="7" t="s">
        <v>623</v>
      </c>
      <c r="D23" s="7">
        <v>4</v>
      </c>
      <c r="E23" s="7">
        <v>3</v>
      </c>
      <c r="F23" s="7" t="b">
        <v>1</v>
      </c>
      <c r="G23" s="7">
        <v>1</v>
      </c>
      <c r="H23" s="7"/>
      <c r="I23" s="7">
        <v>80</v>
      </c>
      <c r="J23" s="7">
        <v>80</v>
      </c>
      <c r="K23" s="7">
        <v>80</v>
      </c>
      <c r="L23" s="7">
        <v>80</v>
      </c>
      <c r="M23" s="7">
        <v>130</v>
      </c>
      <c r="N23" s="7">
        <v>120</v>
      </c>
      <c r="O23" s="7">
        <v>170</v>
      </c>
      <c r="P23" s="7">
        <v>100</v>
      </c>
      <c r="Q23" s="7">
        <v>130</v>
      </c>
      <c r="R23" s="7">
        <v>2800</v>
      </c>
      <c r="S23" s="7">
        <v>2600</v>
      </c>
      <c r="T23" s="7">
        <v>3100</v>
      </c>
      <c r="U23" s="7">
        <v>2000</v>
      </c>
      <c r="V23" s="7">
        <v>2900</v>
      </c>
      <c r="W23" s="7">
        <v>1400010001</v>
      </c>
      <c r="X23" s="7">
        <v>1400010002</v>
      </c>
      <c r="Y23" s="7">
        <v>1400010003</v>
      </c>
      <c r="Z23" s="7">
        <v>140001</v>
      </c>
      <c r="AA23" s="7">
        <v>140002</v>
      </c>
      <c r="AB23" s="7">
        <v>140003</v>
      </c>
      <c r="AC23" s="7">
        <v>140001</v>
      </c>
      <c r="AD23" s="7">
        <v>140002</v>
      </c>
      <c r="AE23" s="7">
        <v>140003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7">
        <v>15</v>
      </c>
      <c r="C24" s="7" t="s">
        <v>624</v>
      </c>
      <c r="D24" s="10">
        <v>5</v>
      </c>
      <c r="E24" s="7">
        <v>3</v>
      </c>
      <c r="F24" s="7" t="b">
        <v>1</v>
      </c>
      <c r="G24" s="7">
        <v>1</v>
      </c>
      <c r="H24" s="7"/>
      <c r="I24" s="7">
        <v>80</v>
      </c>
      <c r="J24" s="7">
        <v>80</v>
      </c>
      <c r="K24" s="7">
        <v>80</v>
      </c>
      <c r="L24" s="7">
        <v>80</v>
      </c>
      <c r="M24" s="7">
        <v>180</v>
      </c>
      <c r="N24" s="7">
        <v>140</v>
      </c>
      <c r="O24" s="7">
        <v>120</v>
      </c>
      <c r="P24" s="7">
        <v>100</v>
      </c>
      <c r="Q24" s="7">
        <v>100</v>
      </c>
      <c r="R24" s="7">
        <v>3200</v>
      </c>
      <c r="S24" s="7">
        <v>2700</v>
      </c>
      <c r="T24" s="7">
        <v>2600</v>
      </c>
      <c r="U24" s="7">
        <v>2000</v>
      </c>
      <c r="V24" s="7">
        <v>2300</v>
      </c>
      <c r="W24" s="7">
        <v>1500010001</v>
      </c>
      <c r="X24" s="7">
        <v>1500010002</v>
      </c>
      <c r="Y24" s="7">
        <v>1500010003</v>
      </c>
      <c r="Z24" s="7">
        <v>150001</v>
      </c>
      <c r="AA24" s="7">
        <v>150002</v>
      </c>
      <c r="AB24" s="7">
        <v>150003</v>
      </c>
      <c r="AC24" s="7">
        <v>150001</v>
      </c>
      <c r="AD24" s="7">
        <v>150002</v>
      </c>
      <c r="AE24" s="7">
        <v>150003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16</v>
      </c>
      <c r="C25" s="7" t="s">
        <v>625</v>
      </c>
      <c r="D25" s="7">
        <v>1</v>
      </c>
      <c r="E25" s="7">
        <v>3</v>
      </c>
      <c r="F25" s="7" t="b">
        <v>1</v>
      </c>
      <c r="G25" s="7">
        <v>1</v>
      </c>
      <c r="H25" s="7"/>
      <c r="I25" s="7">
        <v>80</v>
      </c>
      <c r="J25" s="7">
        <v>80</v>
      </c>
      <c r="K25" s="7">
        <v>80</v>
      </c>
      <c r="L25" s="7">
        <v>80</v>
      </c>
      <c r="M25" s="7">
        <v>160</v>
      </c>
      <c r="N25" s="7">
        <v>180</v>
      </c>
      <c r="O25" s="7">
        <v>100</v>
      </c>
      <c r="P25" s="7">
        <v>100</v>
      </c>
      <c r="Q25" s="7">
        <v>60</v>
      </c>
      <c r="R25" s="7">
        <v>3000</v>
      </c>
      <c r="S25" s="7">
        <v>3200</v>
      </c>
      <c r="T25" s="7">
        <v>2400</v>
      </c>
      <c r="U25" s="7">
        <v>2000</v>
      </c>
      <c r="V25" s="7">
        <v>2400</v>
      </c>
      <c r="W25" s="7">
        <v>1600010001</v>
      </c>
      <c r="X25" s="7">
        <v>1600010002</v>
      </c>
      <c r="Y25" s="7">
        <v>1600010003</v>
      </c>
      <c r="Z25" s="7">
        <v>160001</v>
      </c>
      <c r="AA25" s="7">
        <v>160002</v>
      </c>
      <c r="AB25" s="7">
        <v>160003</v>
      </c>
      <c r="AC25" s="7">
        <v>160001</v>
      </c>
      <c r="AD25" s="7">
        <v>160002</v>
      </c>
      <c r="AE25" s="7">
        <v>160003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17</v>
      </c>
      <c r="C26" s="7" t="s">
        <v>626</v>
      </c>
      <c r="D26" s="7">
        <v>2</v>
      </c>
      <c r="E26" s="7">
        <v>3</v>
      </c>
      <c r="F26" s="7" t="b">
        <v>1</v>
      </c>
      <c r="G26" s="7">
        <v>1</v>
      </c>
      <c r="H26" s="7"/>
      <c r="I26" s="7">
        <v>80</v>
      </c>
      <c r="J26" s="7">
        <v>80</v>
      </c>
      <c r="K26" s="7">
        <v>80</v>
      </c>
      <c r="L26" s="7">
        <v>80</v>
      </c>
      <c r="M26" s="7">
        <v>150</v>
      </c>
      <c r="N26" s="7">
        <v>140</v>
      </c>
      <c r="O26" s="7">
        <v>180</v>
      </c>
      <c r="P26" s="7">
        <v>100</v>
      </c>
      <c r="Q26" s="7">
        <v>120</v>
      </c>
      <c r="R26" s="7">
        <v>2900</v>
      </c>
      <c r="S26" s="7">
        <v>2700</v>
      </c>
      <c r="T26" s="7">
        <v>3200</v>
      </c>
      <c r="U26" s="7">
        <v>2000</v>
      </c>
      <c r="V26" s="7">
        <v>1200</v>
      </c>
      <c r="W26" s="7">
        <v>1700010001</v>
      </c>
      <c r="X26" s="7">
        <v>1700010002</v>
      </c>
      <c r="Y26" s="7">
        <v>1700010003</v>
      </c>
      <c r="Z26" s="7">
        <v>170001</v>
      </c>
      <c r="AA26" s="7">
        <v>170002</v>
      </c>
      <c r="AB26" s="7">
        <v>170003</v>
      </c>
      <c r="AC26" s="7">
        <v>170001</v>
      </c>
      <c r="AD26" s="7">
        <v>170002</v>
      </c>
      <c r="AE26" s="7">
        <v>170003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18</v>
      </c>
      <c r="C27" s="7" t="s">
        <v>627</v>
      </c>
      <c r="D27" s="7">
        <v>3</v>
      </c>
      <c r="E27" s="7">
        <v>3</v>
      </c>
      <c r="F27" s="7" t="b">
        <v>1</v>
      </c>
      <c r="G27" s="7">
        <v>1</v>
      </c>
      <c r="H27" s="7"/>
      <c r="I27" s="7">
        <v>80</v>
      </c>
      <c r="J27" s="7">
        <v>80</v>
      </c>
      <c r="K27" s="7">
        <v>80</v>
      </c>
      <c r="L27" s="7">
        <v>80</v>
      </c>
      <c r="M27" s="7">
        <v>200</v>
      </c>
      <c r="N27" s="7">
        <v>180</v>
      </c>
      <c r="O27" s="7">
        <v>150</v>
      </c>
      <c r="P27" s="7">
        <v>100</v>
      </c>
      <c r="Q27" s="7">
        <v>100</v>
      </c>
      <c r="R27" s="7">
        <v>3400</v>
      </c>
      <c r="S27" s="7">
        <v>3200</v>
      </c>
      <c r="T27" s="7">
        <v>2900</v>
      </c>
      <c r="U27" s="7">
        <v>2000</v>
      </c>
      <c r="V27" s="7">
        <v>2800</v>
      </c>
      <c r="W27" s="7">
        <v>1800010001</v>
      </c>
      <c r="X27" s="7">
        <v>1800010002</v>
      </c>
      <c r="Y27" s="7">
        <v>1800010003</v>
      </c>
      <c r="Z27" s="7">
        <v>180001</v>
      </c>
      <c r="AA27" s="7">
        <v>180002</v>
      </c>
      <c r="AB27" s="7">
        <v>180003</v>
      </c>
      <c r="AC27" s="7">
        <v>180001</v>
      </c>
      <c r="AD27" s="7">
        <v>180002</v>
      </c>
      <c r="AE27" s="7">
        <v>180003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19</v>
      </c>
      <c r="C28" s="7" t="s">
        <v>628</v>
      </c>
      <c r="D28" s="7">
        <v>4</v>
      </c>
      <c r="E28" s="7">
        <v>3</v>
      </c>
      <c r="F28" s="7" t="b">
        <v>1</v>
      </c>
      <c r="G28" s="7">
        <v>1</v>
      </c>
      <c r="H28" s="7"/>
      <c r="I28" s="7">
        <v>80</v>
      </c>
      <c r="J28" s="7">
        <v>80</v>
      </c>
      <c r="K28" s="7">
        <v>80</v>
      </c>
      <c r="L28" s="7">
        <v>80</v>
      </c>
      <c r="M28" s="7">
        <v>150</v>
      </c>
      <c r="N28" s="7">
        <v>140</v>
      </c>
      <c r="O28" s="7">
        <v>180</v>
      </c>
      <c r="P28" s="7">
        <v>100</v>
      </c>
      <c r="Q28" s="7">
        <v>100</v>
      </c>
      <c r="R28" s="7">
        <v>2900</v>
      </c>
      <c r="S28" s="7">
        <v>2700</v>
      </c>
      <c r="T28" s="7">
        <v>3200</v>
      </c>
      <c r="U28" s="7">
        <v>2000</v>
      </c>
      <c r="V28" s="7">
        <v>2300</v>
      </c>
      <c r="W28" s="7">
        <v>1900010001</v>
      </c>
      <c r="X28" s="7">
        <v>1900010002</v>
      </c>
      <c r="Y28" s="7">
        <v>1900010003</v>
      </c>
      <c r="Z28" s="7">
        <v>190001</v>
      </c>
      <c r="AA28" s="7">
        <v>190002</v>
      </c>
      <c r="AB28" s="7">
        <v>190003</v>
      </c>
      <c r="AC28" s="7">
        <v>190001</v>
      </c>
      <c r="AD28" s="7">
        <v>190002</v>
      </c>
      <c r="AE28" s="7">
        <v>190003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20</v>
      </c>
      <c r="C29" s="7" t="s">
        <v>629</v>
      </c>
      <c r="D29" s="10">
        <v>5</v>
      </c>
      <c r="E29" s="7">
        <v>3</v>
      </c>
      <c r="F29" s="7" t="b">
        <v>1</v>
      </c>
      <c r="G29" s="7">
        <v>1</v>
      </c>
      <c r="H29" s="7"/>
      <c r="I29" s="7">
        <v>80</v>
      </c>
      <c r="J29" s="7">
        <v>80</v>
      </c>
      <c r="K29" s="7">
        <v>80</v>
      </c>
      <c r="L29" s="7">
        <v>80</v>
      </c>
      <c r="M29" s="7">
        <v>200</v>
      </c>
      <c r="N29" s="7">
        <v>180</v>
      </c>
      <c r="O29" s="7">
        <v>150</v>
      </c>
      <c r="P29" s="7">
        <v>100</v>
      </c>
      <c r="Q29" s="7">
        <v>120</v>
      </c>
      <c r="R29" s="7">
        <v>3400</v>
      </c>
      <c r="S29" s="7">
        <v>3200</v>
      </c>
      <c r="T29" s="7">
        <v>2900</v>
      </c>
      <c r="U29" s="7">
        <v>2000</v>
      </c>
      <c r="V29" s="7">
        <v>2600</v>
      </c>
      <c r="W29" s="7">
        <v>2000010001</v>
      </c>
      <c r="X29" s="7">
        <v>2000010002</v>
      </c>
      <c r="Y29" s="7">
        <v>2000010003</v>
      </c>
      <c r="Z29" s="7">
        <v>200001</v>
      </c>
      <c r="AA29" s="7">
        <v>200002</v>
      </c>
      <c r="AB29" s="7">
        <v>200003</v>
      </c>
      <c r="AC29" s="7">
        <v>200001</v>
      </c>
      <c r="AD29" s="7">
        <v>200002</v>
      </c>
      <c r="AE29" s="7">
        <v>200003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7">
        <v>21</v>
      </c>
      <c r="C30" s="7" t="s">
        <v>630</v>
      </c>
      <c r="D30" s="7">
        <v>1</v>
      </c>
      <c r="E30" s="7">
        <v>3</v>
      </c>
      <c r="F30" s="7" t="b">
        <v>1</v>
      </c>
      <c r="G30" s="7">
        <v>1</v>
      </c>
      <c r="H30" s="7"/>
      <c r="I30" s="7">
        <v>80</v>
      </c>
      <c r="J30" s="7">
        <v>80</v>
      </c>
      <c r="K30" s="7">
        <v>80</v>
      </c>
      <c r="L30" s="7">
        <v>80</v>
      </c>
      <c r="M30" s="7">
        <v>120</v>
      </c>
      <c r="N30" s="7">
        <v>180</v>
      </c>
      <c r="O30" s="7">
        <v>80</v>
      </c>
      <c r="P30" s="7">
        <v>100</v>
      </c>
      <c r="Q30" s="7">
        <v>100</v>
      </c>
      <c r="R30" s="7">
        <v>2600</v>
      </c>
      <c r="S30" s="7">
        <v>3200</v>
      </c>
      <c r="T30" s="7">
        <v>1900</v>
      </c>
      <c r="U30" s="7">
        <v>2000</v>
      </c>
      <c r="V30" s="7">
        <v>2000</v>
      </c>
      <c r="W30" s="7">
        <v>2100010001</v>
      </c>
      <c r="X30" s="7">
        <v>2100010002</v>
      </c>
      <c r="Y30" s="7">
        <v>2100010003</v>
      </c>
      <c r="Z30" s="7">
        <v>210001</v>
      </c>
      <c r="AA30" s="7">
        <v>210002</v>
      </c>
      <c r="AB30" s="7">
        <v>210003</v>
      </c>
      <c r="AC30" s="7">
        <v>210001</v>
      </c>
      <c r="AD30" s="7">
        <v>210002</v>
      </c>
      <c r="AE30" s="7">
        <v>210003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22</v>
      </c>
      <c r="C31" s="7" t="s">
        <v>631</v>
      </c>
      <c r="D31" s="7">
        <v>2</v>
      </c>
      <c r="E31" s="7">
        <v>3</v>
      </c>
      <c r="F31" s="7" t="b">
        <v>1</v>
      </c>
      <c r="G31" s="7">
        <v>1</v>
      </c>
      <c r="H31" s="7"/>
      <c r="I31" s="7">
        <v>80</v>
      </c>
      <c r="J31" s="7">
        <v>80</v>
      </c>
      <c r="K31" s="7">
        <v>80</v>
      </c>
      <c r="L31" s="7">
        <v>80</v>
      </c>
      <c r="M31" s="7">
        <v>130</v>
      </c>
      <c r="N31" s="7">
        <v>120</v>
      </c>
      <c r="O31" s="7">
        <v>170</v>
      </c>
      <c r="P31" s="7">
        <v>100</v>
      </c>
      <c r="Q31" s="7">
        <v>120</v>
      </c>
      <c r="R31" s="7">
        <v>2800</v>
      </c>
      <c r="S31" s="7">
        <v>2600</v>
      </c>
      <c r="T31" s="7">
        <v>3100</v>
      </c>
      <c r="U31" s="7">
        <v>2000</v>
      </c>
      <c r="V31" s="7">
        <v>2600</v>
      </c>
      <c r="W31" s="7">
        <v>2200010001</v>
      </c>
      <c r="X31" s="7">
        <v>2200010002</v>
      </c>
      <c r="Y31" s="7">
        <v>2200010003</v>
      </c>
      <c r="Z31" s="7">
        <v>220001</v>
      </c>
      <c r="AA31" s="7">
        <v>220002</v>
      </c>
      <c r="AB31" s="7">
        <v>220003</v>
      </c>
      <c r="AC31" s="7">
        <v>220001</v>
      </c>
      <c r="AD31" s="7">
        <v>220002</v>
      </c>
      <c r="AE31" s="7">
        <v>220003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23</v>
      </c>
      <c r="C32" s="7" t="s">
        <v>632</v>
      </c>
      <c r="D32" s="7">
        <v>3</v>
      </c>
      <c r="E32" s="7">
        <v>3</v>
      </c>
      <c r="F32" s="7" t="b">
        <v>1</v>
      </c>
      <c r="G32" s="7">
        <v>1</v>
      </c>
      <c r="H32" s="7"/>
      <c r="I32" s="7">
        <v>80</v>
      </c>
      <c r="J32" s="7">
        <v>80</v>
      </c>
      <c r="K32" s="7">
        <v>80</v>
      </c>
      <c r="L32" s="7">
        <v>80</v>
      </c>
      <c r="M32" s="7">
        <v>180</v>
      </c>
      <c r="N32" s="7">
        <v>140</v>
      </c>
      <c r="O32" s="7">
        <v>120</v>
      </c>
      <c r="P32" s="7">
        <v>100</v>
      </c>
      <c r="Q32" s="7">
        <v>80</v>
      </c>
      <c r="R32" s="7">
        <v>3200</v>
      </c>
      <c r="S32" s="7">
        <v>2700</v>
      </c>
      <c r="T32" s="7">
        <v>2600</v>
      </c>
      <c r="U32" s="7">
        <v>2000</v>
      </c>
      <c r="V32" s="7">
        <v>1500</v>
      </c>
      <c r="W32" s="7">
        <v>2300010001</v>
      </c>
      <c r="X32" s="7">
        <v>2300010002</v>
      </c>
      <c r="Y32" s="7">
        <v>2300010003</v>
      </c>
      <c r="Z32" s="7">
        <v>230001</v>
      </c>
      <c r="AA32" s="7">
        <v>230002</v>
      </c>
      <c r="AB32" s="7">
        <v>230003</v>
      </c>
      <c r="AC32" s="7">
        <v>230001</v>
      </c>
      <c r="AD32" s="7">
        <v>230002</v>
      </c>
      <c r="AE32" s="7">
        <v>230003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24</v>
      </c>
      <c r="C33" s="7" t="s">
        <v>633</v>
      </c>
      <c r="D33" s="7">
        <v>4</v>
      </c>
      <c r="E33" s="7">
        <v>3</v>
      </c>
      <c r="F33" s="7" t="b">
        <v>1</v>
      </c>
      <c r="G33" s="7">
        <v>1</v>
      </c>
      <c r="H33" s="7"/>
      <c r="I33" s="7">
        <v>80</v>
      </c>
      <c r="J33" s="7">
        <v>80</v>
      </c>
      <c r="K33" s="7">
        <v>80</v>
      </c>
      <c r="L33" s="7">
        <v>80</v>
      </c>
      <c r="M33" s="7">
        <v>160</v>
      </c>
      <c r="N33" s="7">
        <v>180</v>
      </c>
      <c r="O33" s="7">
        <v>100</v>
      </c>
      <c r="P33" s="7">
        <v>100</v>
      </c>
      <c r="Q33" s="7">
        <v>100</v>
      </c>
      <c r="R33" s="7">
        <v>3000</v>
      </c>
      <c r="S33" s="7">
        <v>3200</v>
      </c>
      <c r="T33" s="7">
        <v>2400</v>
      </c>
      <c r="U33" s="7">
        <v>2000</v>
      </c>
      <c r="V33" s="7">
        <v>2600</v>
      </c>
      <c r="W33" s="7">
        <v>2400010001</v>
      </c>
      <c r="X33" s="7">
        <v>2400010002</v>
      </c>
      <c r="Y33" s="7">
        <v>2400010003</v>
      </c>
      <c r="Z33" s="7">
        <v>240001</v>
      </c>
      <c r="AA33" s="7">
        <v>240002</v>
      </c>
      <c r="AB33" s="7">
        <v>240003</v>
      </c>
      <c r="AC33" s="7">
        <v>240001</v>
      </c>
      <c r="AD33" s="7">
        <v>240002</v>
      </c>
      <c r="AE33" s="7">
        <v>240003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25</v>
      </c>
      <c r="C34" s="7" t="s">
        <v>634</v>
      </c>
      <c r="D34" s="7">
        <v>5</v>
      </c>
      <c r="E34" s="7">
        <v>3</v>
      </c>
      <c r="F34" s="7" t="b">
        <v>1</v>
      </c>
      <c r="G34" s="7">
        <v>1</v>
      </c>
      <c r="H34" s="7"/>
      <c r="I34" s="7">
        <v>80</v>
      </c>
      <c r="J34" s="7">
        <v>80</v>
      </c>
      <c r="K34" s="7">
        <v>80</v>
      </c>
      <c r="L34" s="7">
        <v>80</v>
      </c>
      <c r="M34" s="7">
        <v>150</v>
      </c>
      <c r="N34" s="7">
        <v>140</v>
      </c>
      <c r="O34" s="7">
        <v>180</v>
      </c>
      <c r="P34" s="7">
        <v>100</v>
      </c>
      <c r="Q34" s="7">
        <v>100</v>
      </c>
      <c r="R34" s="7">
        <v>2900</v>
      </c>
      <c r="S34" s="7">
        <v>2700</v>
      </c>
      <c r="T34" s="7">
        <v>3200</v>
      </c>
      <c r="U34" s="7">
        <v>2000</v>
      </c>
      <c r="V34" s="7">
        <v>2200</v>
      </c>
      <c r="W34" s="7">
        <v>2500010001</v>
      </c>
      <c r="X34" s="7">
        <v>2500010002</v>
      </c>
      <c r="Y34" s="7">
        <v>2500010003</v>
      </c>
      <c r="Z34" s="7">
        <v>250001</v>
      </c>
      <c r="AA34" s="7">
        <v>250002</v>
      </c>
      <c r="AB34" s="7">
        <v>250003</v>
      </c>
      <c r="AC34" s="7">
        <v>250001</v>
      </c>
      <c r="AD34" s="7">
        <v>250002</v>
      </c>
      <c r="AE34" s="7">
        <v>250003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7">
        <v>26</v>
      </c>
      <c r="C35" s="7" t="s">
        <v>635</v>
      </c>
      <c r="D35" s="7">
        <v>1</v>
      </c>
      <c r="E35" s="7">
        <v>3</v>
      </c>
      <c r="F35" s="7" t="b">
        <v>1</v>
      </c>
      <c r="G35" s="7">
        <v>1</v>
      </c>
      <c r="H35" s="7"/>
      <c r="I35" s="7">
        <v>80</v>
      </c>
      <c r="J35" s="7">
        <v>80</v>
      </c>
      <c r="K35" s="7">
        <v>80</v>
      </c>
      <c r="L35" s="7">
        <v>80</v>
      </c>
      <c r="M35" s="7">
        <v>200</v>
      </c>
      <c r="N35" s="7">
        <v>180</v>
      </c>
      <c r="O35" s="7">
        <v>150</v>
      </c>
      <c r="P35" s="7">
        <v>100</v>
      </c>
      <c r="Q35" s="7">
        <v>60</v>
      </c>
      <c r="R35" s="7">
        <v>3400</v>
      </c>
      <c r="S35" s="7">
        <v>3200</v>
      </c>
      <c r="T35" s="7">
        <v>2900</v>
      </c>
      <c r="U35" s="7">
        <v>2000</v>
      </c>
      <c r="V35" s="7">
        <v>1200</v>
      </c>
      <c r="W35" s="7">
        <v>2600010001</v>
      </c>
      <c r="X35" s="7">
        <v>2600010002</v>
      </c>
      <c r="Y35" s="7">
        <v>2600010003</v>
      </c>
      <c r="Z35" s="7">
        <v>260001</v>
      </c>
      <c r="AA35" s="7">
        <v>260002</v>
      </c>
      <c r="AB35" s="7">
        <v>260003</v>
      </c>
      <c r="AC35" s="7">
        <v>260001</v>
      </c>
      <c r="AD35" s="7">
        <v>260002</v>
      </c>
      <c r="AE35" s="7">
        <v>260003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7">
        <v>27</v>
      </c>
      <c r="C36" s="7" t="s">
        <v>636</v>
      </c>
      <c r="D36" s="7">
        <v>2</v>
      </c>
      <c r="E36" s="7">
        <v>3</v>
      </c>
      <c r="F36" s="7" t="b">
        <v>1</v>
      </c>
      <c r="G36" s="7">
        <v>1</v>
      </c>
      <c r="H36" s="7"/>
      <c r="I36" s="7">
        <v>80</v>
      </c>
      <c r="J36" s="7">
        <v>80</v>
      </c>
      <c r="K36" s="7">
        <v>80</v>
      </c>
      <c r="L36" s="7">
        <v>80</v>
      </c>
      <c r="M36" s="7">
        <v>120</v>
      </c>
      <c r="N36" s="7">
        <v>180</v>
      </c>
      <c r="O36" s="7">
        <v>80</v>
      </c>
      <c r="P36" s="7">
        <v>100</v>
      </c>
      <c r="Q36" s="7">
        <v>100</v>
      </c>
      <c r="R36" s="7">
        <v>2600</v>
      </c>
      <c r="S36" s="7">
        <v>3200</v>
      </c>
      <c r="T36" s="7">
        <v>1900</v>
      </c>
      <c r="U36" s="7">
        <v>2000</v>
      </c>
      <c r="V36" s="7">
        <v>2000</v>
      </c>
      <c r="W36" s="7">
        <v>2700010001</v>
      </c>
      <c r="X36" s="7">
        <v>2700010002</v>
      </c>
      <c r="Y36" s="7">
        <v>2700010003</v>
      </c>
      <c r="Z36" s="7">
        <v>270001</v>
      </c>
      <c r="AA36" s="7">
        <v>270002</v>
      </c>
      <c r="AB36" s="7">
        <v>270003</v>
      </c>
      <c r="AC36" s="7">
        <v>270001</v>
      </c>
      <c r="AD36" s="7">
        <v>270002</v>
      </c>
      <c r="AE36" s="7">
        <v>270003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28</v>
      </c>
      <c r="C37" s="7" t="s">
        <v>637</v>
      </c>
      <c r="D37" s="7">
        <v>3</v>
      </c>
      <c r="E37" s="7">
        <v>3</v>
      </c>
      <c r="F37" s="7" t="b">
        <v>1</v>
      </c>
      <c r="G37" s="7">
        <v>1</v>
      </c>
      <c r="H37" s="7"/>
      <c r="I37" s="7">
        <v>80</v>
      </c>
      <c r="J37" s="7">
        <v>80</v>
      </c>
      <c r="K37" s="7">
        <v>80</v>
      </c>
      <c r="L37" s="7">
        <v>80</v>
      </c>
      <c r="M37" s="7">
        <v>130</v>
      </c>
      <c r="N37" s="7">
        <v>120</v>
      </c>
      <c r="O37" s="7">
        <v>170</v>
      </c>
      <c r="P37" s="7">
        <v>100</v>
      </c>
      <c r="Q37" s="7">
        <v>80</v>
      </c>
      <c r="R37" s="7">
        <v>2800</v>
      </c>
      <c r="S37" s="7">
        <v>2600</v>
      </c>
      <c r="T37" s="7">
        <v>3100</v>
      </c>
      <c r="U37" s="7">
        <v>2000</v>
      </c>
      <c r="V37" s="7">
        <v>1600</v>
      </c>
      <c r="W37" s="7">
        <v>2800010001</v>
      </c>
      <c r="X37" s="7">
        <v>2800010002</v>
      </c>
      <c r="Y37" s="7">
        <v>2800010003</v>
      </c>
      <c r="Z37" s="7">
        <v>280001</v>
      </c>
      <c r="AA37" s="7">
        <v>280002</v>
      </c>
      <c r="AB37" s="7">
        <v>280003</v>
      </c>
      <c r="AC37" s="7">
        <v>280001</v>
      </c>
      <c r="AD37" s="7">
        <v>280002</v>
      </c>
      <c r="AE37" s="7">
        <v>280003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29</v>
      </c>
      <c r="C38" s="7" t="s">
        <v>638</v>
      </c>
      <c r="D38" s="7">
        <v>4</v>
      </c>
      <c r="E38" s="7">
        <v>3</v>
      </c>
      <c r="F38" s="7" t="b">
        <v>1</v>
      </c>
      <c r="G38" s="7">
        <v>1</v>
      </c>
      <c r="H38" s="7"/>
      <c r="I38" s="7">
        <v>80</v>
      </c>
      <c r="J38" s="7">
        <v>80</v>
      </c>
      <c r="K38" s="7">
        <v>80</v>
      </c>
      <c r="L38" s="7">
        <v>80</v>
      </c>
      <c r="M38" s="7">
        <v>180</v>
      </c>
      <c r="N38" s="7">
        <v>140</v>
      </c>
      <c r="O38" s="7">
        <v>120</v>
      </c>
      <c r="P38" s="7">
        <v>100</v>
      </c>
      <c r="Q38" s="7">
        <v>60</v>
      </c>
      <c r="R38" s="7">
        <v>3200</v>
      </c>
      <c r="S38" s="7">
        <v>2700</v>
      </c>
      <c r="T38" s="7">
        <v>2600</v>
      </c>
      <c r="U38" s="7">
        <v>2000</v>
      </c>
      <c r="V38" s="7">
        <v>1400</v>
      </c>
      <c r="W38" s="7">
        <v>2900010001</v>
      </c>
      <c r="X38" s="7">
        <v>2900010002</v>
      </c>
      <c r="Y38" s="7">
        <v>2900010003</v>
      </c>
      <c r="Z38" s="7">
        <v>290001</v>
      </c>
      <c r="AA38" s="7">
        <v>290002</v>
      </c>
      <c r="AB38" s="7">
        <v>290003</v>
      </c>
      <c r="AC38" s="7">
        <v>290001</v>
      </c>
      <c r="AD38" s="7">
        <v>290002</v>
      </c>
      <c r="AE38" s="7">
        <v>290003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30</v>
      </c>
      <c r="C39" s="7" t="s">
        <v>639</v>
      </c>
      <c r="D39" s="7">
        <v>5</v>
      </c>
      <c r="E39" s="7">
        <v>3</v>
      </c>
      <c r="F39" s="7" t="b">
        <v>1</v>
      </c>
      <c r="G39" s="7">
        <v>1</v>
      </c>
      <c r="H39" s="7"/>
      <c r="I39" s="7">
        <v>80</v>
      </c>
      <c r="J39" s="7">
        <v>80</v>
      </c>
      <c r="K39" s="7">
        <v>80</v>
      </c>
      <c r="L39" s="7">
        <v>80</v>
      </c>
      <c r="M39" s="7">
        <v>160</v>
      </c>
      <c r="N39" s="7">
        <v>180</v>
      </c>
      <c r="O39" s="7">
        <v>100</v>
      </c>
      <c r="P39" s="7">
        <v>100</v>
      </c>
      <c r="Q39" s="7">
        <v>100</v>
      </c>
      <c r="R39" s="7">
        <v>3000</v>
      </c>
      <c r="S39" s="7">
        <v>3200</v>
      </c>
      <c r="T39" s="7">
        <v>2400</v>
      </c>
      <c r="U39" s="7">
        <v>2000</v>
      </c>
      <c r="V39" s="7">
        <v>2000</v>
      </c>
      <c r="W39" s="7">
        <v>3000010001</v>
      </c>
      <c r="X39" s="7">
        <v>3000010002</v>
      </c>
      <c r="Y39" s="7">
        <v>3000010003</v>
      </c>
      <c r="Z39" s="7">
        <v>300001</v>
      </c>
      <c r="AA39" s="7">
        <v>300002</v>
      </c>
      <c r="AB39" s="7">
        <v>300003</v>
      </c>
      <c r="AC39" s="7">
        <v>300001</v>
      </c>
      <c r="AD39" s="7">
        <v>300002</v>
      </c>
      <c r="AE39" s="7">
        <v>300003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31</v>
      </c>
      <c r="C40" s="7" t="s">
        <v>640</v>
      </c>
      <c r="D40" s="7">
        <v>1</v>
      </c>
      <c r="E40" s="7">
        <v>4</v>
      </c>
      <c r="F40" s="7" t="b">
        <v>0</v>
      </c>
      <c r="G40" s="7">
        <v>1</v>
      </c>
      <c r="H40" s="7"/>
      <c r="I40" s="7">
        <v>80</v>
      </c>
      <c r="J40" s="7">
        <v>80</v>
      </c>
      <c r="K40" s="7">
        <v>80</v>
      </c>
      <c r="L40" s="7">
        <v>80</v>
      </c>
      <c r="M40" s="7">
        <v>150</v>
      </c>
      <c r="N40" s="7">
        <v>140</v>
      </c>
      <c r="O40" s="7">
        <v>180</v>
      </c>
      <c r="P40" s="7">
        <v>100</v>
      </c>
      <c r="Q40" s="7">
        <v>120</v>
      </c>
      <c r="R40" s="7">
        <v>2900</v>
      </c>
      <c r="S40" s="7">
        <v>2700</v>
      </c>
      <c r="T40" s="7">
        <v>3200</v>
      </c>
      <c r="U40" s="7">
        <v>2000</v>
      </c>
      <c r="V40" s="7">
        <v>2500</v>
      </c>
      <c r="W40" s="7">
        <v>3100010001</v>
      </c>
      <c r="X40" s="7">
        <v>3100010002</v>
      </c>
      <c r="Y40" s="7">
        <v>3100010003</v>
      </c>
      <c r="Z40" s="7">
        <v>310001</v>
      </c>
      <c r="AA40" s="7">
        <v>310002</v>
      </c>
      <c r="AB40" s="7">
        <v>310003</v>
      </c>
      <c r="AC40" s="7">
        <v>310001</v>
      </c>
      <c r="AD40" s="7">
        <v>310002</v>
      </c>
      <c r="AE40" s="7">
        <v>310003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7">
        <v>32</v>
      </c>
      <c r="C41" s="7" t="s">
        <v>641</v>
      </c>
      <c r="D41" s="7">
        <v>2</v>
      </c>
      <c r="E41" s="7">
        <v>4</v>
      </c>
      <c r="F41" s="7" t="b">
        <v>0</v>
      </c>
      <c r="G41" s="7">
        <v>1</v>
      </c>
      <c r="H41" s="7"/>
      <c r="I41" s="7">
        <v>80</v>
      </c>
      <c r="J41" s="7">
        <v>80</v>
      </c>
      <c r="K41" s="7">
        <v>80</v>
      </c>
      <c r="L41" s="7">
        <v>80</v>
      </c>
      <c r="M41" s="7">
        <v>200</v>
      </c>
      <c r="N41" s="7">
        <v>180</v>
      </c>
      <c r="O41" s="7">
        <v>150</v>
      </c>
      <c r="P41" s="7">
        <v>100</v>
      </c>
      <c r="Q41" s="7">
        <v>140</v>
      </c>
      <c r="R41" s="7">
        <v>3400</v>
      </c>
      <c r="S41" s="7">
        <v>3200</v>
      </c>
      <c r="T41" s="7">
        <v>2900</v>
      </c>
      <c r="U41" s="7">
        <v>2000</v>
      </c>
      <c r="V41" s="7">
        <v>2000</v>
      </c>
      <c r="W41" s="7">
        <v>3200010001</v>
      </c>
      <c r="X41" s="7">
        <v>3200010002</v>
      </c>
      <c r="Y41" s="7">
        <v>3200010003</v>
      </c>
      <c r="Z41" s="7">
        <v>320001</v>
      </c>
      <c r="AA41" s="7">
        <v>320002</v>
      </c>
      <c r="AB41" s="7">
        <v>320003</v>
      </c>
      <c r="AC41" s="7">
        <v>320001</v>
      </c>
      <c r="AD41" s="7">
        <v>320002</v>
      </c>
      <c r="AE41" s="7">
        <v>320003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7">
        <v>33</v>
      </c>
      <c r="C42" s="7" t="s">
        <v>642</v>
      </c>
      <c r="D42" s="7">
        <v>3</v>
      </c>
      <c r="E42" s="7">
        <v>4</v>
      </c>
      <c r="F42" s="7" t="b">
        <v>0</v>
      </c>
      <c r="G42" s="7">
        <v>1</v>
      </c>
      <c r="H42" s="7"/>
      <c r="I42" s="7">
        <v>80</v>
      </c>
      <c r="J42" s="7">
        <v>80</v>
      </c>
      <c r="K42" s="7">
        <v>80</v>
      </c>
      <c r="L42" s="7">
        <v>80</v>
      </c>
      <c r="M42" s="7">
        <v>120</v>
      </c>
      <c r="N42" s="7">
        <v>180</v>
      </c>
      <c r="O42" s="7">
        <v>80</v>
      </c>
      <c r="P42" s="7">
        <v>100</v>
      </c>
      <c r="Q42" s="7">
        <v>160</v>
      </c>
      <c r="R42" s="7">
        <v>2600</v>
      </c>
      <c r="S42" s="7">
        <v>3200</v>
      </c>
      <c r="T42" s="7">
        <v>1900</v>
      </c>
      <c r="U42" s="7">
        <v>2000</v>
      </c>
      <c r="V42" s="7">
        <v>2200</v>
      </c>
      <c r="W42" s="7">
        <v>3300010001</v>
      </c>
      <c r="X42" s="7">
        <v>3300010002</v>
      </c>
      <c r="Y42" s="7">
        <v>3300010003</v>
      </c>
      <c r="Z42" s="7">
        <v>330001</v>
      </c>
      <c r="AA42" s="7">
        <v>330002</v>
      </c>
      <c r="AB42" s="7">
        <v>330003</v>
      </c>
      <c r="AC42" s="7">
        <v>330001</v>
      </c>
      <c r="AD42" s="7">
        <v>330002</v>
      </c>
      <c r="AE42" s="7">
        <v>330003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34</v>
      </c>
      <c r="C43" s="7" t="s">
        <v>643</v>
      </c>
      <c r="D43" s="7">
        <v>4</v>
      </c>
      <c r="E43" s="7">
        <v>4</v>
      </c>
      <c r="F43" s="7" t="b">
        <v>0</v>
      </c>
      <c r="G43" s="7">
        <v>1</v>
      </c>
      <c r="H43" s="7"/>
      <c r="I43" s="7">
        <v>80</v>
      </c>
      <c r="J43" s="7">
        <v>80</v>
      </c>
      <c r="K43" s="7">
        <v>80</v>
      </c>
      <c r="L43" s="7">
        <v>80</v>
      </c>
      <c r="M43" s="7">
        <v>130</v>
      </c>
      <c r="N43" s="7">
        <v>120</v>
      </c>
      <c r="O43" s="7">
        <v>170</v>
      </c>
      <c r="P43" s="7">
        <v>100</v>
      </c>
      <c r="Q43" s="7">
        <v>130</v>
      </c>
      <c r="R43" s="7">
        <v>2800</v>
      </c>
      <c r="S43" s="7">
        <v>2600</v>
      </c>
      <c r="T43" s="7">
        <v>3100</v>
      </c>
      <c r="U43" s="7">
        <v>2000</v>
      </c>
      <c r="V43" s="7">
        <v>2900</v>
      </c>
      <c r="W43" s="7">
        <v>3400010001</v>
      </c>
      <c r="X43" s="7">
        <v>3400010002</v>
      </c>
      <c r="Y43" s="7">
        <v>3400010003</v>
      </c>
      <c r="Z43" s="7">
        <v>340001</v>
      </c>
      <c r="AA43" s="7">
        <v>340002</v>
      </c>
      <c r="AB43" s="7">
        <v>340003</v>
      </c>
      <c r="AC43" s="7">
        <v>340001</v>
      </c>
      <c r="AD43" s="7">
        <v>340002</v>
      </c>
      <c r="AE43" s="7">
        <v>340003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35</v>
      </c>
      <c r="C44" s="7" t="s">
        <v>644</v>
      </c>
      <c r="D44" s="7">
        <v>5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80</v>
      </c>
      <c r="K44" s="7">
        <v>80</v>
      </c>
      <c r="L44" s="7">
        <v>80</v>
      </c>
      <c r="M44" s="7">
        <v>180</v>
      </c>
      <c r="N44" s="7">
        <v>140</v>
      </c>
      <c r="O44" s="7">
        <v>120</v>
      </c>
      <c r="P44" s="7">
        <v>100</v>
      </c>
      <c r="Q44" s="7">
        <v>100</v>
      </c>
      <c r="R44" s="7">
        <v>3200</v>
      </c>
      <c r="S44" s="7">
        <v>2700</v>
      </c>
      <c r="T44" s="7">
        <v>2600</v>
      </c>
      <c r="U44" s="7">
        <v>2000</v>
      </c>
      <c r="V44" s="7">
        <v>2300</v>
      </c>
      <c r="W44" s="7">
        <v>3500010001</v>
      </c>
      <c r="X44" s="7">
        <v>3500010002</v>
      </c>
      <c r="Y44" s="7">
        <v>3500010003</v>
      </c>
      <c r="Z44" s="7">
        <v>350001</v>
      </c>
      <c r="AA44" s="7">
        <v>350002</v>
      </c>
      <c r="AB44" s="7">
        <v>350003</v>
      </c>
      <c r="AC44" s="7">
        <v>350001</v>
      </c>
      <c r="AD44" s="7">
        <v>350002</v>
      </c>
      <c r="AE44" s="7">
        <v>350003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36</v>
      </c>
      <c r="C45" s="7" t="s">
        <v>645</v>
      </c>
      <c r="D45" s="7">
        <v>1</v>
      </c>
      <c r="E45" s="7">
        <v>4</v>
      </c>
      <c r="F45" s="7" t="b">
        <v>0</v>
      </c>
      <c r="G45" s="7">
        <v>1</v>
      </c>
      <c r="H45" s="7"/>
      <c r="I45" s="7">
        <v>80</v>
      </c>
      <c r="J45" s="7">
        <v>80</v>
      </c>
      <c r="K45" s="7">
        <v>80</v>
      </c>
      <c r="L45" s="7">
        <v>80</v>
      </c>
      <c r="M45" s="7">
        <v>160</v>
      </c>
      <c r="N45" s="7">
        <v>180</v>
      </c>
      <c r="O45" s="7">
        <v>100</v>
      </c>
      <c r="P45" s="7">
        <v>100</v>
      </c>
      <c r="Q45" s="7">
        <v>60</v>
      </c>
      <c r="R45" s="7">
        <v>3000</v>
      </c>
      <c r="S45" s="7">
        <v>3200</v>
      </c>
      <c r="T45" s="7">
        <v>2400</v>
      </c>
      <c r="U45" s="7">
        <v>2000</v>
      </c>
      <c r="V45" s="7">
        <v>2400</v>
      </c>
      <c r="W45" s="7">
        <v>3600010001</v>
      </c>
      <c r="X45" s="7">
        <v>3600010002</v>
      </c>
      <c r="Y45" s="7">
        <v>3600010003</v>
      </c>
      <c r="Z45" s="7">
        <v>360001</v>
      </c>
      <c r="AA45" s="7">
        <v>360002</v>
      </c>
      <c r="AB45" s="7">
        <v>360003</v>
      </c>
      <c r="AC45" s="7">
        <v>360001</v>
      </c>
      <c r="AD45" s="7">
        <v>360002</v>
      </c>
      <c r="AE45" s="7">
        <v>360003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37</v>
      </c>
      <c r="C46" s="7" t="s">
        <v>646</v>
      </c>
      <c r="D46" s="7">
        <v>2</v>
      </c>
      <c r="E46" s="7">
        <v>4</v>
      </c>
      <c r="F46" s="7" t="b">
        <v>0</v>
      </c>
      <c r="G46" s="7">
        <v>1</v>
      </c>
      <c r="H46" s="7"/>
      <c r="I46" s="7">
        <v>80</v>
      </c>
      <c r="J46" s="7">
        <v>80</v>
      </c>
      <c r="K46" s="7">
        <v>80</v>
      </c>
      <c r="L46" s="7">
        <v>80</v>
      </c>
      <c r="M46" s="7">
        <v>150</v>
      </c>
      <c r="N46" s="7">
        <v>140</v>
      </c>
      <c r="O46" s="7">
        <v>180</v>
      </c>
      <c r="P46" s="7">
        <v>100</v>
      </c>
      <c r="Q46" s="7">
        <v>120</v>
      </c>
      <c r="R46" s="7">
        <v>2900</v>
      </c>
      <c r="S46" s="7">
        <v>2700</v>
      </c>
      <c r="T46" s="7">
        <v>3200</v>
      </c>
      <c r="U46" s="7">
        <v>2000</v>
      </c>
      <c r="V46" s="7">
        <v>1200</v>
      </c>
      <c r="W46" s="7">
        <v>3700010001</v>
      </c>
      <c r="X46" s="7">
        <v>3700010002</v>
      </c>
      <c r="Y46" s="7">
        <v>3700010003</v>
      </c>
      <c r="Z46" s="7">
        <v>370001</v>
      </c>
      <c r="AA46" s="7">
        <v>370002</v>
      </c>
      <c r="AB46" s="7">
        <v>370003</v>
      </c>
      <c r="AC46" s="7">
        <v>370001</v>
      </c>
      <c r="AD46" s="7">
        <v>370002</v>
      </c>
      <c r="AE46" s="7">
        <v>370003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7">
        <v>38</v>
      </c>
      <c r="C47" s="7" t="s">
        <v>647</v>
      </c>
      <c r="D47" s="7">
        <v>3</v>
      </c>
      <c r="E47" s="7">
        <v>4</v>
      </c>
      <c r="F47" s="7" t="b">
        <v>0</v>
      </c>
      <c r="G47" s="7">
        <v>1</v>
      </c>
      <c r="H47" s="7"/>
      <c r="I47" s="7">
        <v>80</v>
      </c>
      <c r="J47" s="7">
        <v>80</v>
      </c>
      <c r="K47" s="7">
        <v>80</v>
      </c>
      <c r="L47" s="7">
        <v>80</v>
      </c>
      <c r="M47" s="7">
        <v>200</v>
      </c>
      <c r="N47" s="7">
        <v>180</v>
      </c>
      <c r="O47" s="7">
        <v>150</v>
      </c>
      <c r="P47" s="7">
        <v>100</v>
      </c>
      <c r="Q47" s="7">
        <v>100</v>
      </c>
      <c r="R47" s="7">
        <v>3400</v>
      </c>
      <c r="S47" s="7">
        <v>3200</v>
      </c>
      <c r="T47" s="7">
        <v>2900</v>
      </c>
      <c r="U47" s="7">
        <v>2000</v>
      </c>
      <c r="V47" s="7">
        <v>2800</v>
      </c>
      <c r="W47" s="7">
        <v>3800010001</v>
      </c>
      <c r="X47" s="7">
        <v>3800010002</v>
      </c>
      <c r="Y47" s="7">
        <v>3800010003</v>
      </c>
      <c r="Z47" s="7">
        <v>380001</v>
      </c>
      <c r="AA47" s="7">
        <v>380002</v>
      </c>
      <c r="AB47" s="7">
        <v>380003</v>
      </c>
      <c r="AC47" s="7">
        <v>380001</v>
      </c>
      <c r="AD47" s="7">
        <v>380002</v>
      </c>
      <c r="AE47" s="7">
        <v>380003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7">
        <v>39</v>
      </c>
      <c r="C48" s="7" t="s">
        <v>648</v>
      </c>
      <c r="D48" s="7">
        <v>4</v>
      </c>
      <c r="E48" s="7">
        <v>4</v>
      </c>
      <c r="F48" s="7" t="b">
        <v>0</v>
      </c>
      <c r="G48" s="7">
        <v>1</v>
      </c>
      <c r="H48" s="7"/>
      <c r="I48" s="7">
        <v>80</v>
      </c>
      <c r="J48" s="7">
        <v>80</v>
      </c>
      <c r="K48" s="7">
        <v>80</v>
      </c>
      <c r="L48" s="7">
        <v>80</v>
      </c>
      <c r="M48" s="7">
        <v>150</v>
      </c>
      <c r="N48" s="7">
        <v>140</v>
      </c>
      <c r="O48" s="7">
        <v>180</v>
      </c>
      <c r="P48" s="7">
        <v>100</v>
      </c>
      <c r="Q48" s="7">
        <v>100</v>
      </c>
      <c r="R48" s="7">
        <v>2900</v>
      </c>
      <c r="S48" s="7">
        <v>2700</v>
      </c>
      <c r="T48" s="7">
        <v>3200</v>
      </c>
      <c r="U48" s="7">
        <v>2000</v>
      </c>
      <c r="V48" s="7">
        <v>2300</v>
      </c>
      <c r="W48" s="7">
        <v>3900010001</v>
      </c>
      <c r="X48" s="7">
        <v>3900010002</v>
      </c>
      <c r="Y48" s="7">
        <v>3900010003</v>
      </c>
      <c r="Z48" s="7">
        <v>390001</v>
      </c>
      <c r="AA48" s="7">
        <v>390002</v>
      </c>
      <c r="AB48" s="7">
        <v>390003</v>
      </c>
      <c r="AC48" s="7">
        <v>390001</v>
      </c>
      <c r="AD48" s="7">
        <v>390002</v>
      </c>
      <c r="AE48" s="7">
        <v>390003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2:31" ht="18.75" customHeight="1">
      <c r="B49" s="7">
        <v>40</v>
      </c>
      <c r="C49" s="7" t="s">
        <v>649</v>
      </c>
      <c r="D49" s="7">
        <v>5</v>
      </c>
      <c r="E49" s="7">
        <v>4</v>
      </c>
      <c r="F49" s="7" t="b">
        <v>0</v>
      </c>
      <c r="G49" s="7">
        <v>1</v>
      </c>
      <c r="H49" s="7"/>
      <c r="I49" s="7">
        <v>80</v>
      </c>
      <c r="J49" s="7">
        <v>80</v>
      </c>
      <c r="K49" s="7">
        <v>80</v>
      </c>
      <c r="L49" s="7">
        <v>80</v>
      </c>
      <c r="M49" s="7">
        <v>200</v>
      </c>
      <c r="N49" s="7">
        <v>180</v>
      </c>
      <c r="O49" s="7">
        <v>150</v>
      </c>
      <c r="P49" s="7">
        <v>100</v>
      </c>
      <c r="Q49" s="7">
        <v>120</v>
      </c>
      <c r="R49" s="7">
        <v>3400</v>
      </c>
      <c r="S49" s="7">
        <v>3200</v>
      </c>
      <c r="T49" s="7">
        <v>2900</v>
      </c>
      <c r="U49" s="7">
        <v>2000</v>
      </c>
      <c r="V49" s="7">
        <v>2600</v>
      </c>
      <c r="W49" s="7">
        <v>4000010001</v>
      </c>
      <c r="X49" s="7">
        <v>4000010002</v>
      </c>
      <c r="Y49" s="7">
        <v>4000010003</v>
      </c>
      <c r="Z49" s="7">
        <v>400001</v>
      </c>
      <c r="AA49" s="7">
        <v>400002</v>
      </c>
      <c r="AB49" s="7">
        <v>400003</v>
      </c>
      <c r="AC49" s="7">
        <v>400001</v>
      </c>
      <c r="AD49" s="7">
        <v>400002</v>
      </c>
      <c r="AE49" s="7">
        <v>400003</v>
      </c>
    </row>
    <row r="50" spans="2:31" ht="18.75" customHeight="1">
      <c r="B50" s="7">
        <v>41</v>
      </c>
      <c r="C50" s="7" t="s">
        <v>650</v>
      </c>
      <c r="D50" s="7">
        <v>1</v>
      </c>
      <c r="E50" s="7">
        <v>4</v>
      </c>
      <c r="F50" s="7" t="b">
        <v>0</v>
      </c>
      <c r="G50" s="7">
        <v>1</v>
      </c>
      <c r="H50" s="7"/>
      <c r="I50" s="7">
        <v>80</v>
      </c>
      <c r="J50" s="7">
        <v>80</v>
      </c>
      <c r="K50" s="7">
        <v>80</v>
      </c>
      <c r="L50" s="7">
        <v>80</v>
      </c>
      <c r="M50" s="7">
        <v>120</v>
      </c>
      <c r="N50" s="7">
        <v>180</v>
      </c>
      <c r="O50" s="7">
        <v>80</v>
      </c>
      <c r="P50" s="7">
        <v>100</v>
      </c>
      <c r="Q50" s="7">
        <v>100</v>
      </c>
      <c r="R50" s="7">
        <v>2600</v>
      </c>
      <c r="S50" s="7">
        <v>3200</v>
      </c>
      <c r="T50" s="7">
        <v>1900</v>
      </c>
      <c r="U50" s="7">
        <v>2000</v>
      </c>
      <c r="V50" s="7">
        <v>2000</v>
      </c>
      <c r="W50" s="7">
        <v>4100010001</v>
      </c>
      <c r="X50" s="7">
        <v>4100010002</v>
      </c>
      <c r="Y50" s="7">
        <v>4100010003</v>
      </c>
      <c r="Z50" s="7">
        <v>410001</v>
      </c>
      <c r="AA50" s="7">
        <v>410002</v>
      </c>
      <c r="AB50" s="7">
        <v>410003</v>
      </c>
      <c r="AC50" s="7">
        <v>410001</v>
      </c>
      <c r="AD50" s="7">
        <v>410002</v>
      </c>
      <c r="AE50" s="7">
        <v>410003</v>
      </c>
    </row>
    <row r="51" spans="2:31" ht="18.75" customHeight="1">
      <c r="B51" s="7">
        <v>42</v>
      </c>
      <c r="C51" s="7" t="s">
        <v>151</v>
      </c>
      <c r="D51" s="7">
        <v>2</v>
      </c>
      <c r="E51" s="7">
        <v>4</v>
      </c>
      <c r="F51" s="7" t="b">
        <v>0</v>
      </c>
      <c r="G51" s="7">
        <v>1</v>
      </c>
      <c r="H51" s="7"/>
      <c r="I51" s="7">
        <v>80</v>
      </c>
      <c r="J51" s="7">
        <v>80</v>
      </c>
      <c r="K51" s="7">
        <v>80</v>
      </c>
      <c r="L51" s="7">
        <v>80</v>
      </c>
      <c r="M51" s="7">
        <v>130</v>
      </c>
      <c r="N51" s="7">
        <v>120</v>
      </c>
      <c r="O51" s="7">
        <v>170</v>
      </c>
      <c r="P51" s="7">
        <v>100</v>
      </c>
      <c r="Q51" s="7">
        <v>120</v>
      </c>
      <c r="R51" s="7">
        <v>2800</v>
      </c>
      <c r="S51" s="7">
        <v>2600</v>
      </c>
      <c r="T51" s="7">
        <v>3100</v>
      </c>
      <c r="U51" s="7">
        <v>2000</v>
      </c>
      <c r="V51" s="7">
        <v>2600</v>
      </c>
      <c r="W51" s="7">
        <v>4200010001</v>
      </c>
      <c r="X51" s="7">
        <v>4200010002</v>
      </c>
      <c r="Y51" s="7">
        <v>4200010003</v>
      </c>
      <c r="Z51" s="7">
        <v>420001</v>
      </c>
      <c r="AA51" s="7">
        <v>420002</v>
      </c>
      <c r="AB51" s="7">
        <v>420003</v>
      </c>
      <c r="AC51" s="7">
        <v>420001</v>
      </c>
      <c r="AD51" s="7">
        <v>420002</v>
      </c>
      <c r="AE51" s="7">
        <v>420003</v>
      </c>
    </row>
    <row r="52" spans="2:31" ht="18.75" customHeight="1">
      <c r="B52" s="7">
        <v>43</v>
      </c>
      <c r="C52" s="7" t="s">
        <v>651</v>
      </c>
      <c r="D52" s="7">
        <v>3</v>
      </c>
      <c r="E52" s="7">
        <v>4</v>
      </c>
      <c r="F52" s="7" t="b">
        <v>0</v>
      </c>
      <c r="G52" s="7">
        <v>1</v>
      </c>
      <c r="H52" s="7"/>
      <c r="I52" s="7">
        <v>80</v>
      </c>
      <c r="J52" s="7">
        <v>80</v>
      </c>
      <c r="K52" s="7">
        <v>80</v>
      </c>
      <c r="L52" s="7">
        <v>80</v>
      </c>
      <c r="M52" s="7">
        <v>180</v>
      </c>
      <c r="N52" s="7">
        <v>140</v>
      </c>
      <c r="O52" s="7">
        <v>120</v>
      </c>
      <c r="P52" s="7">
        <v>100</v>
      </c>
      <c r="Q52" s="7">
        <v>80</v>
      </c>
      <c r="R52" s="7">
        <v>3200</v>
      </c>
      <c r="S52" s="7">
        <v>2700</v>
      </c>
      <c r="T52" s="7">
        <v>2600</v>
      </c>
      <c r="U52" s="7">
        <v>2000</v>
      </c>
      <c r="V52" s="7">
        <v>1500</v>
      </c>
      <c r="W52" s="7">
        <v>4300010001</v>
      </c>
      <c r="X52" s="7">
        <v>4300010002</v>
      </c>
      <c r="Y52" s="7">
        <v>4300010003</v>
      </c>
      <c r="Z52" s="7">
        <v>430001</v>
      </c>
      <c r="AA52" s="7">
        <v>430002</v>
      </c>
      <c r="AB52" s="7">
        <v>430003</v>
      </c>
      <c r="AC52" s="7">
        <v>430001</v>
      </c>
      <c r="AD52" s="7">
        <v>430002</v>
      </c>
      <c r="AE52" s="7">
        <v>430003</v>
      </c>
    </row>
    <row r="53" spans="2:31" ht="18.75" customHeight="1">
      <c r="B53" s="7">
        <v>44</v>
      </c>
      <c r="C53" s="7" t="s">
        <v>652</v>
      </c>
      <c r="D53" s="7">
        <v>4</v>
      </c>
      <c r="E53" s="7">
        <v>4</v>
      </c>
      <c r="F53" s="7" t="b">
        <v>0</v>
      </c>
      <c r="G53" s="7">
        <v>1</v>
      </c>
      <c r="H53" s="7"/>
      <c r="I53" s="7">
        <v>80</v>
      </c>
      <c r="J53" s="7">
        <v>80</v>
      </c>
      <c r="K53" s="7">
        <v>80</v>
      </c>
      <c r="L53" s="7">
        <v>80</v>
      </c>
      <c r="M53" s="7">
        <v>160</v>
      </c>
      <c r="N53" s="7">
        <v>180</v>
      </c>
      <c r="O53" s="7">
        <v>100</v>
      </c>
      <c r="P53" s="7">
        <v>100</v>
      </c>
      <c r="Q53" s="7">
        <v>100</v>
      </c>
      <c r="R53" s="7">
        <v>3000</v>
      </c>
      <c r="S53" s="7">
        <v>3200</v>
      </c>
      <c r="T53" s="7">
        <v>2400</v>
      </c>
      <c r="U53" s="7">
        <v>2000</v>
      </c>
      <c r="V53" s="7">
        <v>2600</v>
      </c>
      <c r="W53" s="7">
        <v>4400010001</v>
      </c>
      <c r="X53" s="7">
        <v>4400010002</v>
      </c>
      <c r="Y53" s="7">
        <v>4400010003</v>
      </c>
      <c r="Z53" s="7">
        <v>440001</v>
      </c>
      <c r="AA53" s="7">
        <v>440002</v>
      </c>
      <c r="AB53" s="7">
        <v>440003</v>
      </c>
      <c r="AC53" s="7">
        <v>440001</v>
      </c>
      <c r="AD53" s="7">
        <v>440002</v>
      </c>
      <c r="AE53" s="7">
        <v>440003</v>
      </c>
    </row>
    <row r="54" spans="2:31" ht="18.75" customHeight="1">
      <c r="B54" s="7">
        <v>45</v>
      </c>
      <c r="C54" s="7" t="s">
        <v>653</v>
      </c>
      <c r="D54" s="7">
        <v>5</v>
      </c>
      <c r="E54" s="7">
        <v>4</v>
      </c>
      <c r="F54" s="7" t="b">
        <v>0</v>
      </c>
      <c r="G54" s="7">
        <v>1</v>
      </c>
      <c r="H54" s="7"/>
      <c r="I54" s="7">
        <v>80</v>
      </c>
      <c r="J54" s="7">
        <v>80</v>
      </c>
      <c r="K54" s="7">
        <v>80</v>
      </c>
      <c r="L54" s="7">
        <v>80</v>
      </c>
      <c r="M54" s="7">
        <v>150</v>
      </c>
      <c r="N54" s="7">
        <v>140</v>
      </c>
      <c r="O54" s="7">
        <v>180</v>
      </c>
      <c r="P54" s="7">
        <v>100</v>
      </c>
      <c r="Q54" s="7">
        <v>100</v>
      </c>
      <c r="R54" s="7">
        <v>2900</v>
      </c>
      <c r="S54" s="7">
        <v>2700</v>
      </c>
      <c r="T54" s="7">
        <v>3200</v>
      </c>
      <c r="U54" s="7">
        <v>2000</v>
      </c>
      <c r="V54" s="7">
        <v>2200</v>
      </c>
      <c r="W54" s="7">
        <v>4500010001</v>
      </c>
      <c r="X54" s="7">
        <v>4500010002</v>
      </c>
      <c r="Y54" s="7">
        <v>4500010003</v>
      </c>
      <c r="Z54" s="7">
        <v>450001</v>
      </c>
      <c r="AA54" s="7">
        <v>450002</v>
      </c>
      <c r="AB54" s="7">
        <v>450003</v>
      </c>
      <c r="AC54" s="7">
        <v>450001</v>
      </c>
      <c r="AD54" s="7">
        <v>450002</v>
      </c>
      <c r="AE54" s="7">
        <v>450003</v>
      </c>
    </row>
    <row r="55" spans="2:31" ht="18.75" customHeight="1">
      <c r="B55" s="7">
        <v>46</v>
      </c>
      <c r="C55" s="7" t="s">
        <v>654</v>
      </c>
      <c r="D55" s="7">
        <v>1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80</v>
      </c>
      <c r="K55" s="7">
        <v>80</v>
      </c>
      <c r="L55" s="7">
        <v>80</v>
      </c>
      <c r="M55" s="7">
        <v>200</v>
      </c>
      <c r="N55" s="7">
        <v>180</v>
      </c>
      <c r="O55" s="7">
        <v>150</v>
      </c>
      <c r="P55" s="7">
        <v>100</v>
      </c>
      <c r="Q55" s="7">
        <v>60</v>
      </c>
      <c r="R55" s="7">
        <v>3400</v>
      </c>
      <c r="S55" s="7">
        <v>3200</v>
      </c>
      <c r="T55" s="7">
        <v>2900</v>
      </c>
      <c r="U55" s="7">
        <v>2000</v>
      </c>
      <c r="V55" s="7">
        <v>1200</v>
      </c>
      <c r="W55" s="7">
        <v>4600010001</v>
      </c>
      <c r="X55" s="7">
        <v>4600010002</v>
      </c>
      <c r="Y55" s="7">
        <v>4600010003</v>
      </c>
      <c r="Z55" s="7">
        <v>460001</v>
      </c>
      <c r="AA55" s="7">
        <v>460002</v>
      </c>
      <c r="AB55" s="7">
        <v>460003</v>
      </c>
      <c r="AC55" s="7">
        <v>460001</v>
      </c>
      <c r="AD55" s="7">
        <v>460002</v>
      </c>
      <c r="AE55" s="7">
        <v>460003</v>
      </c>
    </row>
    <row r="56" spans="2:31" ht="18.75" customHeight="1">
      <c r="B56" s="7">
        <v>47</v>
      </c>
      <c r="C56" s="7" t="s">
        <v>655</v>
      </c>
      <c r="D56" s="7">
        <v>2</v>
      </c>
      <c r="E56" s="7">
        <v>4</v>
      </c>
      <c r="F56" s="7" t="b">
        <v>1</v>
      </c>
      <c r="G56" s="7">
        <v>1</v>
      </c>
      <c r="H56" s="7"/>
      <c r="I56" s="7">
        <v>80</v>
      </c>
      <c r="J56" s="7">
        <v>80</v>
      </c>
      <c r="K56" s="7">
        <v>80</v>
      </c>
      <c r="L56" s="7">
        <v>80</v>
      </c>
      <c r="M56" s="7">
        <v>120</v>
      </c>
      <c r="N56" s="7">
        <v>180</v>
      </c>
      <c r="O56" s="7">
        <v>80</v>
      </c>
      <c r="P56" s="7">
        <v>100</v>
      </c>
      <c r="Q56" s="7">
        <v>100</v>
      </c>
      <c r="R56" s="7">
        <v>2600</v>
      </c>
      <c r="S56" s="7">
        <v>3200</v>
      </c>
      <c r="T56" s="7">
        <v>1900</v>
      </c>
      <c r="U56" s="7">
        <v>2000</v>
      </c>
      <c r="V56" s="7">
        <v>2000</v>
      </c>
      <c r="W56" s="7">
        <v>4700010001</v>
      </c>
      <c r="X56" s="7">
        <v>4700010002</v>
      </c>
      <c r="Y56" s="7">
        <v>4700010003</v>
      </c>
      <c r="Z56" s="7">
        <v>470001</v>
      </c>
      <c r="AA56" s="7">
        <v>470002</v>
      </c>
      <c r="AB56" s="7">
        <v>470003</v>
      </c>
      <c r="AC56" s="7">
        <v>470001</v>
      </c>
      <c r="AD56" s="7">
        <v>470002</v>
      </c>
      <c r="AE56" s="7">
        <v>470003</v>
      </c>
    </row>
    <row r="57" spans="2:31" ht="18.75" customHeight="1">
      <c r="B57" s="7">
        <v>48</v>
      </c>
      <c r="C57" s="7" t="s">
        <v>656</v>
      </c>
      <c r="D57" s="7">
        <v>3</v>
      </c>
      <c r="E57" s="7">
        <v>4</v>
      </c>
      <c r="F57" s="7" t="b">
        <v>1</v>
      </c>
      <c r="G57" s="7">
        <v>1</v>
      </c>
      <c r="H57" s="7"/>
      <c r="I57" s="7">
        <v>80</v>
      </c>
      <c r="J57" s="7">
        <v>80</v>
      </c>
      <c r="K57" s="7">
        <v>80</v>
      </c>
      <c r="L57" s="7">
        <v>80</v>
      </c>
      <c r="M57" s="7">
        <v>130</v>
      </c>
      <c r="N57" s="7">
        <v>120</v>
      </c>
      <c r="O57" s="7">
        <v>170</v>
      </c>
      <c r="P57" s="7">
        <v>100</v>
      </c>
      <c r="Q57" s="7">
        <v>80</v>
      </c>
      <c r="R57" s="7">
        <v>2800</v>
      </c>
      <c r="S57" s="7">
        <v>2600</v>
      </c>
      <c r="T57" s="7">
        <v>3100</v>
      </c>
      <c r="U57" s="7">
        <v>2000</v>
      </c>
      <c r="V57" s="7">
        <v>1600</v>
      </c>
      <c r="W57" s="7">
        <v>4800010001</v>
      </c>
      <c r="X57" s="7">
        <v>4800010002</v>
      </c>
      <c r="Y57" s="7">
        <v>4800010003</v>
      </c>
      <c r="Z57" s="7">
        <v>480001</v>
      </c>
      <c r="AA57" s="7">
        <v>480002</v>
      </c>
      <c r="AB57" s="7">
        <v>480003</v>
      </c>
      <c r="AC57" s="7">
        <v>480001</v>
      </c>
      <c r="AD57" s="7">
        <v>480002</v>
      </c>
      <c r="AE57" s="7">
        <v>480003</v>
      </c>
    </row>
    <row r="58" spans="2:31" ht="18.75" customHeight="1">
      <c r="B58" s="7">
        <v>49</v>
      </c>
      <c r="C58" s="7" t="s">
        <v>657</v>
      </c>
      <c r="D58" s="7">
        <v>4</v>
      </c>
      <c r="E58" s="7">
        <v>4</v>
      </c>
      <c r="F58" s="7" t="b">
        <v>1</v>
      </c>
      <c r="G58" s="7">
        <v>1</v>
      </c>
      <c r="H58" s="7"/>
      <c r="I58" s="7">
        <v>80</v>
      </c>
      <c r="J58" s="7">
        <v>80</v>
      </c>
      <c r="K58" s="7">
        <v>80</v>
      </c>
      <c r="L58" s="7">
        <v>80</v>
      </c>
      <c r="M58" s="7">
        <v>180</v>
      </c>
      <c r="N58" s="7">
        <v>140</v>
      </c>
      <c r="O58" s="7">
        <v>120</v>
      </c>
      <c r="P58" s="7">
        <v>100</v>
      </c>
      <c r="Q58" s="7">
        <v>60</v>
      </c>
      <c r="R58" s="7">
        <v>3200</v>
      </c>
      <c r="S58" s="7">
        <v>2700</v>
      </c>
      <c r="T58" s="7">
        <v>2600</v>
      </c>
      <c r="U58" s="7">
        <v>2000</v>
      </c>
      <c r="V58" s="7">
        <v>1400</v>
      </c>
      <c r="W58" s="7">
        <v>4900010001</v>
      </c>
      <c r="X58" s="7">
        <v>4900010002</v>
      </c>
      <c r="Y58" s="7">
        <v>4900010003</v>
      </c>
      <c r="Z58" s="7">
        <v>490001</v>
      </c>
      <c r="AA58" s="7">
        <v>490002</v>
      </c>
      <c r="AB58" s="7">
        <v>490003</v>
      </c>
      <c r="AC58" s="7">
        <v>490001</v>
      </c>
      <c r="AD58" s="7">
        <v>490002</v>
      </c>
      <c r="AE58" s="7">
        <v>490003</v>
      </c>
    </row>
    <row r="59" spans="2:31" ht="18.75" customHeight="1">
      <c r="B59" s="7">
        <v>50</v>
      </c>
      <c r="C59" s="7" t="s">
        <v>658</v>
      </c>
      <c r="D59" s="7">
        <v>5</v>
      </c>
      <c r="E59" s="7">
        <v>4</v>
      </c>
      <c r="F59" s="7" t="b">
        <v>1</v>
      </c>
      <c r="G59" s="7">
        <v>1</v>
      </c>
      <c r="H59" s="7"/>
      <c r="I59" s="7">
        <v>80</v>
      </c>
      <c r="J59" s="7">
        <v>80</v>
      </c>
      <c r="K59" s="7">
        <v>80</v>
      </c>
      <c r="L59" s="7">
        <v>80</v>
      </c>
      <c r="M59" s="7">
        <v>160</v>
      </c>
      <c r="N59" s="7">
        <v>180</v>
      </c>
      <c r="O59" s="7">
        <v>100</v>
      </c>
      <c r="P59" s="7">
        <v>100</v>
      </c>
      <c r="Q59" s="7">
        <v>100</v>
      </c>
      <c r="R59" s="7">
        <v>3000</v>
      </c>
      <c r="S59" s="7">
        <v>3200</v>
      </c>
      <c r="T59" s="7">
        <v>2400</v>
      </c>
      <c r="U59" s="7">
        <v>2000</v>
      </c>
      <c r="V59" s="7">
        <v>2000</v>
      </c>
      <c r="W59" s="7">
        <v>5000010001</v>
      </c>
      <c r="X59" s="7">
        <v>5000010002</v>
      </c>
      <c r="Y59" s="7">
        <v>5000010003</v>
      </c>
      <c r="Z59" s="7">
        <v>500001</v>
      </c>
      <c r="AA59" s="7">
        <v>500002</v>
      </c>
      <c r="AB59" s="7">
        <v>500003</v>
      </c>
      <c r="AC59" s="7">
        <v>500001</v>
      </c>
      <c r="AD59" s="7">
        <v>500002</v>
      </c>
      <c r="AE59" s="7">
        <v>500003</v>
      </c>
    </row>
    <row r="60" spans="2:31" ht="18.75" customHeight="1">
      <c r="B60" s="7">
        <v>51</v>
      </c>
      <c r="C60" s="7" t="s">
        <v>659</v>
      </c>
      <c r="D60" s="7">
        <v>1</v>
      </c>
      <c r="E60" s="7">
        <v>4</v>
      </c>
      <c r="F60" s="7" t="b">
        <v>1</v>
      </c>
      <c r="G60" s="7">
        <v>1</v>
      </c>
      <c r="H60" s="7"/>
      <c r="I60" s="7">
        <v>80</v>
      </c>
      <c r="J60" s="7">
        <v>80</v>
      </c>
      <c r="K60" s="7">
        <v>80</v>
      </c>
      <c r="L60" s="7">
        <v>80</v>
      </c>
      <c r="M60" s="7">
        <v>150</v>
      </c>
      <c r="N60" s="7">
        <v>140</v>
      </c>
      <c r="O60" s="7">
        <v>180</v>
      </c>
      <c r="P60" s="7">
        <v>100</v>
      </c>
      <c r="Q60" s="7">
        <v>120</v>
      </c>
      <c r="R60" s="7">
        <v>2900</v>
      </c>
      <c r="S60" s="7">
        <v>2700</v>
      </c>
      <c r="T60" s="7">
        <v>3200</v>
      </c>
      <c r="U60" s="7">
        <v>2000</v>
      </c>
      <c r="V60" s="7">
        <v>2500</v>
      </c>
      <c r="W60" s="7">
        <v>5100010001</v>
      </c>
      <c r="X60" s="7">
        <v>5100010002</v>
      </c>
      <c r="Y60" s="7">
        <v>5100010003</v>
      </c>
      <c r="Z60" s="7">
        <v>510001</v>
      </c>
      <c r="AA60" s="7">
        <v>510002</v>
      </c>
      <c r="AB60" s="7">
        <v>510003</v>
      </c>
      <c r="AC60" s="7">
        <v>510001</v>
      </c>
      <c r="AD60" s="7">
        <v>510002</v>
      </c>
      <c r="AE60" s="7">
        <v>510003</v>
      </c>
    </row>
    <row r="61" spans="2:31" ht="18.75" customHeight="1">
      <c r="B61" s="7">
        <v>52</v>
      </c>
      <c r="C61" s="7" t="s">
        <v>660</v>
      </c>
      <c r="D61" s="7">
        <v>2</v>
      </c>
      <c r="E61" s="7">
        <v>4</v>
      </c>
      <c r="F61" s="7" t="b">
        <v>1</v>
      </c>
      <c r="G61" s="7">
        <v>1</v>
      </c>
      <c r="H61" s="7"/>
      <c r="I61" s="7">
        <v>80</v>
      </c>
      <c r="J61" s="7">
        <v>80</v>
      </c>
      <c r="K61" s="7">
        <v>80</v>
      </c>
      <c r="L61" s="7">
        <v>80</v>
      </c>
      <c r="M61" s="7">
        <v>200</v>
      </c>
      <c r="N61" s="7">
        <v>180</v>
      </c>
      <c r="O61" s="7">
        <v>150</v>
      </c>
      <c r="P61" s="7">
        <v>100</v>
      </c>
      <c r="Q61" s="7">
        <v>140</v>
      </c>
      <c r="R61" s="7">
        <v>3400</v>
      </c>
      <c r="S61" s="7">
        <v>3200</v>
      </c>
      <c r="T61" s="7">
        <v>2900</v>
      </c>
      <c r="U61" s="7">
        <v>2000</v>
      </c>
      <c r="V61" s="7">
        <v>2000</v>
      </c>
      <c r="W61" s="7">
        <v>5200010001</v>
      </c>
      <c r="X61" s="7">
        <v>5200010002</v>
      </c>
      <c r="Y61" s="7">
        <v>5200010003</v>
      </c>
      <c r="Z61" s="7">
        <v>520001</v>
      </c>
      <c r="AA61" s="7">
        <v>520002</v>
      </c>
      <c r="AB61" s="7">
        <v>520003</v>
      </c>
      <c r="AC61" s="7">
        <v>520001</v>
      </c>
      <c r="AD61" s="7">
        <v>520002</v>
      </c>
      <c r="AE61" s="7">
        <v>520003</v>
      </c>
    </row>
    <row r="62" spans="2:31" ht="18.75" customHeight="1">
      <c r="B62" s="7">
        <v>53</v>
      </c>
      <c r="C62" s="7" t="s">
        <v>661</v>
      </c>
      <c r="D62" s="7">
        <v>3</v>
      </c>
      <c r="E62" s="7">
        <v>4</v>
      </c>
      <c r="F62" s="7" t="b">
        <v>1</v>
      </c>
      <c r="G62" s="7">
        <v>1</v>
      </c>
      <c r="H62" s="7"/>
      <c r="I62" s="7">
        <v>80</v>
      </c>
      <c r="J62" s="7">
        <v>80</v>
      </c>
      <c r="K62" s="7">
        <v>80</v>
      </c>
      <c r="L62" s="7">
        <v>80</v>
      </c>
      <c r="M62" s="7">
        <v>120</v>
      </c>
      <c r="N62" s="7">
        <v>180</v>
      </c>
      <c r="O62" s="7">
        <v>80</v>
      </c>
      <c r="P62" s="7">
        <v>100</v>
      </c>
      <c r="Q62" s="7">
        <v>160</v>
      </c>
      <c r="R62" s="7">
        <v>2600</v>
      </c>
      <c r="S62" s="7">
        <v>3200</v>
      </c>
      <c r="T62" s="7">
        <v>1900</v>
      </c>
      <c r="U62" s="7">
        <v>2000</v>
      </c>
      <c r="V62" s="7">
        <v>2200</v>
      </c>
      <c r="W62" s="7">
        <v>5300010001</v>
      </c>
      <c r="X62" s="7">
        <v>5300010002</v>
      </c>
      <c r="Y62" s="7">
        <v>5300010003</v>
      </c>
      <c r="Z62" s="7">
        <v>530001</v>
      </c>
      <c r="AA62" s="7">
        <v>530002</v>
      </c>
      <c r="AB62" s="7">
        <v>530003</v>
      </c>
      <c r="AC62" s="7">
        <v>530001</v>
      </c>
      <c r="AD62" s="7">
        <v>530002</v>
      </c>
      <c r="AE62" s="7">
        <v>530003</v>
      </c>
    </row>
    <row r="63" spans="2:31" ht="18.75" customHeight="1">
      <c r="B63" s="7">
        <v>54</v>
      </c>
      <c r="C63" s="7" t="s">
        <v>152</v>
      </c>
      <c r="D63" s="7">
        <v>4</v>
      </c>
      <c r="E63" s="7">
        <v>4</v>
      </c>
      <c r="F63" s="7" t="b">
        <v>1</v>
      </c>
      <c r="G63" s="7">
        <v>1</v>
      </c>
      <c r="H63" s="7"/>
      <c r="I63" s="7">
        <v>80</v>
      </c>
      <c r="J63" s="7">
        <v>80</v>
      </c>
      <c r="K63" s="7">
        <v>80</v>
      </c>
      <c r="L63" s="7">
        <v>80</v>
      </c>
      <c r="M63" s="7">
        <v>130</v>
      </c>
      <c r="N63" s="7">
        <v>120</v>
      </c>
      <c r="O63" s="7">
        <v>170</v>
      </c>
      <c r="P63" s="7">
        <v>100</v>
      </c>
      <c r="Q63" s="7">
        <v>130</v>
      </c>
      <c r="R63" s="7">
        <v>2800</v>
      </c>
      <c r="S63" s="7">
        <v>2600</v>
      </c>
      <c r="T63" s="7">
        <v>3100</v>
      </c>
      <c r="U63" s="7">
        <v>2000</v>
      </c>
      <c r="V63" s="7">
        <v>2900</v>
      </c>
      <c r="W63" s="7">
        <v>5400010001</v>
      </c>
      <c r="X63" s="7">
        <v>5400010002</v>
      </c>
      <c r="Y63" s="7">
        <v>5400010003</v>
      </c>
      <c r="Z63" s="7">
        <v>540001</v>
      </c>
      <c r="AA63" s="7">
        <v>540002</v>
      </c>
      <c r="AB63" s="7">
        <v>540003</v>
      </c>
      <c r="AC63" s="7">
        <v>540001</v>
      </c>
      <c r="AD63" s="7">
        <v>540002</v>
      </c>
      <c r="AE63" s="7">
        <v>540003</v>
      </c>
    </row>
    <row r="64" spans="2:31" ht="18.75" customHeight="1">
      <c r="B64" s="7">
        <v>55</v>
      </c>
      <c r="C64" s="7" t="s">
        <v>662</v>
      </c>
      <c r="D64" s="7">
        <v>5</v>
      </c>
      <c r="E64" s="7">
        <v>4</v>
      </c>
      <c r="F64" s="7" t="b">
        <v>1</v>
      </c>
      <c r="G64" s="7">
        <v>1</v>
      </c>
      <c r="H64" s="7"/>
      <c r="I64" s="7">
        <v>80</v>
      </c>
      <c r="J64" s="7">
        <v>80</v>
      </c>
      <c r="K64" s="7">
        <v>80</v>
      </c>
      <c r="L64" s="7">
        <v>80</v>
      </c>
      <c r="M64" s="7">
        <v>180</v>
      </c>
      <c r="N64" s="7">
        <v>140</v>
      </c>
      <c r="O64" s="7">
        <v>120</v>
      </c>
      <c r="P64" s="7">
        <v>100</v>
      </c>
      <c r="Q64" s="7">
        <v>100</v>
      </c>
      <c r="R64" s="7">
        <v>3200</v>
      </c>
      <c r="S64" s="7">
        <v>2700</v>
      </c>
      <c r="T64" s="7">
        <v>2600</v>
      </c>
      <c r="U64" s="7">
        <v>2000</v>
      </c>
      <c r="V64" s="7">
        <v>2300</v>
      </c>
      <c r="W64" s="7">
        <v>5500010001</v>
      </c>
      <c r="X64" s="7">
        <v>5500010002</v>
      </c>
      <c r="Y64" s="7">
        <v>5500010003</v>
      </c>
      <c r="Z64" s="7">
        <v>550001</v>
      </c>
      <c r="AA64" s="7">
        <v>550002</v>
      </c>
      <c r="AB64" s="7">
        <v>550003</v>
      </c>
      <c r="AC64" s="7">
        <v>550001</v>
      </c>
      <c r="AD64" s="7">
        <v>550002</v>
      </c>
      <c r="AE64" s="7">
        <v>550003</v>
      </c>
    </row>
    <row r="65" spans="2:31" ht="18.75" customHeight="1">
      <c r="B65" s="7">
        <v>56</v>
      </c>
      <c r="C65" s="7" t="s">
        <v>663</v>
      </c>
      <c r="D65" s="7">
        <v>1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80</v>
      </c>
      <c r="K65" s="7">
        <v>80</v>
      </c>
      <c r="L65" s="7">
        <v>80</v>
      </c>
      <c r="M65" s="7">
        <v>160</v>
      </c>
      <c r="N65" s="7">
        <v>180</v>
      </c>
      <c r="O65" s="7">
        <v>100</v>
      </c>
      <c r="P65" s="7">
        <v>100</v>
      </c>
      <c r="Q65" s="7">
        <v>60</v>
      </c>
      <c r="R65" s="7">
        <v>3000</v>
      </c>
      <c r="S65" s="7">
        <v>3200</v>
      </c>
      <c r="T65" s="7">
        <v>2400</v>
      </c>
      <c r="U65" s="7">
        <v>2000</v>
      </c>
      <c r="V65" s="7">
        <v>2400</v>
      </c>
      <c r="W65" s="7">
        <v>5600010001</v>
      </c>
      <c r="X65" s="7">
        <v>5600010002</v>
      </c>
      <c r="Y65" s="7">
        <v>5600010003</v>
      </c>
      <c r="Z65" s="7">
        <v>560001</v>
      </c>
      <c r="AA65" s="7">
        <v>560002</v>
      </c>
      <c r="AB65" s="7">
        <v>560003</v>
      </c>
      <c r="AC65" s="7">
        <v>560001</v>
      </c>
      <c r="AD65" s="7">
        <v>560002</v>
      </c>
      <c r="AE65" s="7">
        <v>560003</v>
      </c>
    </row>
    <row r="66" spans="2:31" ht="18.75" customHeight="1">
      <c r="B66" s="7">
        <v>57</v>
      </c>
      <c r="C66" s="7" t="s">
        <v>664</v>
      </c>
      <c r="D66" s="7">
        <v>2</v>
      </c>
      <c r="E66" s="7">
        <v>4</v>
      </c>
      <c r="F66" s="7" t="b">
        <v>1</v>
      </c>
      <c r="G66" s="7">
        <v>1</v>
      </c>
      <c r="H66" s="7"/>
      <c r="I66" s="7">
        <v>80</v>
      </c>
      <c r="J66" s="7">
        <v>80</v>
      </c>
      <c r="K66" s="7">
        <v>80</v>
      </c>
      <c r="L66" s="7">
        <v>80</v>
      </c>
      <c r="M66" s="7">
        <v>150</v>
      </c>
      <c r="N66" s="7">
        <v>140</v>
      </c>
      <c r="O66" s="7">
        <v>180</v>
      </c>
      <c r="P66" s="7">
        <v>100</v>
      </c>
      <c r="Q66" s="7">
        <v>120</v>
      </c>
      <c r="R66" s="7">
        <v>2900</v>
      </c>
      <c r="S66" s="7">
        <v>2700</v>
      </c>
      <c r="T66" s="7">
        <v>3200</v>
      </c>
      <c r="U66" s="7">
        <v>2000</v>
      </c>
      <c r="V66" s="7">
        <v>1200</v>
      </c>
      <c r="W66" s="7">
        <v>5700010001</v>
      </c>
      <c r="X66" s="7">
        <v>5700010002</v>
      </c>
      <c r="Y66" s="7">
        <v>5700010003</v>
      </c>
      <c r="Z66" s="7">
        <v>570001</v>
      </c>
      <c r="AA66" s="7">
        <v>570002</v>
      </c>
      <c r="AB66" s="7">
        <v>570003</v>
      </c>
      <c r="AC66" s="7">
        <v>570001</v>
      </c>
      <c r="AD66" s="7">
        <v>570002</v>
      </c>
      <c r="AE66" s="7">
        <v>570003</v>
      </c>
    </row>
    <row r="67" spans="2:31" ht="18.75" customHeight="1">
      <c r="B67" s="7">
        <v>58</v>
      </c>
      <c r="C67" s="7" t="s">
        <v>665</v>
      </c>
      <c r="D67" s="7">
        <v>3</v>
      </c>
      <c r="E67" s="7">
        <v>4</v>
      </c>
      <c r="F67" s="7" t="b">
        <v>1</v>
      </c>
      <c r="G67" s="7">
        <v>1</v>
      </c>
      <c r="H67" s="7"/>
      <c r="I67" s="7">
        <v>80</v>
      </c>
      <c r="J67" s="7">
        <v>80</v>
      </c>
      <c r="K67" s="7">
        <v>80</v>
      </c>
      <c r="L67" s="7">
        <v>80</v>
      </c>
      <c r="M67" s="7">
        <v>200</v>
      </c>
      <c r="N67" s="7">
        <v>180</v>
      </c>
      <c r="O67" s="7">
        <v>150</v>
      </c>
      <c r="P67" s="7">
        <v>100</v>
      </c>
      <c r="Q67" s="7">
        <v>100</v>
      </c>
      <c r="R67" s="7">
        <v>3400</v>
      </c>
      <c r="S67" s="7">
        <v>3200</v>
      </c>
      <c r="T67" s="7">
        <v>2900</v>
      </c>
      <c r="U67" s="7">
        <v>2000</v>
      </c>
      <c r="V67" s="7">
        <v>2800</v>
      </c>
      <c r="W67" s="7">
        <v>5800010001</v>
      </c>
      <c r="X67" s="7">
        <v>5800010002</v>
      </c>
      <c r="Y67" s="7">
        <v>5800010003</v>
      </c>
      <c r="Z67" s="7">
        <v>580001</v>
      </c>
      <c r="AA67" s="7">
        <v>580002</v>
      </c>
      <c r="AB67" s="7">
        <v>580003</v>
      </c>
      <c r="AC67" s="7">
        <v>580001</v>
      </c>
      <c r="AD67" s="7">
        <v>580002</v>
      </c>
      <c r="AE67" s="7">
        <v>580003</v>
      </c>
    </row>
    <row r="68" spans="2:31" ht="18.75" customHeight="1">
      <c r="B68" s="7">
        <v>59</v>
      </c>
      <c r="C68" s="7" t="s">
        <v>666</v>
      </c>
      <c r="D68" s="7">
        <v>4</v>
      </c>
      <c r="E68" s="7">
        <v>4</v>
      </c>
      <c r="F68" s="7" t="b">
        <v>1</v>
      </c>
      <c r="G68" s="7">
        <v>1</v>
      </c>
      <c r="H68" s="7"/>
      <c r="I68" s="7">
        <v>80</v>
      </c>
      <c r="J68" s="7">
        <v>80</v>
      </c>
      <c r="K68" s="7">
        <v>80</v>
      </c>
      <c r="L68" s="7">
        <v>80</v>
      </c>
      <c r="M68" s="7">
        <v>150</v>
      </c>
      <c r="N68" s="7">
        <v>140</v>
      </c>
      <c r="O68" s="7">
        <v>180</v>
      </c>
      <c r="P68" s="7">
        <v>100</v>
      </c>
      <c r="Q68" s="7">
        <v>100</v>
      </c>
      <c r="R68" s="7">
        <v>2900</v>
      </c>
      <c r="S68" s="7">
        <v>2700</v>
      </c>
      <c r="T68" s="7">
        <v>3200</v>
      </c>
      <c r="U68" s="7">
        <v>2000</v>
      </c>
      <c r="V68" s="7">
        <v>2300</v>
      </c>
      <c r="W68" s="7">
        <v>5900010001</v>
      </c>
      <c r="X68" s="7">
        <v>5900010002</v>
      </c>
      <c r="Y68" s="7">
        <v>5900010003</v>
      </c>
      <c r="Z68" s="7">
        <v>590001</v>
      </c>
      <c r="AA68" s="7">
        <v>590002</v>
      </c>
      <c r="AB68" s="7">
        <v>590003</v>
      </c>
      <c r="AC68" s="7">
        <v>590001</v>
      </c>
      <c r="AD68" s="7">
        <v>590002</v>
      </c>
      <c r="AE68" s="7">
        <v>590003</v>
      </c>
    </row>
    <row r="69" spans="2:31" ht="18.75" customHeight="1">
      <c r="B69" s="7">
        <v>60</v>
      </c>
      <c r="C69" s="7" t="s">
        <v>667</v>
      </c>
      <c r="D69" s="7">
        <v>5</v>
      </c>
      <c r="E69" s="7">
        <v>4</v>
      </c>
      <c r="F69" s="7" t="b">
        <v>1</v>
      </c>
      <c r="G69" s="7">
        <v>1</v>
      </c>
      <c r="H69" s="7"/>
      <c r="I69" s="7">
        <v>80</v>
      </c>
      <c r="J69" s="7">
        <v>80</v>
      </c>
      <c r="K69" s="7">
        <v>80</v>
      </c>
      <c r="L69" s="7">
        <v>80</v>
      </c>
      <c r="M69" s="7">
        <v>200</v>
      </c>
      <c r="N69" s="7">
        <v>180</v>
      </c>
      <c r="O69" s="7">
        <v>150</v>
      </c>
      <c r="P69" s="7">
        <v>100</v>
      </c>
      <c r="Q69" s="7">
        <v>120</v>
      </c>
      <c r="R69" s="7">
        <v>3400</v>
      </c>
      <c r="S69" s="7">
        <v>3200</v>
      </c>
      <c r="T69" s="7">
        <v>2900</v>
      </c>
      <c r="U69" s="7">
        <v>2000</v>
      </c>
      <c r="V69" s="7">
        <v>2600</v>
      </c>
      <c r="W69" s="7">
        <v>6000010001</v>
      </c>
      <c r="X69" s="7">
        <v>6000010002</v>
      </c>
      <c r="Y69" s="7">
        <v>6000010003</v>
      </c>
      <c r="Z69" s="7">
        <v>600001</v>
      </c>
      <c r="AA69" s="7">
        <v>600002</v>
      </c>
      <c r="AB69" s="7">
        <v>600003</v>
      </c>
      <c r="AC69" s="7">
        <v>600001</v>
      </c>
      <c r="AD69" s="7">
        <v>600002</v>
      </c>
      <c r="AE69" s="7">
        <v>600003</v>
      </c>
    </row>
    <row r="70" spans="2:31" ht="18.75" customHeight="1">
      <c r="B70" s="7">
        <v>61</v>
      </c>
      <c r="C70" s="7" t="s">
        <v>668</v>
      </c>
      <c r="D70" s="7">
        <v>1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80</v>
      </c>
      <c r="K70" s="7">
        <v>80</v>
      </c>
      <c r="L70" s="7">
        <v>80</v>
      </c>
      <c r="M70" s="7">
        <v>120</v>
      </c>
      <c r="N70" s="7">
        <v>180</v>
      </c>
      <c r="O70" s="7">
        <v>80</v>
      </c>
      <c r="P70" s="7">
        <v>100</v>
      </c>
      <c r="Q70" s="7">
        <v>100</v>
      </c>
      <c r="R70" s="7">
        <v>2600</v>
      </c>
      <c r="S70" s="7">
        <v>3200</v>
      </c>
      <c r="T70" s="7">
        <v>1900</v>
      </c>
      <c r="U70" s="7">
        <v>2000</v>
      </c>
      <c r="V70" s="7">
        <v>2000</v>
      </c>
      <c r="W70" s="7">
        <v>6100010001</v>
      </c>
      <c r="X70" s="7">
        <v>6100010002</v>
      </c>
      <c r="Y70" s="7">
        <v>6100010003</v>
      </c>
      <c r="Z70" s="7">
        <v>610001</v>
      </c>
      <c r="AA70" s="7">
        <v>610002</v>
      </c>
      <c r="AB70" s="7">
        <v>610003</v>
      </c>
      <c r="AC70" s="7">
        <v>610001</v>
      </c>
      <c r="AD70" s="7">
        <v>610002</v>
      </c>
      <c r="AE70" s="7">
        <v>610003</v>
      </c>
    </row>
    <row r="71" spans="2:31" ht="18.75" customHeight="1">
      <c r="B71" s="7">
        <v>62</v>
      </c>
      <c r="C71" s="7" t="s">
        <v>669</v>
      </c>
      <c r="D71" s="7">
        <v>2</v>
      </c>
      <c r="E71" s="7">
        <v>4</v>
      </c>
      <c r="F71" s="7" t="b">
        <v>1</v>
      </c>
      <c r="G71" s="7">
        <v>1</v>
      </c>
      <c r="H71" s="7"/>
      <c r="I71" s="7">
        <v>80</v>
      </c>
      <c r="J71" s="7">
        <v>80</v>
      </c>
      <c r="K71" s="7">
        <v>80</v>
      </c>
      <c r="L71" s="7">
        <v>80</v>
      </c>
      <c r="M71" s="7">
        <v>130</v>
      </c>
      <c r="N71" s="7">
        <v>120</v>
      </c>
      <c r="O71" s="7">
        <v>170</v>
      </c>
      <c r="P71" s="7">
        <v>100</v>
      </c>
      <c r="Q71" s="7">
        <v>120</v>
      </c>
      <c r="R71" s="7">
        <v>2800</v>
      </c>
      <c r="S71" s="7">
        <v>2600</v>
      </c>
      <c r="T71" s="7">
        <v>3100</v>
      </c>
      <c r="U71" s="7">
        <v>2000</v>
      </c>
      <c r="V71" s="7">
        <v>2600</v>
      </c>
      <c r="W71" s="7">
        <v>6200010001</v>
      </c>
      <c r="X71" s="7">
        <v>6200010002</v>
      </c>
      <c r="Y71" s="7">
        <v>6200010003</v>
      </c>
      <c r="Z71" s="7">
        <v>620001</v>
      </c>
      <c r="AA71" s="7">
        <v>620002</v>
      </c>
      <c r="AB71" s="7">
        <v>620003</v>
      </c>
      <c r="AC71" s="7">
        <v>620001</v>
      </c>
      <c r="AD71" s="7">
        <v>620002</v>
      </c>
      <c r="AE71" s="7">
        <v>620003</v>
      </c>
    </row>
    <row r="72" spans="2:31" ht="18.75" customHeight="1">
      <c r="B72" s="7">
        <v>63</v>
      </c>
      <c r="C72" s="7" t="s">
        <v>670</v>
      </c>
      <c r="D72" s="7">
        <v>3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80</v>
      </c>
      <c r="K72" s="7">
        <v>80</v>
      </c>
      <c r="L72" s="7">
        <v>80</v>
      </c>
      <c r="M72" s="7">
        <v>180</v>
      </c>
      <c r="N72" s="7">
        <v>140</v>
      </c>
      <c r="O72" s="7">
        <v>120</v>
      </c>
      <c r="P72" s="7">
        <v>100</v>
      </c>
      <c r="Q72" s="7">
        <v>80</v>
      </c>
      <c r="R72" s="7">
        <v>3200</v>
      </c>
      <c r="S72" s="7">
        <v>2700</v>
      </c>
      <c r="T72" s="7">
        <v>2600</v>
      </c>
      <c r="U72" s="7">
        <v>2000</v>
      </c>
      <c r="V72" s="7">
        <v>1500</v>
      </c>
      <c r="W72" s="7">
        <v>6300010001</v>
      </c>
      <c r="X72" s="7">
        <v>6300010002</v>
      </c>
      <c r="Y72" s="7">
        <v>6300010003</v>
      </c>
      <c r="Z72" s="7">
        <v>630001</v>
      </c>
      <c r="AA72" s="7">
        <v>630002</v>
      </c>
      <c r="AB72" s="7">
        <v>630003</v>
      </c>
      <c r="AC72" s="7">
        <v>630001</v>
      </c>
      <c r="AD72" s="7">
        <v>630002</v>
      </c>
      <c r="AE72" s="7">
        <v>630003</v>
      </c>
    </row>
    <row r="73" spans="2:31" ht="18.75" customHeight="1">
      <c r="B73" s="7">
        <v>64</v>
      </c>
      <c r="C73" s="7" t="s">
        <v>671</v>
      </c>
      <c r="D73" s="7">
        <v>4</v>
      </c>
      <c r="E73" s="7">
        <v>4</v>
      </c>
      <c r="F73" s="7" t="b">
        <v>1</v>
      </c>
      <c r="G73" s="7">
        <v>1</v>
      </c>
      <c r="H73" s="7"/>
      <c r="I73" s="7">
        <v>80</v>
      </c>
      <c r="J73" s="7">
        <v>80</v>
      </c>
      <c r="K73" s="7">
        <v>80</v>
      </c>
      <c r="L73" s="7">
        <v>80</v>
      </c>
      <c r="M73" s="7">
        <v>160</v>
      </c>
      <c r="N73" s="7">
        <v>180</v>
      </c>
      <c r="O73" s="7">
        <v>100</v>
      </c>
      <c r="P73" s="7">
        <v>100</v>
      </c>
      <c r="Q73" s="7">
        <v>100</v>
      </c>
      <c r="R73" s="7">
        <v>3000</v>
      </c>
      <c r="S73" s="7">
        <v>3200</v>
      </c>
      <c r="T73" s="7">
        <v>2400</v>
      </c>
      <c r="U73" s="7">
        <v>2000</v>
      </c>
      <c r="V73" s="7">
        <v>2600</v>
      </c>
      <c r="W73" s="7">
        <v>6400010001</v>
      </c>
      <c r="X73" s="7">
        <v>6400010002</v>
      </c>
      <c r="Y73" s="7">
        <v>6400010003</v>
      </c>
      <c r="Z73" s="7">
        <v>640001</v>
      </c>
      <c r="AA73" s="7">
        <v>640002</v>
      </c>
      <c r="AB73" s="7">
        <v>640003</v>
      </c>
      <c r="AC73" s="7">
        <v>640001</v>
      </c>
      <c r="AD73" s="7">
        <v>640002</v>
      </c>
      <c r="AE73" s="7">
        <v>640003</v>
      </c>
    </row>
    <row r="74" spans="2:31" ht="18.75" customHeight="1">
      <c r="B74" s="7">
        <v>65</v>
      </c>
      <c r="C74" s="7" t="s">
        <v>672</v>
      </c>
      <c r="D74" s="7">
        <v>5</v>
      </c>
      <c r="E74" s="7">
        <v>4</v>
      </c>
      <c r="F74" s="7" t="b">
        <v>1</v>
      </c>
      <c r="G74" s="7">
        <v>1</v>
      </c>
      <c r="H74" s="7"/>
      <c r="I74" s="7">
        <v>80</v>
      </c>
      <c r="J74" s="7">
        <v>80</v>
      </c>
      <c r="K74" s="7">
        <v>80</v>
      </c>
      <c r="L74" s="7">
        <v>80</v>
      </c>
      <c r="M74" s="7">
        <v>150</v>
      </c>
      <c r="N74" s="7">
        <v>140</v>
      </c>
      <c r="O74" s="7">
        <v>180</v>
      </c>
      <c r="P74" s="7">
        <v>100</v>
      </c>
      <c r="Q74" s="7">
        <v>100</v>
      </c>
      <c r="R74" s="7">
        <v>2900</v>
      </c>
      <c r="S74" s="7">
        <v>2700</v>
      </c>
      <c r="T74" s="7">
        <v>3200</v>
      </c>
      <c r="U74" s="7">
        <v>2000</v>
      </c>
      <c r="V74" s="7">
        <v>2200</v>
      </c>
      <c r="W74" s="7">
        <v>6500010001</v>
      </c>
      <c r="X74" s="7">
        <v>6500010002</v>
      </c>
      <c r="Y74" s="7">
        <v>6500010003</v>
      </c>
      <c r="Z74" s="7">
        <v>650001</v>
      </c>
      <c r="AA74" s="7">
        <v>650002</v>
      </c>
      <c r="AB74" s="7">
        <v>650003</v>
      </c>
      <c r="AC74" s="7">
        <v>650001</v>
      </c>
      <c r="AD74" s="7">
        <v>650002</v>
      </c>
      <c r="AE74" s="7">
        <v>650003</v>
      </c>
    </row>
    <row r="75" spans="2:31" ht="18.75" customHeight="1">
      <c r="B75" s="7">
        <v>66</v>
      </c>
      <c r="C75" s="7" t="s">
        <v>673</v>
      </c>
      <c r="D75" s="7">
        <v>1</v>
      </c>
      <c r="E75" s="7">
        <v>4</v>
      </c>
      <c r="F75" s="7" t="b">
        <v>1</v>
      </c>
      <c r="G75" s="7">
        <v>1</v>
      </c>
      <c r="H75" s="7"/>
      <c r="I75" s="7">
        <v>80</v>
      </c>
      <c r="J75" s="7">
        <v>80</v>
      </c>
      <c r="K75" s="7">
        <v>80</v>
      </c>
      <c r="L75" s="7">
        <v>80</v>
      </c>
      <c r="M75" s="7">
        <v>200</v>
      </c>
      <c r="N75" s="7">
        <v>180</v>
      </c>
      <c r="O75" s="7">
        <v>150</v>
      </c>
      <c r="P75" s="7">
        <v>100</v>
      </c>
      <c r="Q75" s="7">
        <v>60</v>
      </c>
      <c r="R75" s="7">
        <v>3400</v>
      </c>
      <c r="S75" s="7">
        <v>3200</v>
      </c>
      <c r="T75" s="7">
        <v>2900</v>
      </c>
      <c r="U75" s="7">
        <v>2000</v>
      </c>
      <c r="V75" s="7">
        <v>1200</v>
      </c>
      <c r="W75" s="7">
        <v>6600010001</v>
      </c>
      <c r="X75" s="7">
        <v>6600010002</v>
      </c>
      <c r="Y75" s="7">
        <v>6600010003</v>
      </c>
      <c r="Z75" s="7">
        <v>660001</v>
      </c>
      <c r="AA75" s="7">
        <v>660002</v>
      </c>
      <c r="AB75" s="7">
        <v>660003</v>
      </c>
      <c r="AC75" s="7">
        <v>660001</v>
      </c>
      <c r="AD75" s="7">
        <v>660002</v>
      </c>
      <c r="AE75" s="7">
        <v>660003</v>
      </c>
    </row>
    <row r="76" spans="2:31" ht="18.75" customHeight="1">
      <c r="B76" s="7">
        <v>67</v>
      </c>
      <c r="C76" s="7" t="s">
        <v>674</v>
      </c>
      <c r="D76" s="7">
        <v>2</v>
      </c>
      <c r="E76" s="7">
        <v>4</v>
      </c>
      <c r="F76" s="7" t="b">
        <v>1</v>
      </c>
      <c r="G76" s="7">
        <v>1</v>
      </c>
      <c r="H76" s="7"/>
      <c r="I76" s="7">
        <v>80</v>
      </c>
      <c r="J76" s="7">
        <v>80</v>
      </c>
      <c r="K76" s="7">
        <v>80</v>
      </c>
      <c r="L76" s="7">
        <v>80</v>
      </c>
      <c r="M76" s="7">
        <v>120</v>
      </c>
      <c r="N76" s="7">
        <v>180</v>
      </c>
      <c r="O76" s="7">
        <v>80</v>
      </c>
      <c r="P76" s="7">
        <v>100</v>
      </c>
      <c r="Q76" s="7">
        <v>100</v>
      </c>
      <c r="R76" s="7">
        <v>2600</v>
      </c>
      <c r="S76" s="7">
        <v>3200</v>
      </c>
      <c r="T76" s="7">
        <v>1900</v>
      </c>
      <c r="U76" s="7">
        <v>2000</v>
      </c>
      <c r="V76" s="7">
        <v>2000</v>
      </c>
      <c r="W76" s="7">
        <v>6700010001</v>
      </c>
      <c r="X76" s="7">
        <v>6700010002</v>
      </c>
      <c r="Y76" s="7">
        <v>6700010003</v>
      </c>
      <c r="Z76" s="7">
        <v>670001</v>
      </c>
      <c r="AA76" s="7">
        <v>670002</v>
      </c>
      <c r="AB76" s="7">
        <v>670003</v>
      </c>
      <c r="AC76" s="7">
        <v>670001</v>
      </c>
      <c r="AD76" s="7">
        <v>670002</v>
      </c>
      <c r="AE76" s="7">
        <v>670003</v>
      </c>
    </row>
    <row r="77" spans="2:31" ht="18.75" customHeight="1">
      <c r="B77" s="7">
        <v>68</v>
      </c>
      <c r="C77" s="7" t="s">
        <v>675</v>
      </c>
      <c r="D77" s="7">
        <v>3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80</v>
      </c>
      <c r="K77" s="7">
        <v>80</v>
      </c>
      <c r="L77" s="7">
        <v>80</v>
      </c>
      <c r="M77" s="7">
        <v>130</v>
      </c>
      <c r="N77" s="7">
        <v>120</v>
      </c>
      <c r="O77" s="7">
        <v>170</v>
      </c>
      <c r="P77" s="7">
        <v>100</v>
      </c>
      <c r="Q77" s="7">
        <v>80</v>
      </c>
      <c r="R77" s="7">
        <v>2800</v>
      </c>
      <c r="S77" s="7">
        <v>2600</v>
      </c>
      <c r="T77" s="7">
        <v>3100</v>
      </c>
      <c r="U77" s="7">
        <v>2000</v>
      </c>
      <c r="V77" s="7">
        <v>1600</v>
      </c>
      <c r="W77" s="7">
        <v>6800010001</v>
      </c>
      <c r="X77" s="7">
        <v>6800010002</v>
      </c>
      <c r="Y77" s="7">
        <v>6800010003</v>
      </c>
      <c r="Z77" s="7">
        <v>680001</v>
      </c>
      <c r="AA77" s="7">
        <v>680002</v>
      </c>
      <c r="AB77" s="7">
        <v>680003</v>
      </c>
      <c r="AC77" s="7">
        <v>680001</v>
      </c>
      <c r="AD77" s="7">
        <v>680002</v>
      </c>
      <c r="AE77" s="7">
        <v>680003</v>
      </c>
    </row>
    <row r="78" spans="2:31" ht="18.75" customHeight="1">
      <c r="B78" s="7">
        <v>69</v>
      </c>
      <c r="C78" s="7" t="s">
        <v>676</v>
      </c>
      <c r="D78" s="7">
        <v>4</v>
      </c>
      <c r="E78" s="7">
        <v>4</v>
      </c>
      <c r="F78" s="7" t="b">
        <v>1</v>
      </c>
      <c r="G78" s="7">
        <v>1</v>
      </c>
      <c r="H78" s="7"/>
      <c r="I78" s="7">
        <v>80</v>
      </c>
      <c r="J78" s="7">
        <v>80</v>
      </c>
      <c r="K78" s="7">
        <v>80</v>
      </c>
      <c r="L78" s="7">
        <v>80</v>
      </c>
      <c r="M78" s="7">
        <v>180</v>
      </c>
      <c r="N78" s="7">
        <v>140</v>
      </c>
      <c r="O78" s="7">
        <v>120</v>
      </c>
      <c r="P78" s="7">
        <v>100</v>
      </c>
      <c r="Q78" s="7">
        <v>60</v>
      </c>
      <c r="R78" s="7">
        <v>3200</v>
      </c>
      <c r="S78" s="7">
        <v>2700</v>
      </c>
      <c r="T78" s="7">
        <v>2600</v>
      </c>
      <c r="U78" s="7">
        <v>2000</v>
      </c>
      <c r="V78" s="7">
        <v>1400</v>
      </c>
      <c r="W78" s="7">
        <v>6900010001</v>
      </c>
      <c r="X78" s="7">
        <v>6900010002</v>
      </c>
      <c r="Y78" s="7">
        <v>6900010003</v>
      </c>
      <c r="Z78" s="7">
        <v>690001</v>
      </c>
      <c r="AA78" s="7">
        <v>690002</v>
      </c>
      <c r="AB78" s="7">
        <v>690003</v>
      </c>
      <c r="AC78" s="7">
        <v>690001</v>
      </c>
      <c r="AD78" s="7">
        <v>690002</v>
      </c>
      <c r="AE78" s="7">
        <v>690003</v>
      </c>
    </row>
    <row r="79" spans="2:31" ht="18.75" customHeight="1">
      <c r="B79" s="7">
        <v>70</v>
      </c>
      <c r="C79" s="7" t="s">
        <v>677</v>
      </c>
      <c r="D79" s="7">
        <v>5</v>
      </c>
      <c r="E79" s="7">
        <v>4</v>
      </c>
      <c r="F79" s="7" t="b">
        <v>1</v>
      </c>
      <c r="G79" s="7">
        <v>1</v>
      </c>
      <c r="H79" s="7"/>
      <c r="I79" s="7">
        <v>80</v>
      </c>
      <c r="J79" s="7">
        <v>80</v>
      </c>
      <c r="K79" s="7">
        <v>80</v>
      </c>
      <c r="L79" s="7">
        <v>80</v>
      </c>
      <c r="M79" s="7">
        <v>160</v>
      </c>
      <c r="N79" s="7">
        <v>180</v>
      </c>
      <c r="O79" s="7">
        <v>100</v>
      </c>
      <c r="P79" s="7">
        <v>100</v>
      </c>
      <c r="Q79" s="7">
        <v>100</v>
      </c>
      <c r="R79" s="7">
        <v>3000</v>
      </c>
      <c r="S79" s="7">
        <v>3200</v>
      </c>
      <c r="T79" s="7">
        <v>2400</v>
      </c>
      <c r="U79" s="7">
        <v>2000</v>
      </c>
      <c r="V79" s="7">
        <v>2000</v>
      </c>
      <c r="W79" s="7">
        <v>7000010001</v>
      </c>
      <c r="X79" s="7">
        <v>7000010002</v>
      </c>
      <c r="Y79" s="7">
        <v>7000010003</v>
      </c>
      <c r="Z79" s="7">
        <v>700001</v>
      </c>
      <c r="AA79" s="7">
        <v>700002</v>
      </c>
      <c r="AB79" s="7">
        <v>700003</v>
      </c>
      <c r="AC79" s="7">
        <v>700001</v>
      </c>
      <c r="AD79" s="7">
        <v>700002</v>
      </c>
      <c r="AE79" s="7">
        <v>700003</v>
      </c>
    </row>
    <row r="80" spans="2:31" ht="18.75" customHeight="1">
      <c r="M80" s="7"/>
      <c r="N80" s="7"/>
      <c r="O80" s="7"/>
      <c r="P80" s="7"/>
      <c r="Q80" s="7"/>
      <c r="R80" s="7"/>
      <c r="S80" s="7"/>
      <c r="T80" s="7"/>
      <c r="U80" s="7"/>
      <c r="V80" s="7"/>
    </row>
    <row r="81" spans="13:22" ht="18.75" customHeight="1">
      <c r="M81" s="7"/>
      <c r="N81" s="7"/>
      <c r="O81" s="7"/>
      <c r="P81" s="7"/>
      <c r="Q81" s="7"/>
      <c r="R81" s="7"/>
      <c r="S81" s="7"/>
      <c r="T81" s="7"/>
      <c r="U81" s="7"/>
      <c r="V81" s="7"/>
    </row>
    <row r="82" spans="13:22" ht="18.75" customHeight="1">
      <c r="M82" s="7"/>
      <c r="N82" s="7"/>
      <c r="O82" s="7"/>
      <c r="P82" s="7"/>
      <c r="Q82" s="7"/>
      <c r="R82" s="7"/>
      <c r="S82" s="7"/>
      <c r="T82" s="7"/>
      <c r="U82" s="7"/>
      <c r="V82" s="7"/>
    </row>
    <row r="83" spans="13:22" ht="18.75" customHeight="1"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3:22" ht="18.75" customHeight="1"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3:22" ht="18.75" customHeight="1"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3:22" ht="18.75" customHeight="1"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3:22" ht="18.75" customHeight="1"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3:22" ht="18.75" customHeight="1"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3:22" ht="18.75" customHeight="1"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3:22" ht="18.75" customHeight="1"/>
    <row r="91" spans="13:22" ht="18.75" customHeight="1"/>
    <row r="92" spans="13:22" ht="18.75" customHeight="1"/>
    <row r="93" spans="13:22" ht="18.75" customHeight="1"/>
    <row r="94" spans="13:22" ht="18.75" customHeight="1"/>
    <row r="95" spans="13:22" ht="18.75" customHeight="1"/>
    <row r="96" spans="13:22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Z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19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22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223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25</v>
      </c>
    </row>
    <row r="3" spans="1:38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26</v>
      </c>
      <c r="D4" s="3" t="s">
        <v>224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295</v>
      </c>
      <c r="M4" s="3" t="s">
        <v>243</v>
      </c>
      <c r="N4" s="3"/>
      <c r="O4" s="3"/>
      <c r="P4" s="3"/>
      <c r="Q4" s="3"/>
      <c r="R4" s="3"/>
      <c r="S4" s="3" t="s">
        <v>246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 t="s">
        <v>244</v>
      </c>
      <c r="T6" s="3" t="s">
        <v>245</v>
      </c>
      <c r="U6" s="3" t="s">
        <v>285</v>
      </c>
      <c r="V6" s="3" t="s">
        <v>244</v>
      </c>
      <c r="W6" s="3" t="s">
        <v>245</v>
      </c>
      <c r="X6" s="3" t="s">
        <v>285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7</v>
      </c>
      <c r="D7" s="4" t="s">
        <v>20</v>
      </c>
      <c r="E7" s="4" t="s">
        <v>8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20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 t="s">
        <v>7</v>
      </c>
      <c r="T7" s="4" t="s">
        <v>7</v>
      </c>
      <c r="U7" s="4" t="s">
        <v>129</v>
      </c>
      <c r="V7" s="4" t="s">
        <v>7</v>
      </c>
      <c r="W7" s="4" t="s">
        <v>7</v>
      </c>
      <c r="X7" s="4" t="s">
        <v>129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26.75" customHeight="1">
      <c r="A8" s="57" t="s">
        <v>10</v>
      </c>
      <c r="B8" s="5" t="s">
        <v>11</v>
      </c>
      <c r="C8" s="5" t="s">
        <v>27</v>
      </c>
      <c r="D8" s="5" t="s">
        <v>225</v>
      </c>
      <c r="E8" s="5" t="s">
        <v>229</v>
      </c>
      <c r="F8" s="6" t="s">
        <v>169</v>
      </c>
      <c r="G8" s="6" t="s">
        <v>31</v>
      </c>
      <c r="H8" s="6" t="s">
        <v>33</v>
      </c>
      <c r="I8" s="6" t="s">
        <v>169</v>
      </c>
      <c r="J8" s="6" t="s">
        <v>31</v>
      </c>
      <c r="K8" s="6" t="s">
        <v>33</v>
      </c>
      <c r="L8" s="6" t="s">
        <v>296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6" t="s">
        <v>247</v>
      </c>
      <c r="T8" s="6" t="s">
        <v>248</v>
      </c>
      <c r="U8" s="6" t="s">
        <v>286</v>
      </c>
      <c r="V8" s="6" t="s">
        <v>247</v>
      </c>
      <c r="W8" s="6" t="s">
        <v>248</v>
      </c>
      <c r="X8" s="6" t="s">
        <v>286</v>
      </c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5"/>
      <c r="I9" s="5"/>
      <c r="J9" s="5"/>
      <c r="K9" s="5"/>
      <c r="L9" s="18"/>
      <c r="M9" s="19" t="s">
        <v>287</v>
      </c>
      <c r="N9" s="19"/>
      <c r="O9" s="19"/>
      <c r="P9" s="19" t="s">
        <v>287</v>
      </c>
      <c r="Q9" s="19"/>
      <c r="R9" s="19"/>
      <c r="S9" s="19" t="s">
        <v>287</v>
      </c>
      <c r="T9" s="18"/>
      <c r="U9" s="19"/>
      <c r="V9" s="19" t="s">
        <v>287</v>
      </c>
      <c r="W9" s="19"/>
      <c r="X9" s="19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1001001</v>
      </c>
      <c r="C10" s="7">
        <v>1</v>
      </c>
      <c r="D10" s="5">
        <v>3001001</v>
      </c>
      <c r="E10" s="5" t="s">
        <v>230</v>
      </c>
      <c r="F10" s="7">
        <v>1</v>
      </c>
      <c r="G10" s="7">
        <v>1</v>
      </c>
      <c r="H10" s="7">
        <v>5</v>
      </c>
      <c r="I10" s="7"/>
      <c r="J10" s="7"/>
      <c r="K10" s="7"/>
      <c r="L10" s="7">
        <v>1</v>
      </c>
      <c r="M10" s="7"/>
      <c r="N10" s="7"/>
      <c r="O10" s="26"/>
      <c r="P10" s="7"/>
      <c r="Q10" s="7"/>
      <c r="R10" s="26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58"/>
      <c r="B11" s="7">
        <v>1001002</v>
      </c>
      <c r="C11" s="7">
        <v>1</v>
      </c>
      <c r="D11" s="7">
        <v>3001002</v>
      </c>
      <c r="E11" s="7" t="s">
        <v>231</v>
      </c>
      <c r="F11" s="7">
        <v>1</v>
      </c>
      <c r="G11" s="7">
        <v>1</v>
      </c>
      <c r="H11" s="7">
        <v>50</v>
      </c>
      <c r="I11" s="7"/>
      <c r="J11" s="7"/>
      <c r="K11" s="7"/>
      <c r="L11" s="7">
        <v>2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1002001</v>
      </c>
      <c r="C12" s="7">
        <v>2</v>
      </c>
      <c r="D12" s="5">
        <v>3002001</v>
      </c>
      <c r="E12" s="5" t="s">
        <v>230</v>
      </c>
      <c r="F12" s="7">
        <v>1</v>
      </c>
      <c r="G12" s="7">
        <v>1</v>
      </c>
      <c r="H12" s="7">
        <v>5</v>
      </c>
      <c r="I12" s="7"/>
      <c r="J12" s="7"/>
      <c r="K12" s="7"/>
      <c r="L12" s="7">
        <v>1</v>
      </c>
      <c r="M12" s="7">
        <v>3</v>
      </c>
      <c r="N12" s="7"/>
      <c r="O12" s="26" t="s">
        <v>298</v>
      </c>
      <c r="P12" s="7">
        <v>4</v>
      </c>
      <c r="Q12" s="7"/>
      <c r="R12" s="26" t="s">
        <v>297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1002002</v>
      </c>
      <c r="C13" s="7">
        <v>2</v>
      </c>
      <c r="D13" s="7">
        <v>3002002</v>
      </c>
      <c r="E13" s="7" t="s">
        <v>231</v>
      </c>
      <c r="F13" s="7">
        <v>1</v>
      </c>
      <c r="G13" s="7">
        <v>1</v>
      </c>
      <c r="H13" s="7">
        <v>50</v>
      </c>
      <c r="I13" s="7"/>
      <c r="J13" s="7"/>
      <c r="K13" s="7"/>
      <c r="L13" s="7">
        <v>2</v>
      </c>
      <c r="M13" s="7">
        <v>3</v>
      </c>
      <c r="N13" s="7"/>
      <c r="O13" s="26" t="s">
        <v>298</v>
      </c>
      <c r="P13" s="7">
        <v>4</v>
      </c>
      <c r="Q13" s="7"/>
      <c r="R13" s="26" t="s">
        <v>297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26"/>
      <c r="P14" s="7"/>
      <c r="Q14" s="7"/>
      <c r="R14" s="2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41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8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 t="s">
        <v>38</v>
      </c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35</v>
      </c>
      <c r="D10" s="7" t="s">
        <v>39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36</v>
      </c>
      <c r="D11" s="7" t="s">
        <v>40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252</v>
      </c>
      <c r="D12" s="7" t="s">
        <v>254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253</v>
      </c>
      <c r="D13" s="7" t="s">
        <v>255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18"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130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1841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1842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1843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1844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5</v>
      </c>
      <c r="C14" s="7" t="s">
        <v>1845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 t="s">
        <v>1846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1847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 t="s">
        <v>1848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1849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 t="s">
        <v>1850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11</v>
      </c>
      <c r="C20" s="7" t="s">
        <v>1851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1852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13</v>
      </c>
      <c r="C22" s="7" t="s">
        <v>1853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1854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15</v>
      </c>
      <c r="C24" s="7" t="s">
        <v>1855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 t="s">
        <v>1856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1857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 t="s">
        <v>1858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1859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 t="s">
        <v>1860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21</v>
      </c>
      <c r="C30" s="7" t="s">
        <v>1861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132</v>
      </c>
      <c r="D8" s="6" t="s">
        <v>134</v>
      </c>
      <c r="E8" s="6" t="s">
        <v>136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159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157</v>
      </c>
      <c r="E8" s="6" t="s">
        <v>156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160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161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162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10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v>14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v>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6">
        <v>18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v>20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v>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6">
        <v>24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v>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v>28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v>30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6">
        <v>32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v>34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6">
        <v>38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v>40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v>42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v>44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6">
        <v>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v>48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v>50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6">
        <v>52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v>54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v>56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v>58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6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v>62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v>64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6">
        <v>66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v>68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v>70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v>72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6">
        <v>74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v>76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v>78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6">
        <v>80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v>82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v>84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v>86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6">
        <v>88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v>90</v>
      </c>
      <c r="E50" s="7"/>
    </row>
    <row r="51" spans="1:38" ht="18.75" customHeight="1">
      <c r="B51" s="7">
        <v>42</v>
      </c>
      <c r="C51" s="7">
        <v>42</v>
      </c>
      <c r="D51" s="7">
        <v>92</v>
      </c>
      <c r="E51" s="7"/>
    </row>
    <row r="52" spans="1:38" ht="18.75" customHeight="1">
      <c r="B52" s="5">
        <v>43</v>
      </c>
      <c r="C52" s="7">
        <v>43</v>
      </c>
      <c r="D52" s="6">
        <v>94</v>
      </c>
      <c r="E52" s="7"/>
    </row>
    <row r="53" spans="1:38" ht="18.75" customHeight="1">
      <c r="B53" s="7">
        <v>44</v>
      </c>
      <c r="C53" s="7">
        <v>44</v>
      </c>
      <c r="D53" s="7">
        <v>96</v>
      </c>
      <c r="E53" s="7"/>
    </row>
    <row r="54" spans="1:38" ht="18.75" customHeight="1">
      <c r="B54" s="5">
        <v>45</v>
      </c>
      <c r="C54" s="7">
        <v>45</v>
      </c>
      <c r="D54" s="7">
        <v>98</v>
      </c>
      <c r="E54" s="7"/>
    </row>
    <row r="55" spans="1:38" ht="18.75" customHeight="1">
      <c r="B55" s="7">
        <v>46</v>
      </c>
      <c r="C55" s="7">
        <v>46</v>
      </c>
      <c r="D55" s="7">
        <v>100</v>
      </c>
      <c r="E55" s="7"/>
    </row>
    <row r="56" spans="1:38" ht="18.75" customHeight="1">
      <c r="B56" s="5">
        <v>47</v>
      </c>
      <c r="C56" s="7">
        <v>47</v>
      </c>
      <c r="D56" s="6">
        <v>102</v>
      </c>
      <c r="E56" s="7"/>
    </row>
    <row r="57" spans="1:38" ht="18.75" customHeight="1">
      <c r="B57" s="7">
        <v>48</v>
      </c>
      <c r="C57" s="7">
        <v>48</v>
      </c>
      <c r="D57" s="7">
        <v>104</v>
      </c>
      <c r="E57" s="7"/>
    </row>
    <row r="58" spans="1:38" ht="18.75" customHeight="1">
      <c r="B58" s="5">
        <v>49</v>
      </c>
      <c r="C58" s="7">
        <v>49</v>
      </c>
      <c r="D58" s="7">
        <v>106</v>
      </c>
      <c r="E58" s="7"/>
    </row>
    <row r="59" spans="1:38" ht="18.75" customHeight="1">
      <c r="B59" s="7">
        <v>50</v>
      </c>
      <c r="C59" s="7">
        <v>50</v>
      </c>
      <c r="D59" s="6">
        <v>108</v>
      </c>
      <c r="E59" s="7"/>
    </row>
    <row r="60" spans="1:38" ht="18.75" customHeight="1">
      <c r="B60" s="5">
        <v>51</v>
      </c>
      <c r="C60" s="7">
        <v>51</v>
      </c>
      <c r="D60" s="7">
        <v>110</v>
      </c>
      <c r="E60" s="7"/>
    </row>
    <row r="61" spans="1:38" ht="18.75" customHeight="1">
      <c r="B61" s="7">
        <v>52</v>
      </c>
      <c r="C61" s="7">
        <v>52</v>
      </c>
      <c r="D61" s="7">
        <v>112</v>
      </c>
      <c r="E61" s="7"/>
    </row>
    <row r="62" spans="1:38" ht="18.75" customHeight="1">
      <c r="B62" s="5">
        <v>53</v>
      </c>
      <c r="C62" s="7">
        <v>53</v>
      </c>
      <c r="D62" s="7">
        <v>114</v>
      </c>
      <c r="E62" s="7"/>
    </row>
    <row r="63" spans="1:38" ht="18.75" customHeight="1">
      <c r="B63" s="7">
        <v>54</v>
      </c>
      <c r="C63" s="7">
        <v>54</v>
      </c>
      <c r="D63" s="6">
        <v>116</v>
      </c>
      <c r="E63" s="7"/>
    </row>
    <row r="64" spans="1:38" ht="18.75" customHeight="1">
      <c r="B64" s="5">
        <v>55</v>
      </c>
      <c r="C64" s="7">
        <v>55</v>
      </c>
      <c r="D64" s="7">
        <v>118</v>
      </c>
      <c r="E64" s="7"/>
    </row>
    <row r="65" spans="2:5" ht="18.75" customHeight="1">
      <c r="B65" s="7">
        <v>56</v>
      </c>
      <c r="C65" s="7">
        <v>56</v>
      </c>
      <c r="D65" s="7">
        <v>120</v>
      </c>
      <c r="E65" s="7"/>
    </row>
    <row r="66" spans="2:5" ht="18.75" customHeight="1">
      <c r="B66" s="5">
        <v>57</v>
      </c>
      <c r="C66" s="7">
        <v>57</v>
      </c>
      <c r="D66" s="6">
        <v>122</v>
      </c>
      <c r="E66" s="7"/>
    </row>
    <row r="67" spans="2:5" ht="18.75" customHeight="1">
      <c r="B67" s="7">
        <v>58</v>
      </c>
      <c r="C67" s="7">
        <v>58</v>
      </c>
      <c r="D67" s="7">
        <v>124</v>
      </c>
      <c r="E67" s="7"/>
    </row>
    <row r="68" spans="2:5" ht="18.75" customHeight="1">
      <c r="B68" s="5">
        <v>59</v>
      </c>
      <c r="C68" s="7">
        <v>59</v>
      </c>
      <c r="D68" s="7">
        <v>126</v>
      </c>
      <c r="E68" s="7"/>
    </row>
    <row r="69" spans="2:5" ht="18.75" customHeight="1">
      <c r="B69" s="7">
        <v>60</v>
      </c>
      <c r="C69" s="7">
        <v>60</v>
      </c>
      <c r="D69" s="7">
        <v>128</v>
      </c>
      <c r="E69" s="7"/>
    </row>
    <row r="70" spans="2:5" ht="18.75" customHeight="1">
      <c r="B70" s="5">
        <v>61</v>
      </c>
      <c r="C70" s="7">
        <v>61</v>
      </c>
      <c r="D70" s="6">
        <v>130</v>
      </c>
      <c r="E70" s="7"/>
    </row>
    <row r="71" spans="2:5" ht="18.75" customHeight="1">
      <c r="B71" s="7">
        <v>62</v>
      </c>
      <c r="C71" s="7">
        <v>62</v>
      </c>
      <c r="D71" s="7">
        <v>132</v>
      </c>
      <c r="E71" s="7"/>
    </row>
    <row r="72" spans="2:5" ht="18.75" customHeight="1">
      <c r="B72" s="5">
        <v>63</v>
      </c>
      <c r="C72" s="7">
        <v>63</v>
      </c>
      <c r="D72" s="7">
        <v>134</v>
      </c>
      <c r="E72" s="7"/>
    </row>
    <row r="73" spans="2:5" ht="18.75" customHeight="1">
      <c r="B73" s="7">
        <v>64</v>
      </c>
      <c r="C73" s="7">
        <v>64</v>
      </c>
      <c r="D73" s="6">
        <v>136</v>
      </c>
      <c r="E73" s="7"/>
    </row>
    <row r="74" spans="2:5" ht="18.75" customHeight="1">
      <c r="B74" s="5">
        <v>65</v>
      </c>
      <c r="C74" s="7">
        <v>65</v>
      </c>
      <c r="D74" s="7">
        <v>138</v>
      </c>
      <c r="E74" s="7"/>
    </row>
    <row r="75" spans="2:5" ht="18.75" customHeight="1">
      <c r="B75" s="7">
        <v>66</v>
      </c>
      <c r="C75" s="7">
        <v>66</v>
      </c>
      <c r="D75" s="7">
        <v>140</v>
      </c>
      <c r="E75" s="7"/>
    </row>
    <row r="76" spans="2:5" ht="18.75" customHeight="1">
      <c r="B76" s="5">
        <v>67</v>
      </c>
      <c r="C76" s="7">
        <v>67</v>
      </c>
      <c r="D76" s="7">
        <v>142</v>
      </c>
      <c r="E76" s="7"/>
    </row>
    <row r="77" spans="2:5" ht="18.75" customHeight="1">
      <c r="B77" s="7">
        <v>68</v>
      </c>
      <c r="C77" s="7">
        <v>68</v>
      </c>
      <c r="D77" s="6">
        <v>144</v>
      </c>
      <c r="E77" s="7"/>
    </row>
    <row r="78" spans="2:5" ht="18.75" customHeight="1">
      <c r="B78" s="5">
        <v>69</v>
      </c>
      <c r="C78" s="7">
        <v>69</v>
      </c>
      <c r="D78" s="7">
        <v>146</v>
      </c>
      <c r="E78" s="7"/>
    </row>
    <row r="79" spans="2:5" ht="18.75" customHeight="1">
      <c r="B79" s="7">
        <v>70</v>
      </c>
      <c r="C79" s="7">
        <v>70</v>
      </c>
      <c r="D79" s="7">
        <v>148</v>
      </c>
      <c r="E79" s="7"/>
    </row>
    <row r="80" spans="2:5" ht="18.75" customHeight="1">
      <c r="B80" s="5">
        <v>71</v>
      </c>
      <c r="C80" s="7">
        <v>71</v>
      </c>
      <c r="D80" s="6">
        <v>150</v>
      </c>
      <c r="E80" s="7"/>
    </row>
    <row r="81" spans="2:5" ht="18.75" customHeight="1">
      <c r="B81" s="7">
        <v>72</v>
      </c>
      <c r="C81" s="7">
        <v>72</v>
      </c>
      <c r="D81" s="7">
        <v>152</v>
      </c>
      <c r="E81" s="7"/>
    </row>
    <row r="82" spans="2:5" ht="18.75" customHeight="1">
      <c r="B82" s="5">
        <v>73</v>
      </c>
      <c r="C82" s="7">
        <v>73</v>
      </c>
      <c r="D82" s="7">
        <v>154</v>
      </c>
      <c r="E82" s="7"/>
    </row>
    <row r="83" spans="2:5" ht="18.75" customHeight="1">
      <c r="B83" s="7">
        <v>74</v>
      </c>
      <c r="C83" s="7">
        <v>74</v>
      </c>
      <c r="D83" s="7">
        <v>156</v>
      </c>
      <c r="E83" s="7"/>
    </row>
    <row r="84" spans="2:5" ht="18.75" customHeight="1">
      <c r="B84" s="5">
        <v>75</v>
      </c>
      <c r="C84" s="7">
        <v>75</v>
      </c>
      <c r="D84" s="6">
        <v>158</v>
      </c>
      <c r="E84" s="7"/>
    </row>
    <row r="85" spans="2:5" ht="18.75" customHeight="1">
      <c r="B85" s="7">
        <v>76</v>
      </c>
      <c r="C85" s="7">
        <v>76</v>
      </c>
      <c r="D85" s="7">
        <v>160</v>
      </c>
      <c r="E85" s="7"/>
    </row>
    <row r="86" spans="2:5" ht="18.75" customHeight="1">
      <c r="B86" s="5">
        <v>77</v>
      </c>
      <c r="C86" s="7">
        <v>77</v>
      </c>
      <c r="D86" s="7">
        <v>162</v>
      </c>
      <c r="E86" s="7"/>
    </row>
    <row r="87" spans="2:5" ht="18.75" customHeight="1">
      <c r="B87" s="7">
        <v>78</v>
      </c>
      <c r="C87" s="7">
        <v>78</v>
      </c>
      <c r="D87" s="6">
        <v>164</v>
      </c>
      <c r="E87" s="7"/>
    </row>
    <row r="88" spans="2:5" ht="18.75" customHeight="1">
      <c r="B88" s="5">
        <v>79</v>
      </c>
      <c r="C88" s="7">
        <v>79</v>
      </c>
      <c r="D88" s="7">
        <v>166</v>
      </c>
      <c r="E88" s="7"/>
    </row>
    <row r="89" spans="2:5" ht="18.75" customHeight="1">
      <c r="B89" s="7">
        <v>80</v>
      </c>
      <c r="C89" s="7">
        <v>80</v>
      </c>
      <c r="D89" s="7">
        <v>168</v>
      </c>
      <c r="E89" s="7"/>
    </row>
    <row r="90" spans="2:5" ht="18.75" customHeight="1">
      <c r="B90" s="5">
        <v>81</v>
      </c>
      <c r="C90" s="7">
        <v>81</v>
      </c>
      <c r="D90" s="7">
        <v>170</v>
      </c>
      <c r="E90" s="7"/>
    </row>
    <row r="91" spans="2:5" ht="18.75" customHeight="1">
      <c r="B91" s="7">
        <v>82</v>
      </c>
      <c r="C91" s="7">
        <v>82</v>
      </c>
      <c r="D91" s="6">
        <v>172</v>
      </c>
      <c r="E91" s="7"/>
    </row>
    <row r="92" spans="2:5" ht="18.75" customHeight="1">
      <c r="B92" s="5">
        <v>83</v>
      </c>
      <c r="C92" s="7">
        <v>83</v>
      </c>
      <c r="D92" s="7">
        <v>174</v>
      </c>
      <c r="E92" s="7"/>
    </row>
    <row r="93" spans="2:5" ht="18.75" customHeight="1">
      <c r="B93" s="7">
        <v>84</v>
      </c>
      <c r="C93" s="7">
        <v>84</v>
      </c>
      <c r="D93" s="7">
        <v>176</v>
      </c>
      <c r="E93" s="7"/>
    </row>
    <row r="94" spans="2:5" ht="18.75" customHeight="1">
      <c r="B94" s="5">
        <v>85</v>
      </c>
      <c r="C94" s="7">
        <v>85</v>
      </c>
      <c r="D94" s="6">
        <v>178</v>
      </c>
      <c r="E94" s="7"/>
    </row>
    <row r="95" spans="2:5" ht="18.75" customHeight="1">
      <c r="B95" s="7">
        <v>86</v>
      </c>
      <c r="C95" s="7">
        <v>86</v>
      </c>
      <c r="D95" s="7">
        <v>180</v>
      </c>
      <c r="E95" s="7"/>
    </row>
    <row r="96" spans="2:5" ht="18.75" customHeight="1">
      <c r="B96" s="5">
        <v>87</v>
      </c>
      <c r="C96" s="7">
        <v>87</v>
      </c>
      <c r="D96" s="7">
        <v>182</v>
      </c>
      <c r="E96" s="7"/>
    </row>
    <row r="97" spans="2:5" ht="18.75" customHeight="1">
      <c r="B97" s="7">
        <v>88</v>
      </c>
      <c r="C97" s="7">
        <v>88</v>
      </c>
      <c r="D97" s="7">
        <v>184</v>
      </c>
      <c r="E97" s="7"/>
    </row>
    <row r="98" spans="2:5" ht="18.75" customHeight="1">
      <c r="B98" s="5">
        <v>89</v>
      </c>
      <c r="C98" s="7">
        <v>89</v>
      </c>
      <c r="D98" s="6">
        <v>186</v>
      </c>
      <c r="E98" s="7"/>
    </row>
    <row r="99" spans="2:5" ht="18.75" customHeight="1">
      <c r="B99" s="7">
        <v>90</v>
      </c>
      <c r="C99" s="7">
        <v>90</v>
      </c>
      <c r="D99" s="7">
        <v>188</v>
      </c>
      <c r="E99" s="7"/>
    </row>
    <row r="100" spans="2:5" ht="18.75" customHeight="1">
      <c r="B100" s="5">
        <v>91</v>
      </c>
      <c r="C100" s="7">
        <v>91</v>
      </c>
      <c r="D100" s="7">
        <v>190</v>
      </c>
      <c r="E100" s="7"/>
    </row>
    <row r="101" spans="2:5" ht="18.75" customHeight="1">
      <c r="B101" s="7">
        <v>92</v>
      </c>
      <c r="C101" s="7">
        <v>92</v>
      </c>
      <c r="D101" s="6">
        <v>192</v>
      </c>
      <c r="E101" s="7"/>
    </row>
    <row r="102" spans="2:5" ht="18.75" customHeight="1">
      <c r="B102" s="5">
        <v>93</v>
      </c>
      <c r="C102" s="7">
        <v>93</v>
      </c>
      <c r="D102" s="7">
        <v>194</v>
      </c>
      <c r="E102" s="7"/>
    </row>
    <row r="103" spans="2:5" ht="18.75" customHeight="1">
      <c r="B103" s="7">
        <v>94</v>
      </c>
      <c r="C103" s="7">
        <v>94</v>
      </c>
      <c r="D103" s="7">
        <v>196</v>
      </c>
      <c r="E103" s="7"/>
    </row>
    <row r="104" spans="2:5" ht="18.75" customHeight="1">
      <c r="B104" s="5">
        <v>95</v>
      </c>
      <c r="C104" s="7">
        <v>95</v>
      </c>
      <c r="D104" s="7">
        <v>198</v>
      </c>
      <c r="E104" s="7"/>
    </row>
    <row r="105" spans="2:5" ht="18.75" customHeight="1">
      <c r="B105" s="7">
        <v>96</v>
      </c>
      <c r="C105" s="7">
        <v>96</v>
      </c>
      <c r="D105" s="6">
        <v>200</v>
      </c>
      <c r="E105" s="7"/>
    </row>
    <row r="106" spans="2:5" ht="18.75" customHeight="1">
      <c r="B106" s="5">
        <v>97</v>
      </c>
      <c r="C106" s="7">
        <v>97</v>
      </c>
      <c r="D106" s="7">
        <v>202</v>
      </c>
      <c r="E106" s="7"/>
    </row>
    <row r="107" spans="2:5" ht="18.75" customHeight="1">
      <c r="B107" s="7">
        <v>98</v>
      </c>
      <c r="C107" s="7">
        <v>98</v>
      </c>
      <c r="D107" s="7">
        <v>204</v>
      </c>
      <c r="E107" s="7"/>
    </row>
    <row r="108" spans="2:5" ht="18.75" customHeight="1">
      <c r="B108" s="5">
        <v>99</v>
      </c>
      <c r="C108" s="7">
        <v>99</v>
      </c>
      <c r="D108" s="6">
        <v>206</v>
      </c>
      <c r="E108" s="7"/>
    </row>
    <row r="109" spans="2:5" ht="18.75" customHeight="1">
      <c r="B109" s="7">
        <v>100</v>
      </c>
      <c r="C109" s="7">
        <v>100</v>
      </c>
      <c r="D109" s="7">
        <v>208</v>
      </c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topLeftCell="A8" workbookViewId="0">
      <pane ySplit="2" topLeftCell="A34" activePane="bottomLeft" state="frozen"/>
      <selection activeCell="E8" sqref="E8"/>
      <selection pane="bottomLeft" activeCell="E8" sqref="E8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7" t="s">
        <v>0</v>
      </c>
      <c r="B2" s="7" t="s">
        <v>163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7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20</v>
      </c>
      <c r="W7" s="4" t="s">
        <v>7</v>
      </c>
      <c r="X7" s="4" t="s">
        <v>7</v>
      </c>
      <c r="Y7" s="4" t="s">
        <v>7</v>
      </c>
      <c r="Z7" s="4" t="s">
        <v>7</v>
      </c>
      <c r="AA7" s="4" t="s">
        <v>7</v>
      </c>
      <c r="AB7" s="4" t="s">
        <v>7</v>
      </c>
      <c r="AC7" s="4" t="s">
        <v>7</v>
      </c>
      <c r="AD7" s="4" t="s">
        <v>7</v>
      </c>
      <c r="AE7" s="4" t="s">
        <v>7</v>
      </c>
      <c r="AF7" s="4" t="s">
        <v>7</v>
      </c>
      <c r="AG7" s="4" t="s">
        <v>7</v>
      </c>
      <c r="AH7" s="4" t="s">
        <v>7</v>
      </c>
      <c r="AI7" s="4" t="s">
        <v>7</v>
      </c>
      <c r="AJ7" s="4" t="s">
        <v>7</v>
      </c>
      <c r="AK7" s="4" t="s">
        <v>20</v>
      </c>
      <c r="AL7" s="4" t="s">
        <v>7</v>
      </c>
      <c r="AM7" s="4" t="s">
        <v>7</v>
      </c>
      <c r="AN7" s="4" t="s">
        <v>20</v>
      </c>
      <c r="AO7" s="4" t="s">
        <v>7</v>
      </c>
      <c r="AP7" s="4" t="s">
        <v>7</v>
      </c>
      <c r="AQ7" s="4" t="s">
        <v>7</v>
      </c>
      <c r="AR7" s="4" t="s">
        <v>7</v>
      </c>
      <c r="AS7" s="4" t="s">
        <v>7</v>
      </c>
      <c r="AT7" s="4" t="s">
        <v>7</v>
      </c>
      <c r="AU7" s="4" t="s">
        <v>7</v>
      </c>
      <c r="AV7" s="4" t="s">
        <v>7</v>
      </c>
      <c r="AW7" s="4" t="s">
        <v>7</v>
      </c>
      <c r="AX7" s="4" t="s">
        <v>7</v>
      </c>
      <c r="AY7" s="4" t="s">
        <v>7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20</v>
      </c>
      <c r="BG7" s="4" t="s">
        <v>7</v>
      </c>
      <c r="BH7" s="4" t="s">
        <v>7</v>
      </c>
      <c r="BI7" s="4" t="s">
        <v>7</v>
      </c>
      <c r="BJ7" s="4" t="s">
        <v>7</v>
      </c>
      <c r="BK7" s="4" t="s">
        <v>7</v>
      </c>
      <c r="BL7" s="4" t="s">
        <v>7</v>
      </c>
      <c r="BM7" s="4" t="s">
        <v>7</v>
      </c>
      <c r="BN7" s="4" t="s">
        <v>7</v>
      </c>
      <c r="BO7" s="4" t="s">
        <v>7</v>
      </c>
      <c r="BP7" s="4" t="s">
        <v>7</v>
      </c>
      <c r="BQ7" s="4" t="s">
        <v>7</v>
      </c>
      <c r="BR7" s="4" t="s">
        <v>7</v>
      </c>
      <c r="BS7" s="4" t="s">
        <v>7</v>
      </c>
      <c r="BT7" s="4" t="s">
        <v>7</v>
      </c>
      <c r="BU7" s="4" t="s">
        <v>20</v>
      </c>
      <c r="BV7" s="4" t="s">
        <v>7</v>
      </c>
      <c r="BW7" s="4" t="s">
        <v>7</v>
      </c>
      <c r="BX7" s="4" t="s">
        <v>20</v>
      </c>
      <c r="BY7" s="4" t="s">
        <v>7</v>
      </c>
      <c r="BZ7" s="4" t="s">
        <v>7</v>
      </c>
      <c r="CA7" s="4" t="s">
        <v>7</v>
      </c>
      <c r="CB7" s="4" t="s">
        <v>7</v>
      </c>
      <c r="CC7" s="4" t="s">
        <v>7</v>
      </c>
      <c r="CD7" s="4" t="s">
        <v>7</v>
      </c>
      <c r="CE7" s="4" t="s">
        <v>7</v>
      </c>
      <c r="CF7" s="4" t="s">
        <v>7</v>
      </c>
      <c r="CG7" s="4" t="s">
        <v>7</v>
      </c>
      <c r="CH7" s="4" t="s">
        <v>7</v>
      </c>
      <c r="CI7" s="4" t="s">
        <v>7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20</v>
      </c>
      <c r="CQ7" s="4" t="s">
        <v>7</v>
      </c>
      <c r="CR7" s="4" t="s">
        <v>7</v>
      </c>
      <c r="CS7" s="4" t="s">
        <v>7</v>
      </c>
      <c r="CT7" s="4" t="s">
        <v>7</v>
      </c>
      <c r="CU7" s="4" t="s">
        <v>7</v>
      </c>
      <c r="CV7" s="4" t="s">
        <v>7</v>
      </c>
      <c r="CW7" s="4" t="s">
        <v>7</v>
      </c>
      <c r="CX7" s="4" t="s">
        <v>7</v>
      </c>
      <c r="CY7" s="4" t="s">
        <v>7</v>
      </c>
      <c r="CZ7" s="4" t="s">
        <v>7</v>
      </c>
      <c r="DA7" s="4" t="s">
        <v>7</v>
      </c>
      <c r="DB7" s="4" t="s">
        <v>7</v>
      </c>
      <c r="DC7" s="4" t="s">
        <v>7</v>
      </c>
      <c r="DD7" s="4" t="s">
        <v>7</v>
      </c>
      <c r="DE7" s="4" t="s">
        <v>20</v>
      </c>
      <c r="DF7" s="4" t="s">
        <v>7</v>
      </c>
      <c r="DG7" s="4" t="s">
        <v>7</v>
      </c>
      <c r="DH7" s="4" t="s">
        <v>20</v>
      </c>
      <c r="DI7" s="4" t="s">
        <v>7</v>
      </c>
      <c r="DJ7" s="4" t="s">
        <v>7</v>
      </c>
      <c r="DK7" s="4" t="s">
        <v>7</v>
      </c>
      <c r="DL7" s="4" t="s">
        <v>7</v>
      </c>
      <c r="DM7" s="4" t="s">
        <v>7</v>
      </c>
      <c r="DN7" s="4" t="s">
        <v>7</v>
      </c>
      <c r="DO7" s="4" t="s">
        <v>7</v>
      </c>
      <c r="DP7" s="4" t="s">
        <v>7</v>
      </c>
      <c r="DQ7" s="4" t="s">
        <v>7</v>
      </c>
      <c r="DR7" s="4" t="s">
        <v>7</v>
      </c>
      <c r="DS7" s="4" t="s">
        <v>7</v>
      </c>
      <c r="DT7" s="4" t="s">
        <v>7</v>
      </c>
      <c r="DU7" s="4" t="s">
        <v>7</v>
      </c>
      <c r="DV7" s="4" t="s">
        <v>7</v>
      </c>
      <c r="DW7" s="4" t="s">
        <v>20</v>
      </c>
      <c r="DX7" s="4" t="s">
        <v>7</v>
      </c>
      <c r="DY7" s="4" t="s">
        <v>7</v>
      </c>
      <c r="DZ7" s="4" t="s">
        <v>20</v>
      </c>
      <c r="EA7" s="4" t="s">
        <v>7</v>
      </c>
      <c r="EB7" s="4" t="s">
        <v>7</v>
      </c>
      <c r="EC7" s="4" t="s">
        <v>7</v>
      </c>
      <c r="ED7" s="4" t="s">
        <v>7</v>
      </c>
      <c r="EE7" s="4" t="s">
        <v>7</v>
      </c>
      <c r="EF7" s="4" t="s">
        <v>7</v>
      </c>
      <c r="EG7" s="4" t="s">
        <v>7</v>
      </c>
      <c r="EH7" s="4" t="s">
        <v>7</v>
      </c>
      <c r="EI7" s="4" t="s">
        <v>7</v>
      </c>
      <c r="EJ7" s="4" t="s">
        <v>7</v>
      </c>
      <c r="EK7" s="4" t="s">
        <v>7</v>
      </c>
      <c r="EL7" s="4" t="s">
        <v>7</v>
      </c>
      <c r="EM7" s="4" t="s">
        <v>7</v>
      </c>
      <c r="EN7" s="4" t="s">
        <v>7</v>
      </c>
      <c r="EO7" s="4" t="s">
        <v>20</v>
      </c>
      <c r="EP7" s="4" t="s">
        <v>7</v>
      </c>
      <c r="EQ7" s="4" t="s">
        <v>7</v>
      </c>
      <c r="ER7" s="4" t="s">
        <v>20</v>
      </c>
      <c r="ES7" s="4" t="s">
        <v>7</v>
      </c>
      <c r="ET7" s="4" t="s">
        <v>7</v>
      </c>
      <c r="EU7" s="4" t="s">
        <v>7</v>
      </c>
      <c r="EV7" s="4" t="s">
        <v>7</v>
      </c>
      <c r="EW7" s="4" t="s">
        <v>7</v>
      </c>
      <c r="EX7" s="4" t="s">
        <v>7</v>
      </c>
      <c r="EY7" s="4" t="s">
        <v>7</v>
      </c>
      <c r="EZ7" s="4" t="s">
        <v>7</v>
      </c>
      <c r="FA7" s="4" t="s">
        <v>7</v>
      </c>
      <c r="FB7" s="4" t="s">
        <v>7</v>
      </c>
      <c r="FC7" s="4" t="s">
        <v>7</v>
      </c>
      <c r="FD7" s="4" t="s">
        <v>7</v>
      </c>
      <c r="FE7" s="4" t="s">
        <v>7</v>
      </c>
      <c r="FF7" s="4" t="s">
        <v>7</v>
      </c>
      <c r="FG7" s="4" t="s">
        <v>20</v>
      </c>
      <c r="FH7" s="4" t="s">
        <v>7</v>
      </c>
      <c r="FI7" s="4" t="s">
        <v>7</v>
      </c>
      <c r="FJ7" s="4" t="s">
        <v>20</v>
      </c>
      <c r="FK7" s="4" t="s">
        <v>7</v>
      </c>
      <c r="FL7" s="4" t="s">
        <v>7</v>
      </c>
      <c r="FM7" s="4" t="s">
        <v>7</v>
      </c>
      <c r="FN7" s="4" t="s">
        <v>7</v>
      </c>
      <c r="FO7" s="4" t="s">
        <v>7</v>
      </c>
      <c r="FP7" s="4" t="s">
        <v>7</v>
      </c>
      <c r="FQ7" s="4" t="s">
        <v>7</v>
      </c>
      <c r="FR7" s="4" t="s">
        <v>7</v>
      </c>
      <c r="FS7" s="4" t="s">
        <v>7</v>
      </c>
      <c r="FT7" s="4" t="s">
        <v>7</v>
      </c>
      <c r="FU7" s="4" t="s">
        <v>7</v>
      </c>
      <c r="FV7" s="4" t="s">
        <v>7</v>
      </c>
      <c r="FW7" s="4" t="s">
        <v>7</v>
      </c>
      <c r="FX7" s="4" t="s">
        <v>7</v>
      </c>
      <c r="FY7" s="4" t="s">
        <v>20</v>
      </c>
      <c r="FZ7" s="4" t="s">
        <v>7</v>
      </c>
      <c r="GA7" s="4" t="s">
        <v>7</v>
      </c>
      <c r="GB7" s="4" t="s">
        <v>20</v>
      </c>
      <c r="GC7" s="4" t="s">
        <v>7</v>
      </c>
      <c r="GD7" s="4" t="s">
        <v>7</v>
      </c>
      <c r="GE7" s="4" t="s">
        <v>7</v>
      </c>
      <c r="GF7" s="4" t="s">
        <v>7</v>
      </c>
      <c r="GG7" s="4" t="s">
        <v>7</v>
      </c>
      <c r="GH7" s="4" t="s">
        <v>7</v>
      </c>
      <c r="GI7" s="4" t="s">
        <v>7</v>
      </c>
      <c r="GJ7" s="4" t="s">
        <v>7</v>
      </c>
      <c r="GK7" s="4" t="s">
        <v>7</v>
      </c>
      <c r="GL7" s="4" t="s">
        <v>7</v>
      </c>
      <c r="GM7" s="4" t="s">
        <v>7</v>
      </c>
      <c r="GN7" s="4" t="s">
        <v>7</v>
      </c>
      <c r="GO7" s="4" t="s">
        <v>7</v>
      </c>
      <c r="GP7" s="4" t="s">
        <v>7</v>
      </c>
      <c r="GQ7" s="4" t="s">
        <v>20</v>
      </c>
      <c r="GR7" s="4" t="s">
        <v>7</v>
      </c>
      <c r="GS7" s="4" t="s">
        <v>7</v>
      </c>
      <c r="GT7" s="4" t="s">
        <v>20</v>
      </c>
      <c r="GU7" s="4" t="s">
        <v>7</v>
      </c>
      <c r="GV7" s="4" t="s">
        <v>7</v>
      </c>
      <c r="GW7" s="4" t="s">
        <v>7</v>
      </c>
      <c r="GX7" s="4" t="s">
        <v>7</v>
      </c>
      <c r="GY7" s="4" t="s">
        <v>7</v>
      </c>
      <c r="GZ7" s="4" t="s">
        <v>7</v>
      </c>
      <c r="HA7" s="4" t="s">
        <v>7</v>
      </c>
      <c r="HB7" s="4" t="s">
        <v>7</v>
      </c>
      <c r="HC7" s="4" t="s">
        <v>7</v>
      </c>
      <c r="HD7" s="4" t="s">
        <v>7</v>
      </c>
      <c r="HE7" s="4" t="s">
        <v>7</v>
      </c>
      <c r="HF7" s="4" t="s">
        <v>7</v>
      </c>
      <c r="HG7" s="4" t="s">
        <v>7</v>
      </c>
      <c r="HH7" s="4" t="s">
        <v>7</v>
      </c>
      <c r="HI7" s="4" t="s">
        <v>20</v>
      </c>
      <c r="HJ7" s="4" t="s">
        <v>7</v>
      </c>
      <c r="HK7" s="4" t="s">
        <v>7</v>
      </c>
      <c r="HL7" s="4" t="s">
        <v>20</v>
      </c>
      <c r="HM7" s="4" t="s">
        <v>7</v>
      </c>
      <c r="HN7" s="4" t="s">
        <v>7</v>
      </c>
      <c r="HO7" s="4" t="s">
        <v>7</v>
      </c>
      <c r="HP7" s="4" t="s">
        <v>7</v>
      </c>
      <c r="HQ7" s="4" t="s">
        <v>7</v>
      </c>
      <c r="HR7" s="4" t="s">
        <v>7</v>
      </c>
      <c r="HS7" s="4" t="s">
        <v>7</v>
      </c>
      <c r="HT7" s="4" t="s">
        <v>7</v>
      </c>
      <c r="HU7" s="4" t="s">
        <v>7</v>
      </c>
      <c r="HV7" s="4" t="s">
        <v>7</v>
      </c>
      <c r="HW7" s="4" t="s">
        <v>7</v>
      </c>
      <c r="HX7" s="4" t="s">
        <v>7</v>
      </c>
      <c r="HY7" s="4" t="s">
        <v>7</v>
      </c>
      <c r="HZ7" s="4" t="s">
        <v>7</v>
      </c>
      <c r="IA7" s="4" t="s">
        <v>20</v>
      </c>
      <c r="IB7" s="4" t="s">
        <v>7</v>
      </c>
      <c r="IC7" s="4" t="s">
        <v>7</v>
      </c>
      <c r="ID7" s="4" t="s">
        <v>20</v>
      </c>
      <c r="IE7" s="4" t="s">
        <v>7</v>
      </c>
      <c r="IF7" s="4" t="s">
        <v>7</v>
      </c>
    </row>
    <row r="8" spans="1:240" ht="138.94999999999999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6" t="s">
        <v>201</v>
      </c>
      <c r="H8" s="6" t="s">
        <v>164</v>
      </c>
      <c r="I8" s="5" t="s">
        <v>33</v>
      </c>
      <c r="J8" s="6" t="s">
        <v>201</v>
      </c>
      <c r="K8" s="6" t="s">
        <v>164</v>
      </c>
      <c r="L8" s="5" t="s">
        <v>33</v>
      </c>
      <c r="M8" s="6" t="s">
        <v>201</v>
      </c>
      <c r="N8" s="6" t="s">
        <v>164</v>
      </c>
      <c r="O8" s="5" t="s">
        <v>33</v>
      </c>
      <c r="P8" s="6" t="s">
        <v>201</v>
      </c>
      <c r="Q8" s="6" t="s">
        <v>164</v>
      </c>
      <c r="R8" s="5" t="s">
        <v>33</v>
      </c>
      <c r="S8" s="6" t="s">
        <v>866</v>
      </c>
      <c r="T8" s="6" t="s">
        <v>164</v>
      </c>
      <c r="U8" s="5" t="s">
        <v>33</v>
      </c>
      <c r="V8" s="6" t="s">
        <v>866</v>
      </c>
      <c r="W8" s="6" t="s">
        <v>164</v>
      </c>
      <c r="X8" s="5" t="s">
        <v>33</v>
      </c>
      <c r="Y8" s="6" t="s">
        <v>866</v>
      </c>
      <c r="Z8" s="6" t="s">
        <v>164</v>
      </c>
      <c r="AA8" s="5" t="s">
        <v>33</v>
      </c>
      <c r="AB8" s="6" t="s">
        <v>866</v>
      </c>
      <c r="AC8" s="6" t="s">
        <v>164</v>
      </c>
      <c r="AD8" s="5" t="s">
        <v>33</v>
      </c>
      <c r="AE8" s="6" t="s">
        <v>866</v>
      </c>
      <c r="AF8" s="6" t="s">
        <v>164</v>
      </c>
      <c r="AG8" s="5" t="s">
        <v>33</v>
      </c>
      <c r="AH8" s="6" t="s">
        <v>866</v>
      </c>
      <c r="AI8" s="6" t="s">
        <v>164</v>
      </c>
      <c r="AJ8" s="5" t="s">
        <v>33</v>
      </c>
      <c r="AK8" s="6" t="s">
        <v>867</v>
      </c>
      <c r="AL8" s="6" t="s">
        <v>164</v>
      </c>
      <c r="AM8" s="5" t="s">
        <v>33</v>
      </c>
      <c r="AN8" s="6" t="s">
        <v>867</v>
      </c>
      <c r="AO8" s="6" t="s">
        <v>164</v>
      </c>
      <c r="AP8" s="5" t="s">
        <v>33</v>
      </c>
      <c r="AQ8" s="6" t="s">
        <v>867</v>
      </c>
      <c r="AR8" s="6" t="s">
        <v>164</v>
      </c>
      <c r="AS8" s="5" t="s">
        <v>33</v>
      </c>
      <c r="AT8" s="6" t="s">
        <v>867</v>
      </c>
      <c r="AU8" s="6" t="s">
        <v>164</v>
      </c>
      <c r="AV8" s="5" t="s">
        <v>33</v>
      </c>
      <c r="AW8" s="6" t="s">
        <v>867</v>
      </c>
      <c r="AX8" s="6" t="s">
        <v>164</v>
      </c>
      <c r="AY8" s="5" t="s">
        <v>33</v>
      </c>
      <c r="AZ8" s="6" t="s">
        <v>867</v>
      </c>
      <c r="BA8" s="6" t="s">
        <v>164</v>
      </c>
      <c r="BB8" s="5" t="s">
        <v>33</v>
      </c>
      <c r="BC8" s="6" t="s">
        <v>868</v>
      </c>
      <c r="BD8" s="6" t="s">
        <v>164</v>
      </c>
      <c r="BE8" s="5" t="s">
        <v>33</v>
      </c>
      <c r="BF8" s="6" t="s">
        <v>868</v>
      </c>
      <c r="BG8" s="6" t="s">
        <v>164</v>
      </c>
      <c r="BH8" s="5" t="s">
        <v>33</v>
      </c>
      <c r="BI8" s="6" t="s">
        <v>868</v>
      </c>
      <c r="BJ8" s="6" t="s">
        <v>164</v>
      </c>
      <c r="BK8" s="5" t="s">
        <v>33</v>
      </c>
      <c r="BL8" s="6" t="s">
        <v>868</v>
      </c>
      <c r="BM8" s="6" t="s">
        <v>164</v>
      </c>
      <c r="BN8" s="5" t="s">
        <v>33</v>
      </c>
      <c r="BO8" s="6" t="s">
        <v>868</v>
      </c>
      <c r="BP8" s="6" t="s">
        <v>164</v>
      </c>
      <c r="BQ8" s="5" t="s">
        <v>33</v>
      </c>
      <c r="BR8" s="6" t="s">
        <v>868</v>
      </c>
      <c r="BS8" s="6" t="s">
        <v>164</v>
      </c>
      <c r="BT8" s="5" t="s">
        <v>33</v>
      </c>
      <c r="BU8" s="6" t="s">
        <v>869</v>
      </c>
      <c r="BV8" s="6" t="s">
        <v>164</v>
      </c>
      <c r="BW8" s="5" t="s">
        <v>33</v>
      </c>
      <c r="BX8" s="6" t="s">
        <v>869</v>
      </c>
      <c r="BY8" s="6" t="s">
        <v>164</v>
      </c>
      <c r="BZ8" s="5" t="s">
        <v>33</v>
      </c>
      <c r="CA8" s="6" t="s">
        <v>869</v>
      </c>
      <c r="CB8" s="6" t="s">
        <v>164</v>
      </c>
      <c r="CC8" s="5" t="s">
        <v>33</v>
      </c>
      <c r="CD8" s="6" t="s">
        <v>869</v>
      </c>
      <c r="CE8" s="6" t="s">
        <v>164</v>
      </c>
      <c r="CF8" s="5" t="s">
        <v>33</v>
      </c>
      <c r="CG8" s="6" t="s">
        <v>869</v>
      </c>
      <c r="CH8" s="6" t="s">
        <v>164</v>
      </c>
      <c r="CI8" s="5" t="s">
        <v>33</v>
      </c>
      <c r="CJ8" s="6" t="s">
        <v>869</v>
      </c>
      <c r="CK8" s="6" t="s">
        <v>164</v>
      </c>
      <c r="CL8" s="5" t="s">
        <v>33</v>
      </c>
      <c r="CM8" s="6" t="s">
        <v>870</v>
      </c>
      <c r="CN8" s="6" t="s">
        <v>164</v>
      </c>
      <c r="CO8" s="5" t="s">
        <v>33</v>
      </c>
      <c r="CP8" s="6" t="s">
        <v>870</v>
      </c>
      <c r="CQ8" s="6" t="s">
        <v>164</v>
      </c>
      <c r="CR8" s="5" t="s">
        <v>33</v>
      </c>
      <c r="CS8" s="6" t="s">
        <v>870</v>
      </c>
      <c r="CT8" s="6" t="s">
        <v>164</v>
      </c>
      <c r="CU8" s="5" t="s">
        <v>33</v>
      </c>
      <c r="CV8" s="6" t="s">
        <v>870</v>
      </c>
      <c r="CW8" s="6" t="s">
        <v>164</v>
      </c>
      <c r="CX8" s="5" t="s">
        <v>33</v>
      </c>
      <c r="CY8" s="6" t="s">
        <v>870</v>
      </c>
      <c r="CZ8" s="6" t="s">
        <v>164</v>
      </c>
      <c r="DA8" s="5" t="s">
        <v>33</v>
      </c>
      <c r="DB8" s="6" t="s">
        <v>870</v>
      </c>
      <c r="DC8" s="6" t="s">
        <v>164</v>
      </c>
      <c r="DD8" s="5" t="s">
        <v>33</v>
      </c>
      <c r="DE8" s="6" t="s">
        <v>871</v>
      </c>
      <c r="DF8" s="6" t="s">
        <v>164</v>
      </c>
      <c r="DG8" s="5" t="s">
        <v>33</v>
      </c>
      <c r="DH8" s="6" t="s">
        <v>871</v>
      </c>
      <c r="DI8" s="6" t="s">
        <v>164</v>
      </c>
      <c r="DJ8" s="5" t="s">
        <v>33</v>
      </c>
      <c r="DK8" s="6" t="s">
        <v>871</v>
      </c>
      <c r="DL8" s="6" t="s">
        <v>164</v>
      </c>
      <c r="DM8" s="5" t="s">
        <v>33</v>
      </c>
      <c r="DN8" s="6" t="s">
        <v>871</v>
      </c>
      <c r="DO8" s="6" t="s">
        <v>164</v>
      </c>
      <c r="DP8" s="5" t="s">
        <v>33</v>
      </c>
      <c r="DQ8" s="6" t="s">
        <v>871</v>
      </c>
      <c r="DR8" s="6" t="s">
        <v>164</v>
      </c>
      <c r="DS8" s="5" t="s">
        <v>33</v>
      </c>
      <c r="DT8" s="6" t="s">
        <v>871</v>
      </c>
      <c r="DU8" s="6" t="s">
        <v>164</v>
      </c>
      <c r="DV8" s="5" t="s">
        <v>33</v>
      </c>
      <c r="DW8" s="6" t="s">
        <v>872</v>
      </c>
      <c r="DX8" s="6" t="s">
        <v>164</v>
      </c>
      <c r="DY8" s="5" t="s">
        <v>33</v>
      </c>
      <c r="DZ8" s="6" t="s">
        <v>872</v>
      </c>
      <c r="EA8" s="6" t="s">
        <v>164</v>
      </c>
      <c r="EB8" s="5" t="s">
        <v>33</v>
      </c>
      <c r="EC8" s="6" t="s">
        <v>872</v>
      </c>
      <c r="ED8" s="6" t="s">
        <v>164</v>
      </c>
      <c r="EE8" s="5" t="s">
        <v>33</v>
      </c>
      <c r="EF8" s="6" t="s">
        <v>872</v>
      </c>
      <c r="EG8" s="6" t="s">
        <v>164</v>
      </c>
      <c r="EH8" s="5" t="s">
        <v>33</v>
      </c>
      <c r="EI8" s="6" t="s">
        <v>872</v>
      </c>
      <c r="EJ8" s="6" t="s">
        <v>164</v>
      </c>
      <c r="EK8" s="5" t="s">
        <v>33</v>
      </c>
      <c r="EL8" s="6" t="s">
        <v>872</v>
      </c>
      <c r="EM8" s="6" t="s">
        <v>164</v>
      </c>
      <c r="EN8" s="5" t="s">
        <v>33</v>
      </c>
      <c r="EO8" s="6" t="s">
        <v>873</v>
      </c>
      <c r="EP8" s="6" t="s">
        <v>164</v>
      </c>
      <c r="EQ8" s="5" t="s">
        <v>33</v>
      </c>
      <c r="ER8" s="6" t="s">
        <v>873</v>
      </c>
      <c r="ES8" s="6" t="s">
        <v>164</v>
      </c>
      <c r="ET8" s="5" t="s">
        <v>33</v>
      </c>
      <c r="EU8" s="6" t="s">
        <v>873</v>
      </c>
      <c r="EV8" s="6" t="s">
        <v>164</v>
      </c>
      <c r="EW8" s="5" t="s">
        <v>33</v>
      </c>
      <c r="EX8" s="6" t="s">
        <v>873</v>
      </c>
      <c r="EY8" s="6" t="s">
        <v>164</v>
      </c>
      <c r="EZ8" s="5" t="s">
        <v>33</v>
      </c>
      <c r="FA8" s="6" t="s">
        <v>873</v>
      </c>
      <c r="FB8" s="6" t="s">
        <v>164</v>
      </c>
      <c r="FC8" s="5" t="s">
        <v>33</v>
      </c>
      <c r="FD8" s="6" t="s">
        <v>873</v>
      </c>
      <c r="FE8" s="6" t="s">
        <v>164</v>
      </c>
      <c r="FF8" s="5" t="s">
        <v>33</v>
      </c>
      <c r="FG8" s="6" t="s">
        <v>874</v>
      </c>
      <c r="FH8" s="6" t="s">
        <v>164</v>
      </c>
      <c r="FI8" s="5" t="s">
        <v>33</v>
      </c>
      <c r="FJ8" s="6" t="s">
        <v>874</v>
      </c>
      <c r="FK8" s="6" t="s">
        <v>164</v>
      </c>
      <c r="FL8" s="5" t="s">
        <v>33</v>
      </c>
      <c r="FM8" s="6" t="s">
        <v>874</v>
      </c>
      <c r="FN8" s="6" t="s">
        <v>164</v>
      </c>
      <c r="FO8" s="5" t="s">
        <v>33</v>
      </c>
      <c r="FP8" s="6" t="s">
        <v>874</v>
      </c>
      <c r="FQ8" s="6" t="s">
        <v>164</v>
      </c>
      <c r="FR8" s="5" t="s">
        <v>33</v>
      </c>
      <c r="FS8" s="6" t="s">
        <v>874</v>
      </c>
      <c r="FT8" s="6" t="s">
        <v>164</v>
      </c>
      <c r="FU8" s="5" t="s">
        <v>33</v>
      </c>
      <c r="FV8" s="6" t="s">
        <v>874</v>
      </c>
      <c r="FW8" s="6" t="s">
        <v>164</v>
      </c>
      <c r="FX8" s="5" t="s">
        <v>33</v>
      </c>
      <c r="FY8" s="6" t="s">
        <v>875</v>
      </c>
      <c r="FZ8" s="6" t="s">
        <v>164</v>
      </c>
      <c r="GA8" s="5" t="s">
        <v>33</v>
      </c>
      <c r="GB8" s="6" t="s">
        <v>875</v>
      </c>
      <c r="GC8" s="6" t="s">
        <v>164</v>
      </c>
      <c r="GD8" s="5" t="s">
        <v>33</v>
      </c>
      <c r="GE8" s="6" t="s">
        <v>875</v>
      </c>
      <c r="GF8" s="6" t="s">
        <v>164</v>
      </c>
      <c r="GG8" s="5" t="s">
        <v>33</v>
      </c>
      <c r="GH8" s="6" t="s">
        <v>875</v>
      </c>
      <c r="GI8" s="6" t="s">
        <v>164</v>
      </c>
      <c r="GJ8" s="5" t="s">
        <v>33</v>
      </c>
      <c r="GK8" s="6" t="s">
        <v>875</v>
      </c>
      <c r="GL8" s="6" t="s">
        <v>164</v>
      </c>
      <c r="GM8" s="5" t="s">
        <v>33</v>
      </c>
      <c r="GN8" s="6" t="s">
        <v>875</v>
      </c>
      <c r="GO8" s="6" t="s">
        <v>164</v>
      </c>
      <c r="GP8" s="5" t="s">
        <v>33</v>
      </c>
      <c r="GQ8" s="6" t="s">
        <v>876</v>
      </c>
      <c r="GR8" s="6" t="s">
        <v>164</v>
      </c>
      <c r="GS8" s="5" t="s">
        <v>33</v>
      </c>
      <c r="GT8" s="6" t="s">
        <v>876</v>
      </c>
      <c r="GU8" s="6" t="s">
        <v>164</v>
      </c>
      <c r="GV8" s="5" t="s">
        <v>33</v>
      </c>
      <c r="GW8" s="6" t="s">
        <v>876</v>
      </c>
      <c r="GX8" s="6" t="s">
        <v>164</v>
      </c>
      <c r="GY8" s="5" t="s">
        <v>33</v>
      </c>
      <c r="GZ8" s="6" t="s">
        <v>876</v>
      </c>
      <c r="HA8" s="6" t="s">
        <v>164</v>
      </c>
      <c r="HB8" s="5" t="s">
        <v>33</v>
      </c>
      <c r="HC8" s="6" t="s">
        <v>876</v>
      </c>
      <c r="HD8" s="6" t="s">
        <v>164</v>
      </c>
      <c r="HE8" s="5" t="s">
        <v>33</v>
      </c>
      <c r="HF8" s="6" t="s">
        <v>876</v>
      </c>
      <c r="HG8" s="6" t="s">
        <v>164</v>
      </c>
      <c r="HH8" s="5" t="s">
        <v>33</v>
      </c>
      <c r="HI8" s="6" t="s">
        <v>877</v>
      </c>
      <c r="HJ8" s="6" t="s">
        <v>164</v>
      </c>
      <c r="HK8" s="5" t="s">
        <v>33</v>
      </c>
      <c r="HL8" s="6" t="s">
        <v>877</v>
      </c>
      <c r="HM8" s="6" t="s">
        <v>164</v>
      </c>
      <c r="HN8" s="5" t="s">
        <v>33</v>
      </c>
      <c r="HO8" s="6" t="s">
        <v>877</v>
      </c>
      <c r="HP8" s="6" t="s">
        <v>164</v>
      </c>
      <c r="HQ8" s="5" t="s">
        <v>33</v>
      </c>
      <c r="HR8" s="6" t="s">
        <v>877</v>
      </c>
      <c r="HS8" s="6" t="s">
        <v>164</v>
      </c>
      <c r="HT8" s="5" t="s">
        <v>33</v>
      </c>
      <c r="HU8" s="6" t="s">
        <v>877</v>
      </c>
      <c r="HV8" s="6" t="s">
        <v>164</v>
      </c>
      <c r="HW8" s="5" t="s">
        <v>33</v>
      </c>
      <c r="HX8" s="6" t="s">
        <v>877</v>
      </c>
      <c r="HY8" s="6" t="s">
        <v>164</v>
      </c>
      <c r="HZ8" s="5" t="s">
        <v>33</v>
      </c>
      <c r="IA8" s="6" t="s">
        <v>878</v>
      </c>
      <c r="IB8" s="6" t="s">
        <v>164</v>
      </c>
      <c r="IC8" s="5" t="s">
        <v>33</v>
      </c>
      <c r="ID8" s="6" t="s">
        <v>878</v>
      </c>
      <c r="IE8" s="6" t="s">
        <v>164</v>
      </c>
      <c r="IF8" s="5" t="s">
        <v>33</v>
      </c>
    </row>
    <row r="9" spans="1:240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</row>
    <row r="10" spans="1:240" ht="20.100000000000001" customHeight="1">
      <c r="A10" s="58" t="s">
        <v>153</v>
      </c>
      <c r="B10" s="38">
        <v>1001001</v>
      </c>
      <c r="C10" s="6" t="s">
        <v>217</v>
      </c>
      <c r="D10" s="6">
        <v>1</v>
      </c>
      <c r="E10" s="6">
        <v>2</v>
      </c>
      <c r="F10" s="6">
        <v>100</v>
      </c>
      <c r="G10" s="6">
        <v>4</v>
      </c>
      <c r="H10" s="6">
        <v>1001001</v>
      </c>
      <c r="I10" s="5">
        <v>1</v>
      </c>
      <c r="J10" s="5">
        <v>1</v>
      </c>
      <c r="K10" s="5">
        <v>3</v>
      </c>
      <c r="L10" s="5">
        <v>10</v>
      </c>
      <c r="M10" s="6">
        <v>1</v>
      </c>
      <c r="N10" s="5">
        <v>4</v>
      </c>
      <c r="O10" s="5">
        <v>100</v>
      </c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32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6"/>
    </row>
    <row r="11" spans="1:240" ht="18.75" customHeight="1">
      <c r="A11" s="58"/>
      <c r="B11" s="38">
        <v>1002001</v>
      </c>
      <c r="C11" s="6" t="s">
        <v>218</v>
      </c>
      <c r="D11" s="6">
        <v>2</v>
      </c>
      <c r="E11" s="6">
        <v>1</v>
      </c>
      <c r="F11" s="6">
        <v>1</v>
      </c>
      <c r="G11" s="6">
        <v>4</v>
      </c>
      <c r="H11" s="6">
        <v>1002001</v>
      </c>
      <c r="I11" s="5">
        <v>1</v>
      </c>
      <c r="J11" s="7">
        <v>1</v>
      </c>
      <c r="K11" s="7">
        <v>3</v>
      </c>
      <c r="L11" s="7">
        <v>15</v>
      </c>
      <c r="M11" s="7">
        <v>1</v>
      </c>
      <c r="N11" s="7">
        <v>4</v>
      </c>
      <c r="O11" s="7">
        <v>150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1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8"/>
      <c r="B12" s="52">
        <v>1002002</v>
      </c>
      <c r="C12" s="50" t="s">
        <v>219</v>
      </c>
      <c r="D12" s="50">
        <v>1</v>
      </c>
      <c r="E12" s="50">
        <v>2</v>
      </c>
      <c r="F12" s="50">
        <v>100</v>
      </c>
      <c r="G12" s="50">
        <v>2</v>
      </c>
      <c r="H12" s="50">
        <v>1</v>
      </c>
      <c r="I12" s="51">
        <v>1</v>
      </c>
      <c r="J12" s="7">
        <v>4</v>
      </c>
      <c r="K12" s="7">
        <v>1002002</v>
      </c>
      <c r="L12" s="7">
        <v>1</v>
      </c>
      <c r="M12" s="7">
        <v>1</v>
      </c>
      <c r="N12" s="7">
        <v>3</v>
      </c>
      <c r="O12" s="7">
        <v>20</v>
      </c>
      <c r="P12" s="7">
        <v>1</v>
      </c>
      <c r="Q12" s="7">
        <v>4</v>
      </c>
      <c r="R12" s="7">
        <v>200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38">
        <v>1000300010001</v>
      </c>
      <c r="C13" s="6" t="s">
        <v>1873</v>
      </c>
      <c r="D13" s="6">
        <v>1</v>
      </c>
      <c r="E13" s="6">
        <v>3</v>
      </c>
      <c r="F13" s="6">
        <v>5</v>
      </c>
      <c r="G13" s="6"/>
      <c r="H13" s="6"/>
      <c r="I13" s="5"/>
      <c r="J13" s="5"/>
      <c r="K13" s="5"/>
      <c r="L13" s="5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1000300010002</v>
      </c>
      <c r="C14" s="6" t="s">
        <v>1874</v>
      </c>
      <c r="D14" s="6">
        <v>1</v>
      </c>
      <c r="E14" s="6">
        <v>3</v>
      </c>
      <c r="F14" s="6">
        <v>10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1000300010003</v>
      </c>
      <c r="C15" s="6" t="s">
        <v>1875</v>
      </c>
      <c r="D15" s="6">
        <v>1</v>
      </c>
      <c r="E15" s="6">
        <v>3</v>
      </c>
      <c r="F15" s="6">
        <v>100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1000300010004</v>
      </c>
      <c r="C16" s="6" t="s">
        <v>1876</v>
      </c>
      <c r="D16" s="6">
        <v>1</v>
      </c>
      <c r="E16" s="6">
        <v>3</v>
      </c>
      <c r="F16" s="6">
        <v>1000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1000300010005</v>
      </c>
      <c r="C17" s="6" t="s">
        <v>1877</v>
      </c>
      <c r="D17" s="6">
        <v>1</v>
      </c>
      <c r="E17" s="6">
        <v>3</v>
      </c>
      <c r="F17" s="6">
        <v>10000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1000300020001</v>
      </c>
      <c r="C18" s="6" t="s">
        <v>1923</v>
      </c>
      <c r="D18" s="6">
        <v>1</v>
      </c>
      <c r="E18" s="6">
        <v>4</v>
      </c>
      <c r="F18" s="6">
        <v>5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1000300020002</v>
      </c>
      <c r="C19" s="6" t="s">
        <v>1924</v>
      </c>
      <c r="D19" s="6">
        <v>1</v>
      </c>
      <c r="E19" s="6">
        <v>4</v>
      </c>
      <c r="F19" s="6">
        <v>10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1000300020003</v>
      </c>
      <c r="C20" s="6" t="s">
        <v>1925</v>
      </c>
      <c r="D20" s="6">
        <v>1</v>
      </c>
      <c r="E20" s="6">
        <v>4</v>
      </c>
      <c r="F20" s="6">
        <v>100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1000300020004</v>
      </c>
      <c r="C21" s="6" t="s">
        <v>1926</v>
      </c>
      <c r="D21" s="6">
        <v>1</v>
      </c>
      <c r="E21" s="6">
        <v>4</v>
      </c>
      <c r="F21" s="6">
        <v>1000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1000300020005</v>
      </c>
      <c r="C22" s="6" t="s">
        <v>1927</v>
      </c>
      <c r="D22" s="6">
        <v>1</v>
      </c>
      <c r="E22" s="6">
        <v>4</v>
      </c>
      <c r="F22" s="6">
        <v>10000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1000300030001</v>
      </c>
      <c r="C23" s="6" t="s">
        <v>1928</v>
      </c>
      <c r="D23" s="6">
        <v>3</v>
      </c>
      <c r="E23" s="6">
        <v>1</v>
      </c>
      <c r="F23" s="6">
        <v>1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1000300030002</v>
      </c>
      <c r="C24" s="6" t="s">
        <v>1929</v>
      </c>
      <c r="D24" s="6">
        <v>3</v>
      </c>
      <c r="E24" s="6">
        <v>1</v>
      </c>
      <c r="F24" s="6">
        <v>3</v>
      </c>
      <c r="G24" s="6">
        <v>3</v>
      </c>
      <c r="H24" s="6">
        <v>6</v>
      </c>
      <c r="I24" s="6">
        <v>1</v>
      </c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1000300030003</v>
      </c>
      <c r="C25" s="6" t="s">
        <v>1930</v>
      </c>
      <c r="D25" s="6">
        <v>3</v>
      </c>
      <c r="E25" s="6">
        <v>1</v>
      </c>
      <c r="F25" s="6">
        <v>5</v>
      </c>
      <c r="G25" s="6">
        <v>3</v>
      </c>
      <c r="H25" s="6">
        <v>6</v>
      </c>
      <c r="I25" s="6">
        <v>3</v>
      </c>
      <c r="J25" s="6">
        <v>3</v>
      </c>
      <c r="K25" s="6">
        <v>11</v>
      </c>
      <c r="L25" s="6">
        <v>1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1000300030004</v>
      </c>
      <c r="C26" s="6" t="s">
        <v>1931</v>
      </c>
      <c r="D26" s="6">
        <v>3</v>
      </c>
      <c r="E26" s="6">
        <v>1</v>
      </c>
      <c r="F26" s="6">
        <v>10</v>
      </c>
      <c r="G26" s="6">
        <v>3</v>
      </c>
      <c r="H26" s="6">
        <v>6</v>
      </c>
      <c r="I26" s="6">
        <v>5</v>
      </c>
      <c r="J26" s="6">
        <v>3</v>
      </c>
      <c r="K26" s="6">
        <v>11</v>
      </c>
      <c r="L26" s="6">
        <v>3</v>
      </c>
      <c r="M26" s="6">
        <v>3</v>
      </c>
      <c r="N26" s="6">
        <v>16</v>
      </c>
      <c r="O26" s="6">
        <v>1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1000300030005</v>
      </c>
      <c r="C27" s="6" t="s">
        <v>1932</v>
      </c>
      <c r="D27" s="6">
        <v>3</v>
      </c>
      <c r="E27" s="6">
        <v>1</v>
      </c>
      <c r="F27" s="6">
        <v>15</v>
      </c>
      <c r="G27" s="6">
        <v>3</v>
      </c>
      <c r="H27" s="6">
        <v>6</v>
      </c>
      <c r="I27" s="6">
        <v>10</v>
      </c>
      <c r="J27" s="6">
        <v>3</v>
      </c>
      <c r="K27" s="6">
        <v>11</v>
      </c>
      <c r="L27" s="6">
        <v>5</v>
      </c>
      <c r="M27" s="6">
        <v>3</v>
      </c>
      <c r="N27" s="6">
        <v>16</v>
      </c>
      <c r="O27" s="6">
        <v>3</v>
      </c>
      <c r="P27" s="7">
        <v>3</v>
      </c>
      <c r="Q27" s="7">
        <v>21</v>
      </c>
      <c r="R27" s="7">
        <v>1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1000300040001</v>
      </c>
      <c r="C28" s="6" t="s">
        <v>1933</v>
      </c>
      <c r="D28" s="6">
        <v>3</v>
      </c>
      <c r="E28" s="6">
        <v>2</v>
      </c>
      <c r="F28" s="6">
        <v>1</v>
      </c>
      <c r="G28" s="6"/>
      <c r="H28" s="6"/>
      <c r="I28" s="5"/>
      <c r="J28" s="5"/>
      <c r="K28" s="5"/>
      <c r="L28" s="5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1000300040002</v>
      </c>
      <c r="C29" s="6" t="s">
        <v>1934</v>
      </c>
      <c r="D29" s="6">
        <v>3</v>
      </c>
      <c r="E29" s="6">
        <v>2</v>
      </c>
      <c r="F29" s="6">
        <v>3</v>
      </c>
      <c r="G29" s="6">
        <v>3</v>
      </c>
      <c r="H29" s="6">
        <v>7</v>
      </c>
      <c r="I29" s="6">
        <v>1</v>
      </c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1000300040003</v>
      </c>
      <c r="C30" s="6" t="s">
        <v>1935</v>
      </c>
      <c r="D30" s="6">
        <v>3</v>
      </c>
      <c r="E30" s="6">
        <v>2</v>
      </c>
      <c r="F30" s="6">
        <v>5</v>
      </c>
      <c r="G30" s="6">
        <v>3</v>
      </c>
      <c r="H30" s="6">
        <v>7</v>
      </c>
      <c r="I30" s="6">
        <v>3</v>
      </c>
      <c r="J30" s="6">
        <v>3</v>
      </c>
      <c r="K30" s="6">
        <v>12</v>
      </c>
      <c r="L30" s="6">
        <v>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1000300040004</v>
      </c>
      <c r="C31" s="6" t="s">
        <v>1936</v>
      </c>
      <c r="D31" s="6">
        <v>3</v>
      </c>
      <c r="E31" s="6">
        <v>2</v>
      </c>
      <c r="F31" s="6">
        <v>10</v>
      </c>
      <c r="G31" s="6">
        <v>3</v>
      </c>
      <c r="H31" s="6">
        <v>7</v>
      </c>
      <c r="I31" s="6">
        <v>5</v>
      </c>
      <c r="J31" s="6">
        <v>3</v>
      </c>
      <c r="K31" s="6">
        <v>12</v>
      </c>
      <c r="L31" s="6">
        <v>3</v>
      </c>
      <c r="M31" s="6">
        <v>3</v>
      </c>
      <c r="N31" s="6">
        <v>17</v>
      </c>
      <c r="O31" s="6">
        <v>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1000300040005</v>
      </c>
      <c r="C32" s="6" t="s">
        <v>1937</v>
      </c>
      <c r="D32" s="6">
        <v>3</v>
      </c>
      <c r="E32" s="6">
        <v>2</v>
      </c>
      <c r="F32" s="6">
        <v>15</v>
      </c>
      <c r="G32" s="6">
        <v>3</v>
      </c>
      <c r="H32" s="6">
        <v>7</v>
      </c>
      <c r="I32" s="6">
        <v>10</v>
      </c>
      <c r="J32" s="6">
        <v>3</v>
      </c>
      <c r="K32" s="6">
        <v>2</v>
      </c>
      <c r="L32" s="6">
        <v>5</v>
      </c>
      <c r="M32" s="6">
        <v>3</v>
      </c>
      <c r="N32" s="6">
        <v>17</v>
      </c>
      <c r="O32" s="6">
        <v>3</v>
      </c>
      <c r="P32" s="7">
        <v>3</v>
      </c>
      <c r="Q32" s="7">
        <v>21</v>
      </c>
      <c r="R32" s="7">
        <v>1</v>
      </c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1000300050001</v>
      </c>
      <c r="C33" s="6" t="s">
        <v>1938</v>
      </c>
      <c r="D33" s="6">
        <v>3</v>
      </c>
      <c r="E33" s="6">
        <v>3</v>
      </c>
      <c r="F33" s="6">
        <v>1</v>
      </c>
      <c r="G33" s="6"/>
      <c r="H33" s="6"/>
      <c r="I33" s="5"/>
      <c r="J33" s="5"/>
      <c r="K33" s="5"/>
      <c r="L33" s="5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1000300050002</v>
      </c>
      <c r="C34" s="6" t="s">
        <v>1939</v>
      </c>
      <c r="D34" s="6">
        <v>3</v>
      </c>
      <c r="E34" s="6">
        <v>3</v>
      </c>
      <c r="F34" s="6">
        <v>3</v>
      </c>
      <c r="G34" s="6">
        <v>3</v>
      </c>
      <c r="H34" s="6">
        <v>8</v>
      </c>
      <c r="I34" s="6">
        <v>1</v>
      </c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1000300050003</v>
      </c>
      <c r="C35" s="6" t="s">
        <v>1940</v>
      </c>
      <c r="D35" s="6">
        <v>3</v>
      </c>
      <c r="E35" s="6">
        <v>3</v>
      </c>
      <c r="F35" s="6">
        <v>5</v>
      </c>
      <c r="G35" s="6">
        <v>3</v>
      </c>
      <c r="H35" s="6">
        <v>8</v>
      </c>
      <c r="I35" s="6">
        <v>3</v>
      </c>
      <c r="J35" s="6">
        <v>3</v>
      </c>
      <c r="K35" s="6">
        <v>13</v>
      </c>
      <c r="L35" s="6">
        <v>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1000300050004</v>
      </c>
      <c r="C36" s="6" t="s">
        <v>1941</v>
      </c>
      <c r="D36" s="6">
        <v>3</v>
      </c>
      <c r="E36" s="6">
        <v>3</v>
      </c>
      <c r="F36" s="6">
        <v>10</v>
      </c>
      <c r="G36" s="6">
        <v>3</v>
      </c>
      <c r="H36" s="6">
        <v>8</v>
      </c>
      <c r="I36" s="6">
        <v>5</v>
      </c>
      <c r="J36" s="6">
        <v>3</v>
      </c>
      <c r="K36" s="6">
        <v>13</v>
      </c>
      <c r="L36" s="6">
        <v>3</v>
      </c>
      <c r="M36" s="6">
        <v>3</v>
      </c>
      <c r="N36" s="6">
        <v>18</v>
      </c>
      <c r="O36" s="6">
        <v>1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1000300050005</v>
      </c>
      <c r="C37" s="6" t="s">
        <v>1942</v>
      </c>
      <c r="D37" s="6">
        <v>3</v>
      </c>
      <c r="E37" s="6">
        <v>3</v>
      </c>
      <c r="F37" s="6">
        <v>15</v>
      </c>
      <c r="G37" s="6">
        <v>3</v>
      </c>
      <c r="H37" s="6">
        <v>8</v>
      </c>
      <c r="I37" s="6">
        <v>10</v>
      </c>
      <c r="J37" s="6">
        <v>3</v>
      </c>
      <c r="K37" s="6">
        <v>13</v>
      </c>
      <c r="L37" s="6">
        <v>5</v>
      </c>
      <c r="M37" s="6">
        <v>3</v>
      </c>
      <c r="N37" s="6">
        <v>18</v>
      </c>
      <c r="O37" s="6">
        <v>3</v>
      </c>
      <c r="P37" s="7">
        <v>3</v>
      </c>
      <c r="Q37" s="7">
        <v>21</v>
      </c>
      <c r="R37" s="7">
        <v>1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1000300060001</v>
      </c>
      <c r="C38" s="6" t="s">
        <v>1943</v>
      </c>
      <c r="D38" s="6">
        <v>3</v>
      </c>
      <c r="E38" s="6">
        <v>4</v>
      </c>
      <c r="F38" s="6">
        <v>1</v>
      </c>
      <c r="G38" s="6"/>
      <c r="H38" s="6"/>
      <c r="I38" s="5"/>
      <c r="J38" s="5"/>
      <c r="K38" s="5"/>
      <c r="L38" s="5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1000300060002</v>
      </c>
      <c r="C39" s="6" t="s">
        <v>1944</v>
      </c>
      <c r="D39" s="6">
        <v>3</v>
      </c>
      <c r="E39" s="6">
        <v>4</v>
      </c>
      <c r="F39" s="6">
        <v>3</v>
      </c>
      <c r="G39" s="6">
        <v>3</v>
      </c>
      <c r="H39" s="6">
        <v>9</v>
      </c>
      <c r="I39" s="6">
        <v>1</v>
      </c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1000300060003</v>
      </c>
      <c r="C40" s="6" t="s">
        <v>1945</v>
      </c>
      <c r="D40" s="6">
        <v>3</v>
      </c>
      <c r="E40" s="6">
        <v>4</v>
      </c>
      <c r="F40" s="6">
        <v>5</v>
      </c>
      <c r="G40" s="6">
        <v>3</v>
      </c>
      <c r="H40" s="6">
        <v>9</v>
      </c>
      <c r="I40" s="6">
        <v>3</v>
      </c>
      <c r="J40" s="6">
        <v>3</v>
      </c>
      <c r="K40" s="6">
        <v>14</v>
      </c>
      <c r="L40" s="6">
        <v>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1000300060004</v>
      </c>
      <c r="C41" s="6" t="s">
        <v>1946</v>
      </c>
      <c r="D41" s="6">
        <v>3</v>
      </c>
      <c r="E41" s="6">
        <v>4</v>
      </c>
      <c r="F41" s="6">
        <v>10</v>
      </c>
      <c r="G41" s="6">
        <v>3</v>
      </c>
      <c r="H41" s="6">
        <v>9</v>
      </c>
      <c r="I41" s="6">
        <v>5</v>
      </c>
      <c r="J41" s="6">
        <v>3</v>
      </c>
      <c r="K41" s="6">
        <v>14</v>
      </c>
      <c r="L41" s="6">
        <v>3</v>
      </c>
      <c r="M41" s="6">
        <v>3</v>
      </c>
      <c r="N41" s="6">
        <v>19</v>
      </c>
      <c r="O41" s="6">
        <v>1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1000300060005</v>
      </c>
      <c r="C42" s="6" t="s">
        <v>1947</v>
      </c>
      <c r="D42" s="6">
        <v>3</v>
      </c>
      <c r="E42" s="6">
        <v>4</v>
      </c>
      <c r="F42" s="6">
        <v>15</v>
      </c>
      <c r="G42" s="6">
        <v>3</v>
      </c>
      <c r="H42" s="6">
        <v>9</v>
      </c>
      <c r="I42" s="6">
        <v>10</v>
      </c>
      <c r="J42" s="6">
        <v>3</v>
      </c>
      <c r="K42" s="6">
        <v>14</v>
      </c>
      <c r="L42" s="6">
        <v>5</v>
      </c>
      <c r="M42" s="6">
        <v>3</v>
      </c>
      <c r="N42" s="6">
        <v>19</v>
      </c>
      <c r="O42" s="6">
        <v>3</v>
      </c>
      <c r="P42" s="7">
        <v>3</v>
      </c>
      <c r="Q42" s="7">
        <v>21</v>
      </c>
      <c r="R42" s="7">
        <v>1</v>
      </c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1000300070001</v>
      </c>
      <c r="C43" s="6" t="s">
        <v>1948</v>
      </c>
      <c r="D43" s="6">
        <v>3</v>
      </c>
      <c r="E43" s="6">
        <v>5</v>
      </c>
      <c r="F43" s="6">
        <v>1</v>
      </c>
      <c r="G43" s="6"/>
      <c r="H43" s="6"/>
      <c r="I43" s="5"/>
      <c r="J43" s="5"/>
      <c r="K43" s="5"/>
      <c r="L43" s="5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1000300070002</v>
      </c>
      <c r="C44" s="6" t="s">
        <v>1949</v>
      </c>
      <c r="D44" s="6">
        <v>3</v>
      </c>
      <c r="E44" s="6">
        <v>5</v>
      </c>
      <c r="F44" s="6">
        <v>3</v>
      </c>
      <c r="G44" s="6">
        <v>3</v>
      </c>
      <c r="H44" s="6">
        <v>10</v>
      </c>
      <c r="I44" s="6">
        <v>1</v>
      </c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1000300070003</v>
      </c>
      <c r="C45" s="6" t="s">
        <v>1950</v>
      </c>
      <c r="D45" s="6">
        <v>3</v>
      </c>
      <c r="E45" s="6">
        <v>5</v>
      </c>
      <c r="F45" s="6">
        <v>5</v>
      </c>
      <c r="G45" s="6">
        <v>3</v>
      </c>
      <c r="H45" s="6">
        <v>10</v>
      </c>
      <c r="I45" s="6">
        <v>3</v>
      </c>
      <c r="J45" s="6">
        <v>3</v>
      </c>
      <c r="K45" s="6">
        <v>15</v>
      </c>
      <c r="L45" s="6">
        <v>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1000300070004</v>
      </c>
      <c r="C46" s="6" t="s">
        <v>1951</v>
      </c>
      <c r="D46" s="6">
        <v>3</v>
      </c>
      <c r="E46" s="6">
        <v>5</v>
      </c>
      <c r="F46" s="6">
        <v>10</v>
      </c>
      <c r="G46" s="6">
        <v>3</v>
      </c>
      <c r="H46" s="6">
        <v>10</v>
      </c>
      <c r="I46" s="6">
        <v>5</v>
      </c>
      <c r="J46" s="6">
        <v>3</v>
      </c>
      <c r="K46" s="6">
        <v>15</v>
      </c>
      <c r="L46" s="6">
        <v>3</v>
      </c>
      <c r="M46" s="6">
        <v>3</v>
      </c>
      <c r="N46" s="6">
        <v>20</v>
      </c>
      <c r="O46" s="6">
        <v>1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1000300070005</v>
      </c>
      <c r="C47" s="6" t="s">
        <v>1952</v>
      </c>
      <c r="D47" s="6">
        <v>3</v>
      </c>
      <c r="E47" s="6">
        <v>5</v>
      </c>
      <c r="F47" s="6">
        <v>15</v>
      </c>
      <c r="G47" s="6">
        <v>3</v>
      </c>
      <c r="H47" s="6">
        <v>10</v>
      </c>
      <c r="I47" s="6">
        <v>10</v>
      </c>
      <c r="J47" s="6">
        <v>3</v>
      </c>
      <c r="K47" s="6">
        <v>15</v>
      </c>
      <c r="L47" s="6">
        <v>5</v>
      </c>
      <c r="M47" s="6">
        <v>3</v>
      </c>
      <c r="N47" s="6">
        <v>20</v>
      </c>
      <c r="O47" s="6">
        <v>3</v>
      </c>
      <c r="P47" s="7">
        <v>3</v>
      </c>
      <c r="Q47" s="7">
        <v>21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2001001</v>
      </c>
      <c r="C48" s="6" t="s">
        <v>220</v>
      </c>
      <c r="D48" s="6">
        <v>1</v>
      </c>
      <c r="E48" s="6">
        <v>2</v>
      </c>
      <c r="F48" s="6">
        <v>100</v>
      </c>
      <c r="G48" s="6">
        <v>1</v>
      </c>
      <c r="H48" s="6">
        <v>1</v>
      </c>
      <c r="I48" s="5">
        <v>1</v>
      </c>
      <c r="J48" s="5"/>
      <c r="K48" s="5"/>
      <c r="L48" s="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2002001</v>
      </c>
      <c r="C49" s="6" t="s">
        <v>221</v>
      </c>
      <c r="D49" s="6">
        <v>1</v>
      </c>
      <c r="E49" s="6">
        <v>2</v>
      </c>
      <c r="F49" s="6">
        <v>200</v>
      </c>
      <c r="G49" s="6">
        <v>1</v>
      </c>
      <c r="H49" s="6">
        <v>1</v>
      </c>
      <c r="I49" s="5">
        <v>2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2002002</v>
      </c>
      <c r="C50" s="6" t="s">
        <v>222</v>
      </c>
      <c r="D50" s="6">
        <v>1</v>
      </c>
      <c r="E50" s="6">
        <v>2</v>
      </c>
      <c r="F50" s="6">
        <v>300</v>
      </c>
      <c r="G50" s="6">
        <v>1</v>
      </c>
      <c r="H50" s="6">
        <v>1</v>
      </c>
      <c r="I50" s="5">
        <v>5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2000300010001</v>
      </c>
      <c r="C51" s="6" t="s">
        <v>1868</v>
      </c>
      <c r="D51" s="6">
        <v>1</v>
      </c>
      <c r="E51" s="6">
        <v>1</v>
      </c>
      <c r="F51" s="6">
        <v>5</v>
      </c>
      <c r="G51" s="6"/>
      <c r="H51" s="6"/>
      <c r="I51" s="5"/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2000300010002</v>
      </c>
      <c r="C52" s="6" t="s">
        <v>1869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2000300010003</v>
      </c>
      <c r="C53" s="6" t="s">
        <v>1870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2000300010004</v>
      </c>
      <c r="C54" s="6" t="s">
        <v>1871</v>
      </c>
      <c r="D54" s="6">
        <v>1</v>
      </c>
      <c r="E54" s="6">
        <v>1</v>
      </c>
      <c r="F54" s="6">
        <v>10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2000300010005</v>
      </c>
      <c r="C55" s="6" t="s">
        <v>1872</v>
      </c>
      <c r="D55" s="6">
        <v>1</v>
      </c>
      <c r="E55" s="6">
        <v>1</v>
      </c>
      <c r="F55" s="6">
        <v>15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2000300020001</v>
      </c>
      <c r="C56" s="6" t="s">
        <v>1893</v>
      </c>
      <c r="D56" s="6">
        <v>1</v>
      </c>
      <c r="E56" s="6">
        <v>1</v>
      </c>
      <c r="F56" s="6">
        <v>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2000300020002</v>
      </c>
      <c r="C57" s="6" t="s">
        <v>1894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2000300020003</v>
      </c>
      <c r="C58" s="6" t="s">
        <v>1895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2000300020004</v>
      </c>
      <c r="C59" s="6" t="s">
        <v>1896</v>
      </c>
      <c r="D59" s="6">
        <v>1</v>
      </c>
      <c r="E59" s="6">
        <v>1</v>
      </c>
      <c r="F59" s="6">
        <v>10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2000300020005</v>
      </c>
      <c r="C60" s="6" t="s">
        <v>1897</v>
      </c>
      <c r="D60" s="6">
        <v>1</v>
      </c>
      <c r="E60" s="6">
        <v>1</v>
      </c>
      <c r="F60" s="6">
        <v>15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2000300030001</v>
      </c>
      <c r="C61" s="6" t="s">
        <v>1898</v>
      </c>
      <c r="D61" s="6">
        <v>1</v>
      </c>
      <c r="E61" s="6">
        <v>1</v>
      </c>
      <c r="F61" s="6">
        <v>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2000300030002</v>
      </c>
      <c r="C62" s="6" t="s">
        <v>1899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2000300030003</v>
      </c>
      <c r="C63" s="6" t="s">
        <v>1900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2000300030004</v>
      </c>
      <c r="C64" s="6" t="s">
        <v>1901</v>
      </c>
      <c r="D64" s="6">
        <v>1</v>
      </c>
      <c r="E64" s="6">
        <v>1</v>
      </c>
      <c r="F64" s="6">
        <v>10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2000300030005</v>
      </c>
      <c r="C65" s="6" t="s">
        <v>1902</v>
      </c>
      <c r="D65" s="6">
        <v>1</v>
      </c>
      <c r="E65" s="6">
        <v>1</v>
      </c>
      <c r="F65" s="6">
        <v>15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2000300040001</v>
      </c>
      <c r="C66" s="6" t="s">
        <v>1903</v>
      </c>
      <c r="D66" s="6">
        <v>1</v>
      </c>
      <c r="E66" s="6">
        <v>1</v>
      </c>
      <c r="F66" s="6">
        <v>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2000300040002</v>
      </c>
      <c r="C67" s="6" t="s">
        <v>1904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2000300040003</v>
      </c>
      <c r="C68" s="6" t="s">
        <v>1905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2000300040004</v>
      </c>
      <c r="C69" s="6" t="s">
        <v>1906</v>
      </c>
      <c r="D69" s="6">
        <v>1</v>
      </c>
      <c r="E69" s="6">
        <v>1</v>
      </c>
      <c r="F69" s="6">
        <v>10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2000300040005</v>
      </c>
      <c r="C70" s="6" t="s">
        <v>1907</v>
      </c>
      <c r="D70" s="6">
        <v>1</v>
      </c>
      <c r="E70" s="6">
        <v>1</v>
      </c>
      <c r="F70" s="6">
        <v>15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2000300050001</v>
      </c>
      <c r="C71" s="6" t="s">
        <v>1908</v>
      </c>
      <c r="D71" s="6">
        <v>1</v>
      </c>
      <c r="E71" s="6">
        <v>1</v>
      </c>
      <c r="F71" s="6">
        <v>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2000300050002</v>
      </c>
      <c r="C72" s="6" t="s">
        <v>1909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2000300050003</v>
      </c>
      <c r="C73" s="6" t="s">
        <v>1910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2000300050004</v>
      </c>
      <c r="C74" s="6" t="s">
        <v>1911</v>
      </c>
      <c r="D74" s="6">
        <v>1</v>
      </c>
      <c r="E74" s="6">
        <v>1</v>
      </c>
      <c r="F74" s="6">
        <v>10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2000300050005</v>
      </c>
      <c r="C75" s="6" t="s">
        <v>1912</v>
      </c>
      <c r="D75" s="6">
        <v>1</v>
      </c>
      <c r="E75" s="6">
        <v>1</v>
      </c>
      <c r="F75" s="6">
        <v>15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2000300060001</v>
      </c>
      <c r="C76" s="6" t="s">
        <v>1913</v>
      </c>
      <c r="D76" s="6">
        <v>1</v>
      </c>
      <c r="E76" s="6">
        <v>1</v>
      </c>
      <c r="F76" s="6">
        <v>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2000300060002</v>
      </c>
      <c r="C77" s="6" t="s">
        <v>1914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2000300060003</v>
      </c>
      <c r="C78" s="6" t="s">
        <v>1915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2000300060004</v>
      </c>
      <c r="C79" s="6" t="s">
        <v>1916</v>
      </c>
      <c r="D79" s="6">
        <v>1</v>
      </c>
      <c r="E79" s="6">
        <v>1</v>
      </c>
      <c r="F79" s="6">
        <v>10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2000300060005</v>
      </c>
      <c r="C80" s="6" t="s">
        <v>1917</v>
      </c>
      <c r="D80" s="6">
        <v>1</v>
      </c>
      <c r="E80" s="6">
        <v>1</v>
      </c>
      <c r="F80" s="6">
        <v>15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2000300070001</v>
      </c>
      <c r="C81" s="6" t="s">
        <v>1918</v>
      </c>
      <c r="D81" s="6">
        <v>1</v>
      </c>
      <c r="E81" s="6">
        <v>1</v>
      </c>
      <c r="F81" s="6">
        <v>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2000300070002</v>
      </c>
      <c r="C82" s="6" t="s">
        <v>1919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2000300070003</v>
      </c>
      <c r="C83" s="6" t="s">
        <v>1920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2000300070004</v>
      </c>
      <c r="C84" s="6" t="s">
        <v>1921</v>
      </c>
      <c r="D84" s="6">
        <v>1</v>
      </c>
      <c r="E84" s="6">
        <v>1</v>
      </c>
      <c r="F84" s="6">
        <v>10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2000300070005</v>
      </c>
      <c r="C85" s="6" t="s">
        <v>1922</v>
      </c>
      <c r="D85" s="6">
        <v>1</v>
      </c>
      <c r="E85" s="6">
        <v>1</v>
      </c>
      <c r="F85" s="6">
        <v>15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3001001</v>
      </c>
      <c r="C86" s="7" t="s">
        <v>213</v>
      </c>
      <c r="D86" s="7">
        <v>4</v>
      </c>
      <c r="E86" s="7">
        <v>3001001</v>
      </c>
      <c r="F86" s="7">
        <v>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15">
        <v>3001002</v>
      </c>
      <c r="C87" s="7" t="s">
        <v>214</v>
      </c>
      <c r="D87" s="6">
        <v>4</v>
      </c>
      <c r="E87" s="7">
        <v>3001001</v>
      </c>
      <c r="F87" s="7">
        <v>10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38">
        <v>3002001</v>
      </c>
      <c r="C88" s="7" t="s">
        <v>215</v>
      </c>
      <c r="D88" s="7">
        <v>4</v>
      </c>
      <c r="E88" s="7">
        <v>3002001</v>
      </c>
      <c r="F88" s="7">
        <v>1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15">
        <v>3002002</v>
      </c>
      <c r="C89" s="7" t="s">
        <v>216</v>
      </c>
      <c r="D89" s="7">
        <v>4</v>
      </c>
      <c r="E89" s="7">
        <v>3002001</v>
      </c>
      <c r="F89" s="7">
        <v>10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38">
        <v>9001001</v>
      </c>
      <c r="C90" s="7" t="s">
        <v>249</v>
      </c>
      <c r="D90" s="7">
        <v>1</v>
      </c>
      <c r="E90" s="7">
        <v>1</v>
      </c>
      <c r="F90" s="7">
        <v>999999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9001002</v>
      </c>
      <c r="C91" s="7" t="s">
        <v>251</v>
      </c>
      <c r="D91" s="7">
        <v>1</v>
      </c>
      <c r="E91" s="7">
        <v>2</v>
      </c>
      <c r="F91" s="7">
        <v>9999999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9001003</v>
      </c>
      <c r="C92" s="7" t="s">
        <v>256</v>
      </c>
      <c r="D92" s="7">
        <v>1</v>
      </c>
      <c r="E92" s="7">
        <v>3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9001004</v>
      </c>
      <c r="C93" s="7" t="s">
        <v>250</v>
      </c>
      <c r="D93" s="7">
        <v>1</v>
      </c>
      <c r="E93" s="7">
        <v>4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9001005</v>
      </c>
      <c r="C94" s="7" t="s">
        <v>1832</v>
      </c>
      <c r="D94" s="7">
        <v>2</v>
      </c>
      <c r="E94" s="7">
        <v>1</v>
      </c>
      <c r="F94" s="7">
        <v>1</v>
      </c>
      <c r="G94" s="7">
        <v>2</v>
      </c>
      <c r="H94" s="7">
        <v>2</v>
      </c>
      <c r="I94" s="7">
        <v>1</v>
      </c>
      <c r="J94" s="7">
        <v>2</v>
      </c>
      <c r="K94" s="7">
        <v>3</v>
      </c>
      <c r="L94" s="7">
        <v>1</v>
      </c>
      <c r="M94" s="7">
        <v>2</v>
      </c>
      <c r="N94" s="7">
        <v>4</v>
      </c>
      <c r="O94" s="7">
        <v>1</v>
      </c>
      <c r="P94" s="7">
        <v>2</v>
      </c>
      <c r="Q94" s="7">
        <v>5</v>
      </c>
      <c r="R94" s="7">
        <v>1</v>
      </c>
      <c r="S94" s="7">
        <v>2</v>
      </c>
      <c r="T94" s="7">
        <v>6</v>
      </c>
      <c r="U94" s="7">
        <v>1</v>
      </c>
      <c r="V94" s="7">
        <v>2</v>
      </c>
      <c r="W94" s="7">
        <v>7</v>
      </c>
      <c r="X94" s="7">
        <v>1</v>
      </c>
      <c r="Y94" s="7">
        <v>2</v>
      </c>
      <c r="Z94" s="7">
        <v>8</v>
      </c>
      <c r="AA94" s="7">
        <v>1</v>
      </c>
      <c r="AB94" s="7">
        <v>2</v>
      </c>
      <c r="AC94" s="7">
        <v>9</v>
      </c>
      <c r="AD94" s="7">
        <v>1</v>
      </c>
      <c r="AE94" s="7">
        <v>2</v>
      </c>
      <c r="AF94" s="7">
        <v>10</v>
      </c>
      <c r="AG94" s="7">
        <v>1</v>
      </c>
      <c r="AH94" s="7">
        <v>2</v>
      </c>
      <c r="AI94" s="7">
        <v>11</v>
      </c>
      <c r="AJ94" s="7">
        <v>1</v>
      </c>
      <c r="AK94" s="7">
        <v>2</v>
      </c>
      <c r="AL94" s="12">
        <v>12</v>
      </c>
      <c r="AM94" s="14">
        <v>1</v>
      </c>
      <c r="AN94" s="14">
        <v>2</v>
      </c>
      <c r="AO94" s="14">
        <v>13</v>
      </c>
      <c r="AP94" s="14">
        <v>1</v>
      </c>
      <c r="AQ94" s="14">
        <v>2</v>
      </c>
      <c r="AR94" s="14">
        <v>14</v>
      </c>
      <c r="AS94" s="14">
        <v>1</v>
      </c>
      <c r="AT94" s="14">
        <v>2</v>
      </c>
      <c r="AU94" s="14">
        <v>15</v>
      </c>
      <c r="AV94" s="14">
        <v>1</v>
      </c>
      <c r="AW94" s="14">
        <v>2</v>
      </c>
      <c r="AX94" s="14">
        <v>16</v>
      </c>
      <c r="AY94" s="14">
        <v>1</v>
      </c>
      <c r="AZ94" s="14">
        <v>2</v>
      </c>
      <c r="BA94" s="14">
        <v>17</v>
      </c>
      <c r="BB94" s="14">
        <v>1</v>
      </c>
      <c r="BC94" s="14">
        <v>2</v>
      </c>
      <c r="BD94" s="14">
        <v>18</v>
      </c>
      <c r="BE94" s="14">
        <v>1</v>
      </c>
      <c r="BF94" s="14">
        <v>2</v>
      </c>
      <c r="BG94" s="14">
        <v>19</v>
      </c>
      <c r="BH94" s="14">
        <v>1</v>
      </c>
      <c r="BI94" s="14">
        <v>2</v>
      </c>
      <c r="BJ94" s="14">
        <v>20</v>
      </c>
      <c r="BK94" s="14">
        <v>1</v>
      </c>
      <c r="BL94" s="16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</row>
    <row r="95" spans="1:213" ht="18.75" customHeight="1">
      <c r="A95" s="8"/>
      <c r="B95" s="38">
        <v>9001006</v>
      </c>
      <c r="C95" s="7" t="s">
        <v>1833</v>
      </c>
      <c r="D95" s="7">
        <v>2</v>
      </c>
      <c r="E95" s="7">
        <v>21</v>
      </c>
      <c r="F95" s="7">
        <v>1</v>
      </c>
      <c r="G95" s="7">
        <v>2</v>
      </c>
      <c r="H95" s="7">
        <v>22</v>
      </c>
      <c r="I95" s="7">
        <v>1</v>
      </c>
      <c r="J95" s="7">
        <v>2</v>
      </c>
      <c r="K95" s="7">
        <v>23</v>
      </c>
      <c r="L95" s="7">
        <v>1</v>
      </c>
      <c r="M95" s="7">
        <v>2</v>
      </c>
      <c r="N95" s="7">
        <v>24</v>
      </c>
      <c r="O95" s="7">
        <v>1</v>
      </c>
      <c r="P95" s="7">
        <v>2</v>
      </c>
      <c r="Q95" s="7">
        <v>25</v>
      </c>
      <c r="R95" s="7">
        <v>1</v>
      </c>
      <c r="S95" s="7">
        <v>2</v>
      </c>
      <c r="T95" s="7">
        <v>26</v>
      </c>
      <c r="U95" s="7">
        <v>1</v>
      </c>
      <c r="V95" s="7">
        <v>2</v>
      </c>
      <c r="W95" s="7">
        <v>27</v>
      </c>
      <c r="X95" s="7">
        <v>1</v>
      </c>
      <c r="Y95" s="7">
        <v>2</v>
      </c>
      <c r="Z95" s="7">
        <v>28</v>
      </c>
      <c r="AA95" s="7">
        <v>1</v>
      </c>
      <c r="AB95" s="7">
        <v>2</v>
      </c>
      <c r="AC95" s="7">
        <v>29</v>
      </c>
      <c r="AD95" s="7">
        <v>1</v>
      </c>
      <c r="AE95" s="7">
        <v>2</v>
      </c>
      <c r="AF95" s="7">
        <v>30</v>
      </c>
      <c r="AG95" s="7">
        <v>1</v>
      </c>
      <c r="AH95" s="7">
        <v>2</v>
      </c>
      <c r="AI95" s="7">
        <v>31</v>
      </c>
      <c r="AJ95" s="7">
        <v>1</v>
      </c>
      <c r="AK95" s="7">
        <v>2</v>
      </c>
      <c r="AL95" s="12">
        <v>32</v>
      </c>
      <c r="AM95" s="14">
        <v>1</v>
      </c>
      <c r="AN95" s="14">
        <v>2</v>
      </c>
      <c r="AO95" s="14">
        <v>33</v>
      </c>
      <c r="AP95" s="14">
        <v>1</v>
      </c>
      <c r="AQ95" s="14">
        <v>2</v>
      </c>
      <c r="AR95" s="14">
        <v>34</v>
      </c>
      <c r="AS95" s="14">
        <v>1</v>
      </c>
      <c r="AT95" s="14">
        <v>2</v>
      </c>
      <c r="AU95" s="14">
        <v>35</v>
      </c>
      <c r="AV95" s="14">
        <v>1</v>
      </c>
      <c r="AW95" s="14">
        <v>2</v>
      </c>
      <c r="AX95" s="14">
        <v>36</v>
      </c>
      <c r="AY95" s="14">
        <v>1</v>
      </c>
      <c r="AZ95" s="14">
        <v>2</v>
      </c>
      <c r="BA95" s="14">
        <v>37</v>
      </c>
      <c r="BB95" s="14">
        <v>1</v>
      </c>
      <c r="BC95" s="14">
        <v>2</v>
      </c>
      <c r="BD95" s="14">
        <v>38</v>
      </c>
      <c r="BE95" s="14">
        <v>1</v>
      </c>
      <c r="BF95" s="14">
        <v>2</v>
      </c>
      <c r="BG95" s="14">
        <v>39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9001007</v>
      </c>
      <c r="C96" s="7" t="s">
        <v>1834</v>
      </c>
      <c r="D96" s="7">
        <v>2</v>
      </c>
      <c r="E96" s="7">
        <v>41</v>
      </c>
      <c r="F96" s="7">
        <v>1</v>
      </c>
      <c r="G96" s="7">
        <v>2</v>
      </c>
      <c r="H96" s="7">
        <v>42</v>
      </c>
      <c r="I96" s="7">
        <v>1</v>
      </c>
      <c r="J96" s="7">
        <v>2</v>
      </c>
      <c r="K96" s="7">
        <v>43</v>
      </c>
      <c r="L96" s="7">
        <v>1</v>
      </c>
      <c r="M96" s="7">
        <v>2</v>
      </c>
      <c r="N96" s="7">
        <v>44</v>
      </c>
      <c r="O96" s="7">
        <v>1</v>
      </c>
      <c r="P96" s="7">
        <v>2</v>
      </c>
      <c r="Q96" s="7">
        <v>45</v>
      </c>
      <c r="R96" s="7">
        <v>1</v>
      </c>
      <c r="S96" s="7">
        <v>2</v>
      </c>
      <c r="T96" s="7">
        <v>46</v>
      </c>
      <c r="U96" s="7">
        <v>1</v>
      </c>
      <c r="V96" s="7">
        <v>2</v>
      </c>
      <c r="W96" s="7">
        <v>47</v>
      </c>
      <c r="X96" s="7">
        <v>1</v>
      </c>
      <c r="Y96" s="7">
        <v>2</v>
      </c>
      <c r="Z96" s="7">
        <v>48</v>
      </c>
      <c r="AA96" s="7">
        <v>1</v>
      </c>
      <c r="AB96" s="7">
        <v>2</v>
      </c>
      <c r="AC96" s="7">
        <v>49</v>
      </c>
      <c r="AD96" s="7">
        <v>1</v>
      </c>
      <c r="AE96" s="7">
        <v>2</v>
      </c>
      <c r="AF96" s="7">
        <v>50</v>
      </c>
      <c r="AG96" s="7">
        <v>1</v>
      </c>
      <c r="AH96" s="7">
        <v>2</v>
      </c>
      <c r="AI96" s="7">
        <v>51</v>
      </c>
      <c r="AJ96" s="7">
        <v>1</v>
      </c>
      <c r="AK96" s="7">
        <v>2</v>
      </c>
      <c r="AL96" s="12">
        <v>52</v>
      </c>
      <c r="AM96" s="14">
        <v>1</v>
      </c>
      <c r="AN96" s="14">
        <v>2</v>
      </c>
      <c r="AO96" s="14">
        <v>53</v>
      </c>
      <c r="AP96" s="14">
        <v>1</v>
      </c>
      <c r="AQ96" s="14">
        <v>2</v>
      </c>
      <c r="AR96" s="14">
        <v>54</v>
      </c>
      <c r="AS96" s="14">
        <v>1</v>
      </c>
      <c r="AT96" s="14">
        <v>2</v>
      </c>
      <c r="AU96" s="14">
        <v>55</v>
      </c>
      <c r="AV96" s="14">
        <v>1</v>
      </c>
      <c r="AW96" s="14">
        <v>2</v>
      </c>
      <c r="AX96" s="14">
        <v>56</v>
      </c>
      <c r="AY96" s="14">
        <v>1</v>
      </c>
      <c r="AZ96" s="14">
        <v>2</v>
      </c>
      <c r="BA96" s="14">
        <v>57</v>
      </c>
      <c r="BB96" s="14">
        <v>1</v>
      </c>
      <c r="BC96" s="14">
        <v>2</v>
      </c>
      <c r="BD96" s="14">
        <v>58</v>
      </c>
      <c r="BE96" s="14">
        <v>1</v>
      </c>
      <c r="BF96" s="14">
        <v>2</v>
      </c>
      <c r="BG96" s="14">
        <v>59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9001008</v>
      </c>
      <c r="C97" s="7" t="s">
        <v>1835</v>
      </c>
      <c r="D97" s="7">
        <v>2</v>
      </c>
      <c r="E97" s="7">
        <v>61</v>
      </c>
      <c r="F97" s="7">
        <v>1</v>
      </c>
      <c r="G97" s="7">
        <v>2</v>
      </c>
      <c r="H97" s="7">
        <v>62</v>
      </c>
      <c r="I97" s="7">
        <v>1</v>
      </c>
      <c r="J97" s="7">
        <v>2</v>
      </c>
      <c r="K97" s="7">
        <v>63</v>
      </c>
      <c r="L97" s="7">
        <v>1</v>
      </c>
      <c r="M97" s="7">
        <v>2</v>
      </c>
      <c r="N97" s="7">
        <v>64</v>
      </c>
      <c r="O97" s="7">
        <v>1</v>
      </c>
      <c r="P97" s="7">
        <v>2</v>
      </c>
      <c r="Q97" s="7">
        <v>65</v>
      </c>
      <c r="R97" s="7">
        <v>1</v>
      </c>
      <c r="S97" s="7">
        <v>2</v>
      </c>
      <c r="T97" s="7">
        <v>66</v>
      </c>
      <c r="U97" s="7">
        <v>1</v>
      </c>
      <c r="V97" s="7">
        <v>2</v>
      </c>
      <c r="W97" s="7">
        <v>67</v>
      </c>
      <c r="X97" s="7">
        <v>1</v>
      </c>
      <c r="Y97" s="7">
        <v>2</v>
      </c>
      <c r="Z97" s="7">
        <v>68</v>
      </c>
      <c r="AA97" s="7">
        <v>1</v>
      </c>
      <c r="AB97" s="7">
        <v>2</v>
      </c>
      <c r="AC97" s="7">
        <v>69</v>
      </c>
      <c r="AD97" s="7">
        <v>1</v>
      </c>
      <c r="AE97" s="7">
        <v>2</v>
      </c>
      <c r="AF97" s="7">
        <v>70</v>
      </c>
      <c r="AG97" s="7">
        <v>1</v>
      </c>
      <c r="AH97" s="7"/>
      <c r="AI97" s="7"/>
      <c r="AJ97" s="7"/>
      <c r="AK97" s="7"/>
      <c r="AL97" s="12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4001001</v>
      </c>
      <c r="C98" s="7" t="s">
        <v>313</v>
      </c>
      <c r="D98" s="6">
        <v>1</v>
      </c>
      <c r="E98" s="7">
        <v>1</v>
      </c>
      <c r="F98" s="7">
        <v>5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12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6"/>
    </row>
    <row r="99" spans="1:213" ht="18.75" customHeight="1">
      <c r="A99" s="8"/>
      <c r="B99" s="15">
        <v>4001002</v>
      </c>
      <c r="C99" s="7" t="s">
        <v>314</v>
      </c>
      <c r="D99" s="7">
        <v>1</v>
      </c>
      <c r="E99" s="7">
        <v>1</v>
      </c>
      <c r="F99" s="7">
        <v>10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38">
        <v>4001003</v>
      </c>
      <c r="C100" s="7" t="s">
        <v>315</v>
      </c>
      <c r="D100" s="7">
        <v>1</v>
      </c>
      <c r="E100" s="7">
        <v>1</v>
      </c>
      <c r="F100" s="7">
        <v>15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15">
        <v>5001001</v>
      </c>
      <c r="C101" s="7" t="s">
        <v>320</v>
      </c>
      <c r="D101" s="7">
        <v>1</v>
      </c>
      <c r="E101" s="7">
        <v>1</v>
      </c>
      <c r="F101" s="7">
        <v>1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38">
        <v>5001002</v>
      </c>
      <c r="C102" s="7" t="s">
        <v>321</v>
      </c>
      <c r="D102" s="6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15">
        <v>5001003</v>
      </c>
      <c r="C103" s="7" t="s">
        <v>322</v>
      </c>
      <c r="D103" s="7">
        <v>1</v>
      </c>
      <c r="E103" s="7">
        <v>1</v>
      </c>
      <c r="F103" s="7">
        <v>5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38">
        <v>6001001</v>
      </c>
      <c r="C104" s="7" t="s">
        <v>327</v>
      </c>
      <c r="D104" s="6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15">
        <v>6001002</v>
      </c>
      <c r="C105" s="7" t="s">
        <v>328</v>
      </c>
      <c r="D105" s="7">
        <v>1</v>
      </c>
      <c r="E105" s="7">
        <v>1</v>
      </c>
      <c r="F105" s="7">
        <v>10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38">
        <v>6001003</v>
      </c>
      <c r="C106" s="7" t="s">
        <v>329</v>
      </c>
      <c r="D106" s="7">
        <v>1</v>
      </c>
      <c r="E106" s="7">
        <v>1</v>
      </c>
      <c r="F106" s="7">
        <v>15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15">
        <v>6001004</v>
      </c>
      <c r="C107" s="7" t="s">
        <v>330</v>
      </c>
      <c r="D107" s="7">
        <v>1</v>
      </c>
      <c r="E107" s="7">
        <v>1</v>
      </c>
      <c r="F107" s="7">
        <v>1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38">
        <v>6001005</v>
      </c>
      <c r="C108" s="7" t="s">
        <v>331</v>
      </c>
      <c r="D108" s="6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3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38"/>
      <c r="C112" s="7"/>
      <c r="D112" s="6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3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38"/>
      <c r="C116" s="7"/>
      <c r="D116" s="6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3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15"/>
      <c r="C119" s="7"/>
      <c r="D119" s="6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3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3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15"/>
      <c r="C123" s="7"/>
      <c r="D123" s="6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B124" s="38"/>
      <c r="C124" s="7"/>
      <c r="D124" s="7"/>
      <c r="E124" s="7"/>
      <c r="AL124" s="36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15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38"/>
      <c r="C126" s="7"/>
      <c r="D126" s="6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15"/>
      <c r="C127" s="7"/>
      <c r="D127" s="7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38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15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38"/>
      <c r="C130" s="7"/>
      <c r="D130" s="6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15"/>
      <c r="C131" s="7"/>
      <c r="D131" s="7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38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15"/>
      <c r="C133" s="7"/>
      <c r="D133" s="6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38"/>
      <c r="C134" s="7"/>
      <c r="D134" s="7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15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38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15"/>
      <c r="C137" s="7"/>
      <c r="D137" s="6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38"/>
      <c r="C138" s="7"/>
      <c r="D138" s="7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15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38"/>
      <c r="C140" s="7"/>
      <c r="D140" s="6"/>
      <c r="E140" s="7"/>
    </row>
    <row r="141" spans="2:64" ht="18.75" customHeight="1">
      <c r="B141" s="15"/>
      <c r="C141" s="7"/>
      <c r="D141" s="7"/>
      <c r="E141" s="7"/>
    </row>
    <row r="142" spans="2:64" ht="18.75" customHeight="1">
      <c r="B142" s="38"/>
      <c r="C142" s="7"/>
      <c r="D142" s="7"/>
      <c r="E142" s="7"/>
    </row>
    <row r="143" spans="2:64" ht="18.75" customHeight="1">
      <c r="B143" s="15"/>
      <c r="C143" s="7"/>
      <c r="D143" s="7"/>
      <c r="E143" s="7"/>
    </row>
    <row r="144" spans="2:64" ht="18.75" customHeight="1">
      <c r="B144" s="38"/>
      <c r="C144" s="7"/>
      <c r="D144" s="6"/>
      <c r="E144" s="7"/>
    </row>
    <row r="145" spans="2:5" ht="18.75" customHeight="1">
      <c r="B145" s="15"/>
      <c r="C145" s="7"/>
      <c r="D145" s="7"/>
      <c r="E145" s="7"/>
    </row>
    <row r="146" spans="2:5" ht="18.75" customHeight="1">
      <c r="B146" s="38"/>
      <c r="C146" s="7"/>
      <c r="D146" s="7"/>
      <c r="E146" s="7"/>
    </row>
    <row r="147" spans="2:5" ht="18.75" customHeight="1">
      <c r="B147" s="15"/>
      <c r="C147" s="7"/>
      <c r="D147" s="6"/>
      <c r="E147" s="7"/>
    </row>
    <row r="148" spans="2:5" ht="18.75" customHeight="1">
      <c r="B148" s="38"/>
      <c r="C148" s="7"/>
      <c r="D148" s="7"/>
      <c r="E148" s="7"/>
    </row>
    <row r="149" spans="2:5" ht="18.75" customHeight="1">
      <c r="B149" s="15"/>
      <c r="C149" s="7"/>
      <c r="D149" s="7"/>
      <c r="E149" s="7"/>
    </row>
    <row r="150" spans="2:5" ht="18.75" customHeight="1">
      <c r="B150" s="38"/>
      <c r="C150" s="7"/>
      <c r="D150" s="7"/>
      <c r="E150" s="7"/>
    </row>
    <row r="151" spans="2:5" ht="18.75" customHeight="1">
      <c r="B151" s="15"/>
      <c r="C151" s="7"/>
      <c r="D151" s="6"/>
      <c r="E151" s="7"/>
    </row>
    <row r="152" spans="2:5" ht="18.75" customHeight="1">
      <c r="B152" s="38"/>
      <c r="C152" s="7"/>
      <c r="D152" s="7"/>
      <c r="E152" s="7"/>
    </row>
    <row r="153" spans="2:5" ht="18.75" customHeight="1">
      <c r="B153" s="15"/>
      <c r="C153" s="7"/>
      <c r="D153" s="7"/>
      <c r="E153" s="7"/>
    </row>
    <row r="154" spans="2:5" ht="18.75" customHeight="1">
      <c r="B154" s="38"/>
      <c r="C154" s="7"/>
      <c r="D154" s="6"/>
      <c r="E154" s="7"/>
    </row>
    <row r="155" spans="2:5" ht="18.75" customHeight="1">
      <c r="B155" s="15"/>
      <c r="C155" s="7"/>
      <c r="D155" s="7"/>
      <c r="E155" s="7"/>
    </row>
    <row r="156" spans="2:5" ht="18.75" customHeight="1">
      <c r="B156" s="38"/>
      <c r="C156" s="7"/>
      <c r="D156" s="7"/>
      <c r="E156" s="7"/>
    </row>
    <row r="157" spans="2:5" ht="18.75" customHeight="1">
      <c r="B157" s="15"/>
      <c r="C157" s="7"/>
      <c r="D157" s="7"/>
      <c r="E157" s="7"/>
    </row>
    <row r="158" spans="2:5" ht="18.75" customHeight="1">
      <c r="B158" s="38"/>
      <c r="C158" s="7"/>
      <c r="D158" s="6"/>
      <c r="E158" s="7"/>
    </row>
    <row r="159" spans="2:5" ht="18.75" customHeight="1">
      <c r="B159" s="15"/>
      <c r="C159" s="7"/>
      <c r="D159" s="7"/>
      <c r="E159" s="7"/>
    </row>
    <row r="160" spans="2:5" ht="18.75" customHeight="1">
      <c r="B160" s="38"/>
      <c r="C160" s="7"/>
      <c r="D160" s="7"/>
      <c r="E160" s="7"/>
    </row>
    <row r="161" spans="2:5" ht="18.75" customHeight="1">
      <c r="B161" s="15"/>
      <c r="C161" s="7"/>
      <c r="D161" s="6"/>
      <c r="E161" s="7"/>
    </row>
    <row r="162" spans="2:5" ht="18.75" customHeight="1">
      <c r="B162" s="38"/>
      <c r="C162" s="7"/>
      <c r="D162" s="7"/>
      <c r="E162" s="7"/>
    </row>
    <row r="163" spans="2:5" ht="18.75" customHeight="1">
      <c r="B163" s="15"/>
      <c r="C163" s="7"/>
      <c r="D163" s="7"/>
      <c r="E163" s="7"/>
    </row>
    <row r="164" spans="2:5" ht="18.75" customHeight="1">
      <c r="B164" s="38"/>
      <c r="C164" s="7"/>
      <c r="D164" s="7"/>
      <c r="E164" s="7"/>
    </row>
    <row r="165" spans="2:5" ht="18.75" customHeight="1">
      <c r="B165" s="15"/>
      <c r="C165" s="7"/>
      <c r="D165" s="6"/>
      <c r="E165" s="7"/>
    </row>
    <row r="166" spans="2:5" ht="18.75" customHeight="1">
      <c r="B166" s="38"/>
      <c r="C166" s="7"/>
      <c r="D166" s="7"/>
      <c r="E166" s="7"/>
    </row>
    <row r="167" spans="2:5" ht="18.75" customHeight="1">
      <c r="B167" s="15"/>
      <c r="C167" s="7"/>
      <c r="D167" s="7"/>
      <c r="E167" s="7"/>
    </row>
    <row r="168" spans="2:5" ht="18.75" customHeight="1">
      <c r="B168" s="38"/>
      <c r="C168" s="7"/>
      <c r="D168" s="6"/>
      <c r="E168" s="7"/>
    </row>
    <row r="169" spans="2:5" ht="18.75" customHeight="1">
      <c r="B169" s="15"/>
      <c r="C169" s="7"/>
      <c r="D169" s="7"/>
      <c r="E169" s="7"/>
    </row>
    <row r="170" spans="2:5" ht="18.75" customHeight="1">
      <c r="B170" s="38"/>
      <c r="C170" s="7"/>
      <c r="D170" s="7"/>
      <c r="E170" s="7"/>
    </row>
    <row r="171" spans="2:5" ht="18.75" customHeight="1">
      <c r="B171" s="15"/>
      <c r="C171" s="7"/>
      <c r="D171" s="7"/>
      <c r="E171" s="7"/>
    </row>
    <row r="172" spans="2:5" ht="18.75" customHeight="1">
      <c r="B172" s="38"/>
      <c r="C172" s="7"/>
      <c r="D172" s="6"/>
      <c r="E172" s="7"/>
    </row>
    <row r="173" spans="2:5" ht="18.75" customHeight="1">
      <c r="B173" s="15"/>
      <c r="C173" s="7"/>
      <c r="D173" s="7"/>
      <c r="E173" s="7"/>
    </row>
    <row r="174" spans="2:5" ht="18.75" customHeight="1">
      <c r="B174" s="38"/>
      <c r="C174" s="7"/>
      <c r="D174" s="7"/>
      <c r="E174" s="7"/>
    </row>
    <row r="175" spans="2:5" ht="18.75" customHeight="1">
      <c r="B175" s="15"/>
      <c r="C175" s="7"/>
      <c r="D175" s="6"/>
      <c r="E175" s="7"/>
    </row>
    <row r="176" spans="2:5" ht="18.75" customHeight="1">
      <c r="B176" s="38"/>
      <c r="C176" s="7"/>
      <c r="D176" s="7"/>
      <c r="E176" s="7"/>
    </row>
    <row r="177" spans="2:5" ht="18.75" customHeight="1">
      <c r="B177" s="15"/>
      <c r="C177" s="7"/>
      <c r="D177" s="7"/>
      <c r="E177" s="7"/>
    </row>
    <row r="178" spans="2:5" ht="18.75" customHeight="1">
      <c r="B178" s="38"/>
      <c r="C178" s="7"/>
      <c r="D178" s="7"/>
      <c r="E178" s="7"/>
    </row>
    <row r="179" spans="2:5" ht="18.75" customHeight="1">
      <c r="B179" s="15"/>
      <c r="C179" s="7"/>
      <c r="D179" s="6"/>
      <c r="E179" s="7"/>
    </row>
    <row r="180" spans="2:5" ht="18.75" customHeight="1">
      <c r="B180" s="38"/>
      <c r="C180" s="7"/>
      <c r="D180" s="7"/>
      <c r="E180" s="7"/>
    </row>
    <row r="181" spans="2:5" ht="18.75" customHeight="1">
      <c r="B181" s="15"/>
      <c r="C181" s="7"/>
      <c r="D181" s="7"/>
      <c r="E181" s="7"/>
    </row>
    <row r="182" spans="2:5" ht="18.75" customHeight="1">
      <c r="B182" s="38"/>
      <c r="C182" s="7"/>
      <c r="D182" s="6"/>
      <c r="E182" s="7"/>
    </row>
    <row r="183" spans="2:5" ht="18.75" customHeight="1">
      <c r="B183" s="15"/>
      <c r="C183" s="7"/>
      <c r="D183" s="7"/>
      <c r="E183" s="7"/>
    </row>
    <row r="184" spans="2:5" ht="18.75" customHeight="1">
      <c r="B184" s="45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5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7" t="s">
        <v>0</v>
      </c>
      <c r="B2" s="7" t="s">
        <v>166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7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167</v>
      </c>
      <c r="H6" s="3" t="s">
        <v>29</v>
      </c>
      <c r="I6" s="3" t="s">
        <v>30</v>
      </c>
      <c r="J6" s="3" t="s">
        <v>32</v>
      </c>
      <c r="K6" s="3" t="s">
        <v>167</v>
      </c>
      <c r="L6" s="3" t="s">
        <v>29</v>
      </c>
      <c r="M6" s="3" t="s">
        <v>30</v>
      </c>
      <c r="N6" s="3" t="s">
        <v>32</v>
      </c>
      <c r="O6" s="3" t="s">
        <v>167</v>
      </c>
      <c r="P6" s="3" t="s">
        <v>29</v>
      </c>
      <c r="Q6" s="3" t="s">
        <v>30</v>
      </c>
      <c r="R6" s="3" t="s">
        <v>32</v>
      </c>
      <c r="S6" s="3" t="s">
        <v>167</v>
      </c>
      <c r="T6" s="3" t="s">
        <v>29</v>
      </c>
      <c r="U6" s="3" t="s">
        <v>30</v>
      </c>
      <c r="V6" s="3" t="s">
        <v>32</v>
      </c>
      <c r="W6" s="3" t="s">
        <v>167</v>
      </c>
      <c r="X6" s="3" t="s">
        <v>29</v>
      </c>
      <c r="Y6" s="3" t="s">
        <v>30</v>
      </c>
      <c r="Z6" s="3" t="s">
        <v>32</v>
      </c>
      <c r="AA6" s="3" t="s">
        <v>167</v>
      </c>
      <c r="AB6" s="3" t="s">
        <v>29</v>
      </c>
      <c r="AC6" s="3" t="s">
        <v>30</v>
      </c>
      <c r="AD6" s="3" t="s">
        <v>32</v>
      </c>
      <c r="AE6" s="3" t="s">
        <v>167</v>
      </c>
      <c r="AF6" s="3" t="s">
        <v>29</v>
      </c>
      <c r="AG6" s="3" t="s">
        <v>30</v>
      </c>
      <c r="AH6" s="3" t="s">
        <v>32</v>
      </c>
      <c r="AI6" s="3" t="s">
        <v>167</v>
      </c>
      <c r="AJ6" s="3" t="s">
        <v>29</v>
      </c>
      <c r="AK6" s="3" t="s">
        <v>30</v>
      </c>
      <c r="AL6" s="3" t="s">
        <v>32</v>
      </c>
      <c r="AM6" s="3" t="s">
        <v>167</v>
      </c>
      <c r="AN6" s="3" t="s">
        <v>29</v>
      </c>
      <c r="AO6" s="3" t="s">
        <v>30</v>
      </c>
      <c r="AP6" s="3" t="s">
        <v>32</v>
      </c>
      <c r="AQ6" s="3" t="s">
        <v>167</v>
      </c>
      <c r="AR6" s="3" t="s">
        <v>29</v>
      </c>
      <c r="AS6" s="3" t="s">
        <v>30</v>
      </c>
      <c r="AT6" s="3" t="s">
        <v>32</v>
      </c>
      <c r="AU6" s="3" t="s">
        <v>167</v>
      </c>
      <c r="AV6" s="3" t="s">
        <v>29</v>
      </c>
      <c r="AW6" s="3" t="s">
        <v>30</v>
      </c>
      <c r="AX6" s="3" t="s">
        <v>32</v>
      </c>
      <c r="AY6" s="3" t="s">
        <v>167</v>
      </c>
      <c r="AZ6" s="3" t="s">
        <v>29</v>
      </c>
      <c r="BA6" s="3" t="s">
        <v>30</v>
      </c>
      <c r="BB6" s="3" t="s">
        <v>32</v>
      </c>
      <c r="BC6" s="3" t="s">
        <v>167</v>
      </c>
      <c r="BD6" s="3" t="s">
        <v>29</v>
      </c>
      <c r="BE6" s="3" t="s">
        <v>30</v>
      </c>
      <c r="BF6" s="3" t="s">
        <v>32</v>
      </c>
      <c r="BG6" s="3" t="s">
        <v>167</v>
      </c>
      <c r="BH6" s="3" t="s">
        <v>29</v>
      </c>
      <c r="BI6" s="3" t="s">
        <v>30</v>
      </c>
      <c r="BJ6" s="3" t="s">
        <v>32</v>
      </c>
      <c r="BK6" s="3" t="s">
        <v>167</v>
      </c>
      <c r="BL6" s="3" t="s">
        <v>29</v>
      </c>
      <c r="BM6" s="3" t="s">
        <v>30</v>
      </c>
      <c r="BN6" s="3" t="s">
        <v>32</v>
      </c>
      <c r="BO6" s="3" t="s">
        <v>167</v>
      </c>
      <c r="BP6" s="3" t="s">
        <v>29</v>
      </c>
      <c r="BQ6" s="3" t="s">
        <v>30</v>
      </c>
      <c r="BR6" s="3" t="s">
        <v>32</v>
      </c>
      <c r="BS6" s="3" t="s">
        <v>167</v>
      </c>
      <c r="BT6" s="3" t="s">
        <v>29</v>
      </c>
      <c r="BU6" s="3" t="s">
        <v>30</v>
      </c>
      <c r="BV6" s="3" t="s">
        <v>32</v>
      </c>
      <c r="BW6" s="3" t="s">
        <v>167</v>
      </c>
      <c r="BX6" s="3" t="s">
        <v>29</v>
      </c>
      <c r="BY6" s="3" t="s">
        <v>30</v>
      </c>
      <c r="BZ6" s="3" t="s">
        <v>32</v>
      </c>
      <c r="CA6" s="3" t="s">
        <v>167</v>
      </c>
      <c r="CB6" s="3" t="s">
        <v>29</v>
      </c>
      <c r="CC6" s="3" t="s">
        <v>30</v>
      </c>
      <c r="CD6" s="3" t="s">
        <v>32</v>
      </c>
      <c r="CE6" s="3" t="s">
        <v>167</v>
      </c>
      <c r="CF6" s="3" t="s">
        <v>29</v>
      </c>
      <c r="CG6" s="3" t="s">
        <v>30</v>
      </c>
      <c r="CH6" s="3" t="s">
        <v>32</v>
      </c>
      <c r="CI6" s="3" t="s">
        <v>167</v>
      </c>
      <c r="CJ6" s="3" t="s">
        <v>29</v>
      </c>
      <c r="CK6" s="3" t="s">
        <v>30</v>
      </c>
      <c r="CL6" s="3" t="s">
        <v>32</v>
      </c>
      <c r="CM6" s="3" t="s">
        <v>167</v>
      </c>
      <c r="CN6" s="3" t="s">
        <v>29</v>
      </c>
      <c r="CO6" s="3" t="s">
        <v>30</v>
      </c>
      <c r="CP6" s="3" t="s">
        <v>32</v>
      </c>
      <c r="CQ6" s="3" t="s">
        <v>167</v>
      </c>
      <c r="CR6" s="3" t="s">
        <v>29</v>
      </c>
      <c r="CS6" s="3" t="s">
        <v>30</v>
      </c>
      <c r="CT6" s="3" t="s">
        <v>32</v>
      </c>
      <c r="CU6" s="3" t="s">
        <v>167</v>
      </c>
    </row>
    <row r="7" spans="1:115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20</v>
      </c>
      <c r="H7" s="4" t="s">
        <v>7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7</v>
      </c>
      <c r="O7" s="4" t="s">
        <v>20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7</v>
      </c>
      <c r="W7" s="4" t="s">
        <v>20</v>
      </c>
      <c r="X7" s="4" t="s">
        <v>7</v>
      </c>
      <c r="Y7" s="4" t="s">
        <v>7</v>
      </c>
      <c r="Z7" s="4" t="s">
        <v>7</v>
      </c>
      <c r="AA7" s="4" t="s">
        <v>20</v>
      </c>
      <c r="AB7" s="4" t="s">
        <v>7</v>
      </c>
      <c r="AC7" s="4" t="s">
        <v>7</v>
      </c>
      <c r="AD7" s="4" t="s">
        <v>7</v>
      </c>
      <c r="AE7" s="4" t="s">
        <v>20</v>
      </c>
      <c r="AF7" s="4" t="s">
        <v>7</v>
      </c>
      <c r="AG7" s="4" t="s">
        <v>7</v>
      </c>
      <c r="AH7" s="4" t="s">
        <v>7</v>
      </c>
      <c r="AI7" s="4" t="s">
        <v>20</v>
      </c>
      <c r="AJ7" s="4" t="s">
        <v>7</v>
      </c>
      <c r="AK7" s="4" t="s">
        <v>7</v>
      </c>
      <c r="AL7" s="4" t="s">
        <v>7</v>
      </c>
      <c r="AM7" s="4" t="s">
        <v>20</v>
      </c>
      <c r="AN7" s="4" t="s">
        <v>7</v>
      </c>
      <c r="AO7" s="4" t="s">
        <v>7</v>
      </c>
      <c r="AP7" s="4" t="s">
        <v>7</v>
      </c>
      <c r="AQ7" s="4" t="s">
        <v>20</v>
      </c>
      <c r="AR7" s="4" t="s">
        <v>7</v>
      </c>
      <c r="AS7" s="4" t="s">
        <v>7</v>
      </c>
      <c r="AT7" s="4" t="s">
        <v>7</v>
      </c>
      <c r="AU7" s="4" t="s">
        <v>20</v>
      </c>
      <c r="AV7" s="4" t="s">
        <v>7</v>
      </c>
      <c r="AW7" s="4" t="s">
        <v>7</v>
      </c>
      <c r="AX7" s="4" t="s">
        <v>7</v>
      </c>
      <c r="AY7" s="4" t="s">
        <v>20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7</v>
      </c>
      <c r="BG7" s="4" t="s">
        <v>20</v>
      </c>
      <c r="BH7" s="4" t="s">
        <v>7</v>
      </c>
      <c r="BI7" s="4" t="s">
        <v>7</v>
      </c>
      <c r="BJ7" s="4" t="s">
        <v>7</v>
      </c>
      <c r="BK7" s="4" t="s">
        <v>20</v>
      </c>
      <c r="BL7" s="4" t="s">
        <v>7</v>
      </c>
      <c r="BM7" s="4" t="s">
        <v>7</v>
      </c>
      <c r="BN7" s="4" t="s">
        <v>7</v>
      </c>
      <c r="BO7" s="4" t="s">
        <v>20</v>
      </c>
      <c r="BP7" s="4" t="s">
        <v>7</v>
      </c>
      <c r="BQ7" s="4" t="s">
        <v>7</v>
      </c>
      <c r="BR7" s="4" t="s">
        <v>7</v>
      </c>
      <c r="BS7" s="4" t="s">
        <v>20</v>
      </c>
      <c r="BT7" s="4" t="s">
        <v>7</v>
      </c>
      <c r="BU7" s="4" t="s">
        <v>7</v>
      </c>
      <c r="BV7" s="4" t="s">
        <v>7</v>
      </c>
      <c r="BW7" s="4" t="s">
        <v>20</v>
      </c>
      <c r="BX7" s="4" t="s">
        <v>7</v>
      </c>
      <c r="BY7" s="4" t="s">
        <v>7</v>
      </c>
      <c r="BZ7" s="4" t="s">
        <v>7</v>
      </c>
      <c r="CA7" s="4" t="s">
        <v>20</v>
      </c>
      <c r="CB7" s="4" t="s">
        <v>7</v>
      </c>
      <c r="CC7" s="4" t="s">
        <v>7</v>
      </c>
      <c r="CD7" s="4" t="s">
        <v>7</v>
      </c>
      <c r="CE7" s="4" t="s">
        <v>20</v>
      </c>
      <c r="CF7" s="4" t="s">
        <v>7</v>
      </c>
      <c r="CG7" s="4" t="s">
        <v>7</v>
      </c>
      <c r="CH7" s="4" t="s">
        <v>7</v>
      </c>
      <c r="CI7" s="4" t="s">
        <v>20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7</v>
      </c>
      <c r="CQ7" s="4" t="s">
        <v>20</v>
      </c>
      <c r="CR7" s="4" t="s">
        <v>7</v>
      </c>
      <c r="CS7" s="4" t="s">
        <v>7</v>
      </c>
      <c r="CT7" s="4" t="s">
        <v>7</v>
      </c>
      <c r="CU7" s="4" t="s">
        <v>20</v>
      </c>
    </row>
    <row r="8" spans="1:115" ht="123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5" t="s">
        <v>168</v>
      </c>
      <c r="H8" s="6" t="s">
        <v>169</v>
      </c>
      <c r="I8" s="6" t="s">
        <v>164</v>
      </c>
      <c r="J8" s="5" t="s">
        <v>33</v>
      </c>
      <c r="K8" s="5" t="s">
        <v>168</v>
      </c>
      <c r="L8" s="6" t="s">
        <v>169</v>
      </c>
      <c r="M8" s="6" t="s">
        <v>164</v>
      </c>
      <c r="N8" s="5" t="s">
        <v>33</v>
      </c>
      <c r="O8" s="5" t="s">
        <v>168</v>
      </c>
      <c r="P8" s="6" t="s">
        <v>169</v>
      </c>
      <c r="Q8" s="6" t="s">
        <v>164</v>
      </c>
      <c r="R8" s="5" t="s">
        <v>33</v>
      </c>
      <c r="S8" s="5" t="s">
        <v>168</v>
      </c>
      <c r="T8" s="6" t="s">
        <v>169</v>
      </c>
      <c r="U8" s="6" t="s">
        <v>164</v>
      </c>
      <c r="V8" s="5" t="s">
        <v>33</v>
      </c>
      <c r="W8" s="5" t="s">
        <v>168</v>
      </c>
      <c r="X8" s="6" t="s">
        <v>169</v>
      </c>
      <c r="Y8" s="6" t="s">
        <v>164</v>
      </c>
      <c r="Z8" s="5" t="s">
        <v>33</v>
      </c>
      <c r="AA8" s="5" t="s">
        <v>168</v>
      </c>
      <c r="AB8" s="6" t="s">
        <v>169</v>
      </c>
      <c r="AC8" s="6" t="s">
        <v>164</v>
      </c>
      <c r="AD8" s="5" t="s">
        <v>33</v>
      </c>
      <c r="AE8" s="5" t="s">
        <v>168</v>
      </c>
      <c r="AF8" s="6" t="s">
        <v>169</v>
      </c>
      <c r="AG8" s="6" t="s">
        <v>164</v>
      </c>
      <c r="AH8" s="5" t="s">
        <v>33</v>
      </c>
      <c r="AI8" s="5" t="s">
        <v>168</v>
      </c>
      <c r="AJ8" s="6" t="s">
        <v>169</v>
      </c>
      <c r="AK8" s="6" t="s">
        <v>164</v>
      </c>
      <c r="AL8" s="5" t="s">
        <v>33</v>
      </c>
      <c r="AM8" s="5" t="s">
        <v>168</v>
      </c>
      <c r="AN8" s="6" t="s">
        <v>169</v>
      </c>
      <c r="AO8" s="6" t="s">
        <v>164</v>
      </c>
      <c r="AP8" s="5" t="s">
        <v>33</v>
      </c>
      <c r="AQ8" s="5" t="s">
        <v>168</v>
      </c>
      <c r="AR8" s="6" t="s">
        <v>169</v>
      </c>
      <c r="AS8" s="6" t="s">
        <v>164</v>
      </c>
      <c r="AT8" s="5" t="s">
        <v>33</v>
      </c>
      <c r="AU8" s="5" t="s">
        <v>168</v>
      </c>
      <c r="AV8" s="6" t="s">
        <v>169</v>
      </c>
      <c r="AW8" s="6" t="s">
        <v>164</v>
      </c>
      <c r="AX8" s="5" t="s">
        <v>33</v>
      </c>
      <c r="AY8" s="5" t="s">
        <v>168</v>
      </c>
      <c r="AZ8" s="6" t="s">
        <v>169</v>
      </c>
      <c r="BA8" s="6" t="s">
        <v>164</v>
      </c>
      <c r="BB8" s="5" t="s">
        <v>33</v>
      </c>
      <c r="BC8" s="5" t="s">
        <v>168</v>
      </c>
      <c r="BD8" s="6" t="s">
        <v>169</v>
      </c>
      <c r="BE8" s="6" t="s">
        <v>164</v>
      </c>
      <c r="BF8" s="5" t="s">
        <v>33</v>
      </c>
      <c r="BG8" s="5" t="s">
        <v>168</v>
      </c>
      <c r="BH8" s="6" t="s">
        <v>169</v>
      </c>
      <c r="BI8" s="6" t="s">
        <v>164</v>
      </c>
      <c r="BJ8" s="5" t="s">
        <v>33</v>
      </c>
      <c r="BK8" s="5" t="s">
        <v>168</v>
      </c>
      <c r="BL8" s="6" t="s">
        <v>169</v>
      </c>
      <c r="BM8" s="6" t="s">
        <v>164</v>
      </c>
      <c r="BN8" s="5" t="s">
        <v>33</v>
      </c>
      <c r="BO8" s="5" t="s">
        <v>168</v>
      </c>
      <c r="BP8" s="6" t="s">
        <v>169</v>
      </c>
      <c r="BQ8" s="6" t="s">
        <v>164</v>
      </c>
      <c r="BR8" s="5" t="s">
        <v>33</v>
      </c>
      <c r="BS8" s="5" t="s">
        <v>168</v>
      </c>
      <c r="BT8" s="6" t="s">
        <v>169</v>
      </c>
      <c r="BU8" s="6" t="s">
        <v>164</v>
      </c>
      <c r="BV8" s="5" t="s">
        <v>33</v>
      </c>
      <c r="BW8" s="5" t="s">
        <v>168</v>
      </c>
      <c r="BX8" s="6" t="s">
        <v>169</v>
      </c>
      <c r="BY8" s="6" t="s">
        <v>164</v>
      </c>
      <c r="BZ8" s="5" t="s">
        <v>33</v>
      </c>
      <c r="CA8" s="5" t="s">
        <v>168</v>
      </c>
      <c r="CB8" s="6" t="s">
        <v>169</v>
      </c>
      <c r="CC8" s="6" t="s">
        <v>164</v>
      </c>
      <c r="CD8" s="5" t="s">
        <v>33</v>
      </c>
      <c r="CE8" s="5" t="s">
        <v>168</v>
      </c>
      <c r="CF8" s="6" t="s">
        <v>209</v>
      </c>
      <c r="CG8" s="6" t="s">
        <v>164</v>
      </c>
      <c r="CH8" s="5" t="s">
        <v>33</v>
      </c>
      <c r="CI8" s="5" t="s">
        <v>168</v>
      </c>
      <c r="CJ8" s="6" t="s">
        <v>209</v>
      </c>
      <c r="CK8" s="6" t="s">
        <v>164</v>
      </c>
      <c r="CL8" s="5" t="s">
        <v>33</v>
      </c>
      <c r="CM8" s="5" t="s">
        <v>168</v>
      </c>
      <c r="CN8" s="6" t="s">
        <v>169</v>
      </c>
      <c r="CO8" s="6" t="s">
        <v>164</v>
      </c>
      <c r="CP8" s="5" t="s">
        <v>33</v>
      </c>
      <c r="CQ8" s="5" t="s">
        <v>168</v>
      </c>
      <c r="CR8" s="6" t="s">
        <v>169</v>
      </c>
      <c r="CS8" s="6" t="s">
        <v>164</v>
      </c>
      <c r="CT8" s="5" t="s">
        <v>33</v>
      </c>
      <c r="CU8" s="5" t="s">
        <v>168</v>
      </c>
    </row>
    <row r="9" spans="1:115" ht="68.099999999999994" customHeight="1">
      <c r="A9" s="57" t="s">
        <v>12</v>
      </c>
      <c r="B9" s="6" t="s">
        <v>202</v>
      </c>
      <c r="C9" s="6"/>
      <c r="D9" s="6"/>
      <c r="E9" s="6"/>
      <c r="F9" s="6"/>
      <c r="G9" s="6"/>
      <c r="H9" s="6"/>
      <c r="I9" s="6"/>
      <c r="J9" s="5"/>
      <c r="K9" s="6"/>
      <c r="L9" s="5"/>
      <c r="M9" s="5"/>
      <c r="N9" s="5"/>
      <c r="O9" s="6"/>
      <c r="P9" s="6"/>
      <c r="Q9" s="5"/>
      <c r="R9" s="5"/>
      <c r="S9" s="5"/>
      <c r="T9" s="5"/>
      <c r="U9" s="6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115" ht="20.100000000000001" customHeight="1">
      <c r="A10" s="58" t="s">
        <v>153</v>
      </c>
      <c r="B10" s="5">
        <v>1001001</v>
      </c>
      <c r="C10" s="6" t="s">
        <v>203</v>
      </c>
      <c r="D10" s="6">
        <v>2</v>
      </c>
      <c r="E10" s="6">
        <v>1</v>
      </c>
      <c r="F10" s="6">
        <v>1</v>
      </c>
      <c r="G10" s="6">
        <v>1</v>
      </c>
      <c r="H10" s="6">
        <v>0</v>
      </c>
      <c r="I10" s="6">
        <v>1</v>
      </c>
      <c r="J10" s="5">
        <v>1</v>
      </c>
      <c r="K10" s="6">
        <v>9</v>
      </c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18.75" customHeight="1">
      <c r="A11" s="58"/>
      <c r="B11" s="5">
        <v>1002001</v>
      </c>
      <c r="C11" s="6" t="s">
        <v>204</v>
      </c>
      <c r="D11" s="6">
        <v>3</v>
      </c>
      <c r="E11" s="6">
        <v>1</v>
      </c>
      <c r="F11" s="6">
        <v>100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7"/>
      <c r="M11" s="7"/>
      <c r="N11" s="7"/>
      <c r="O11" s="6"/>
      <c r="P11" s="7"/>
      <c r="Q11" s="7"/>
      <c r="R11" s="7"/>
      <c r="S11" s="7"/>
      <c r="T11" s="7"/>
      <c r="U11" s="7"/>
      <c r="V11" s="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115" ht="18.75" customHeight="1">
      <c r="A12" s="8"/>
      <c r="B12" s="49">
        <v>1002002</v>
      </c>
      <c r="C12" s="50" t="s">
        <v>205</v>
      </c>
      <c r="D12" s="50">
        <v>2</v>
      </c>
      <c r="E12" s="50">
        <v>1</v>
      </c>
      <c r="F12" s="50">
        <v>1</v>
      </c>
      <c r="G12" s="50">
        <v>1</v>
      </c>
      <c r="H12" s="50">
        <v>2</v>
      </c>
      <c r="I12" s="50">
        <v>2</v>
      </c>
      <c r="J12" s="51">
        <v>1</v>
      </c>
      <c r="K12" s="50">
        <v>1</v>
      </c>
      <c r="L12" s="7">
        <v>2</v>
      </c>
      <c r="M12" s="7">
        <v>3</v>
      </c>
      <c r="N12" s="7">
        <v>1</v>
      </c>
      <c r="O12" s="50">
        <v>1</v>
      </c>
      <c r="P12" s="7"/>
      <c r="Q12" s="7"/>
      <c r="R12" s="7"/>
      <c r="S12" s="7"/>
      <c r="T12" s="7"/>
      <c r="U12" s="7"/>
      <c r="V12" s="5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7">
        <v>2001001</v>
      </c>
      <c r="C13" s="7" t="s">
        <v>207</v>
      </c>
      <c r="D13" s="7">
        <v>2</v>
      </c>
      <c r="E13" s="7">
        <v>1</v>
      </c>
      <c r="F13" s="7">
        <v>1</v>
      </c>
      <c r="G13" s="7">
        <v>1</v>
      </c>
      <c r="H13" s="7">
        <v>2</v>
      </c>
      <c r="I13" s="7">
        <v>2</v>
      </c>
      <c r="J13" s="7">
        <v>1</v>
      </c>
      <c r="K13" s="7">
        <v>1</v>
      </c>
      <c r="L13" s="7">
        <v>2</v>
      </c>
      <c r="M13" s="7">
        <v>3</v>
      </c>
      <c r="N13" s="7">
        <v>1</v>
      </c>
      <c r="O13" s="7">
        <v>1</v>
      </c>
      <c r="P13" s="7">
        <v>2</v>
      </c>
      <c r="Q13" s="7">
        <v>4</v>
      </c>
      <c r="R13" s="7">
        <v>1</v>
      </c>
      <c r="S13" s="7">
        <v>1</v>
      </c>
      <c r="T13" s="7">
        <v>2</v>
      </c>
      <c r="U13" s="7">
        <v>5</v>
      </c>
      <c r="V13" s="7">
        <v>1</v>
      </c>
      <c r="W13" s="7">
        <v>1</v>
      </c>
      <c r="X13" s="7">
        <v>2</v>
      </c>
      <c r="Y13" s="7">
        <v>6</v>
      </c>
      <c r="Z13" s="7">
        <v>1</v>
      </c>
      <c r="AA13" s="7">
        <v>1</v>
      </c>
      <c r="AB13" s="7">
        <v>2</v>
      </c>
      <c r="AC13" s="7">
        <v>7</v>
      </c>
      <c r="AD13" s="7">
        <v>1</v>
      </c>
      <c r="AE13" s="7">
        <v>1</v>
      </c>
      <c r="AF13" s="7">
        <v>2</v>
      </c>
      <c r="AG13" s="7">
        <v>8</v>
      </c>
      <c r="AH13" s="7">
        <v>1</v>
      </c>
      <c r="AI13" s="7">
        <v>1</v>
      </c>
      <c r="AJ13" s="7">
        <v>2</v>
      </c>
      <c r="AK13" s="7">
        <v>9</v>
      </c>
      <c r="AL13" s="7">
        <v>1</v>
      </c>
      <c r="AM13" s="7">
        <v>1</v>
      </c>
      <c r="AN13" s="7">
        <v>2</v>
      </c>
      <c r="AO13" s="7">
        <v>10</v>
      </c>
      <c r="AP13" s="7">
        <v>1</v>
      </c>
      <c r="AQ13" s="7">
        <v>1</v>
      </c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12"/>
      <c r="CU13" s="14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</row>
    <row r="14" spans="1:115" ht="18.75" customHeight="1">
      <c r="A14" s="8"/>
      <c r="B14" s="7">
        <v>2001002</v>
      </c>
      <c r="C14" s="7" t="s">
        <v>206</v>
      </c>
      <c r="D14" s="7">
        <v>2</v>
      </c>
      <c r="E14" s="7">
        <v>11</v>
      </c>
      <c r="F14" s="7">
        <v>1</v>
      </c>
      <c r="G14" s="7">
        <v>1</v>
      </c>
      <c r="H14" s="7">
        <v>2</v>
      </c>
      <c r="I14" s="7">
        <v>12</v>
      </c>
      <c r="J14" s="7">
        <v>1</v>
      </c>
      <c r="K14" s="7">
        <v>1</v>
      </c>
      <c r="L14" s="7">
        <v>2</v>
      </c>
      <c r="M14" s="7">
        <v>13</v>
      </c>
      <c r="N14" s="7">
        <v>1</v>
      </c>
      <c r="O14" s="7">
        <v>1</v>
      </c>
      <c r="P14" s="7">
        <v>2</v>
      </c>
      <c r="Q14" s="7">
        <v>14</v>
      </c>
      <c r="R14" s="7">
        <v>1</v>
      </c>
      <c r="S14" s="7">
        <v>1</v>
      </c>
      <c r="T14" s="7">
        <v>2</v>
      </c>
      <c r="U14" s="7">
        <v>15</v>
      </c>
      <c r="V14" s="7">
        <v>1</v>
      </c>
      <c r="W14" s="7">
        <v>1</v>
      </c>
      <c r="X14" s="7">
        <v>2</v>
      </c>
      <c r="Y14" s="7">
        <v>16</v>
      </c>
      <c r="Z14" s="7">
        <v>1</v>
      </c>
      <c r="AA14" s="7">
        <v>1</v>
      </c>
      <c r="AB14" s="7">
        <v>2</v>
      </c>
      <c r="AC14" s="7">
        <v>17</v>
      </c>
      <c r="AD14" s="7">
        <v>1</v>
      </c>
      <c r="AE14" s="7">
        <v>1</v>
      </c>
      <c r="AF14" s="7">
        <v>2</v>
      </c>
      <c r="AG14" s="7">
        <v>18</v>
      </c>
      <c r="AH14" s="7">
        <v>1</v>
      </c>
      <c r="AI14" s="7">
        <v>1</v>
      </c>
      <c r="AJ14" s="7"/>
      <c r="AK14" s="7"/>
      <c r="AL14" s="7"/>
      <c r="AM14" s="7"/>
      <c r="AN14" s="7"/>
      <c r="AO14" s="7"/>
      <c r="AP14" s="7"/>
    </row>
    <row r="15" spans="1:115" ht="18.75" customHeight="1">
      <c r="A15" s="8"/>
      <c r="B15" s="7">
        <v>2002001</v>
      </c>
      <c r="C15" s="7" t="s">
        <v>208</v>
      </c>
      <c r="D15" s="7">
        <v>2</v>
      </c>
      <c r="E15" s="7">
        <v>19</v>
      </c>
      <c r="F15" s="7">
        <v>1</v>
      </c>
      <c r="G15" s="7">
        <v>1</v>
      </c>
      <c r="H15" s="7">
        <v>2</v>
      </c>
      <c r="I15" s="7">
        <v>20</v>
      </c>
      <c r="J15" s="7">
        <v>1</v>
      </c>
      <c r="K15" s="7">
        <v>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2002002</v>
      </c>
      <c r="C16" s="7" t="s">
        <v>212</v>
      </c>
      <c r="D16" s="7">
        <v>4</v>
      </c>
      <c r="E16" s="7">
        <v>2001002</v>
      </c>
      <c r="F16" s="7">
        <v>1</v>
      </c>
      <c r="G16" s="7">
        <v>9</v>
      </c>
      <c r="H16" s="7">
        <v>4</v>
      </c>
      <c r="I16" s="7">
        <v>2002001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3001001</v>
      </c>
      <c r="C17" s="7" t="s">
        <v>210</v>
      </c>
      <c r="D17" s="7">
        <v>4</v>
      </c>
      <c r="E17" s="7">
        <v>2001001</v>
      </c>
      <c r="F17" s="7">
        <v>1</v>
      </c>
      <c r="G17" s="7">
        <v>9</v>
      </c>
      <c r="H17" s="7">
        <v>4</v>
      </c>
      <c r="I17" s="7">
        <v>2001002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3002001</v>
      </c>
      <c r="C18" s="7" t="s">
        <v>211</v>
      </c>
      <c r="D18" s="6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2002002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5"/>
      <c r="C51" s="7"/>
      <c r="D51" s="7"/>
      <c r="E51" s="7"/>
    </row>
    <row r="52" spans="1:42" ht="18.75" customHeight="1">
      <c r="B52" s="7"/>
      <c r="C52" s="7"/>
      <c r="D52" s="7"/>
      <c r="E52" s="7"/>
    </row>
    <row r="53" spans="1:42" ht="18.75" customHeight="1">
      <c r="B53" s="5"/>
      <c r="C53" s="7"/>
      <c r="D53" s="6"/>
      <c r="E53" s="7"/>
    </row>
    <row r="54" spans="1:42" ht="18.75" customHeight="1">
      <c r="B54" s="7"/>
      <c r="C54" s="7"/>
      <c r="D54" s="7"/>
      <c r="E54" s="7"/>
    </row>
    <row r="55" spans="1:42" ht="18.75" customHeight="1">
      <c r="B55" s="5"/>
      <c r="C55" s="7"/>
      <c r="D55" s="7"/>
      <c r="E55" s="7"/>
    </row>
    <row r="56" spans="1:42" ht="18.75" customHeight="1">
      <c r="B56" s="7"/>
      <c r="C56" s="7"/>
      <c r="D56" s="7"/>
      <c r="E56" s="7"/>
    </row>
    <row r="57" spans="1:42" ht="18.75" customHeight="1">
      <c r="B57" s="5"/>
      <c r="C57" s="7"/>
      <c r="D57" s="6"/>
      <c r="E57" s="7"/>
    </row>
    <row r="58" spans="1:42" ht="18.75" customHeight="1">
      <c r="B58" s="7"/>
      <c r="C58" s="7"/>
      <c r="D58" s="7"/>
      <c r="E58" s="7"/>
    </row>
    <row r="59" spans="1:42" ht="18.75" customHeight="1">
      <c r="B59" s="5"/>
      <c r="C59" s="7"/>
      <c r="D59" s="7"/>
      <c r="E59" s="7"/>
    </row>
    <row r="60" spans="1:42" ht="18.75" customHeight="1">
      <c r="B60" s="7"/>
      <c r="C60" s="7"/>
      <c r="D60" s="6"/>
      <c r="E60" s="7"/>
    </row>
    <row r="61" spans="1:42" ht="18.75" customHeight="1">
      <c r="B61" s="5"/>
      <c r="C61" s="7"/>
      <c r="D61" s="7"/>
      <c r="E61" s="7"/>
    </row>
    <row r="62" spans="1:42" ht="18.75" customHeight="1">
      <c r="B62" s="7"/>
      <c r="C62" s="7"/>
      <c r="D62" s="7"/>
      <c r="E62" s="7"/>
    </row>
    <row r="63" spans="1:42" ht="18.75" customHeight="1">
      <c r="B63" s="5"/>
      <c r="C63" s="7"/>
      <c r="D63" s="7"/>
      <c r="E63" s="7"/>
    </row>
    <row r="64" spans="1:42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topLeftCell="A7"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42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43</v>
      </c>
      <c r="D8" s="6" t="s">
        <v>1864</v>
      </c>
      <c r="E8" s="6"/>
      <c r="F8" s="6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9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10001</v>
      </c>
      <c r="C10" s="7" t="s">
        <v>45</v>
      </c>
      <c r="D10" s="7">
        <v>1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10002</v>
      </c>
      <c r="C11" s="7" t="s">
        <v>46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10003</v>
      </c>
      <c r="C12" s="7" t="s">
        <v>47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10004</v>
      </c>
      <c r="C13" s="7" t="s">
        <v>48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10005</v>
      </c>
      <c r="C14" s="7" t="s">
        <v>49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10006</v>
      </c>
      <c r="C15" s="7" t="s">
        <v>228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20001</v>
      </c>
      <c r="C16" s="7" t="s">
        <v>288</v>
      </c>
      <c r="D16" s="7">
        <v>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30001</v>
      </c>
      <c r="C17" s="7" t="s">
        <v>1865</v>
      </c>
      <c r="D17" s="7">
        <v>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30002</v>
      </c>
      <c r="C18" s="7" t="s">
        <v>1866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30003</v>
      </c>
      <c r="C19" s="7" t="s">
        <v>1958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30004</v>
      </c>
      <c r="C20" s="7" t="s">
        <v>1964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30005</v>
      </c>
      <c r="C21" s="7" t="s">
        <v>1970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30006</v>
      </c>
      <c r="C22" s="7" t="s">
        <v>1976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30007</v>
      </c>
      <c r="C23" s="7" t="s">
        <v>1982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25"/>
  <sheetViews>
    <sheetView topLeftCell="B4" workbookViewId="0">
      <pane xSplit="3" ySplit="6" topLeftCell="T106" activePane="bottomRight" state="frozen"/>
      <selection activeCell="E8" sqref="E8"/>
      <selection pane="topRight" activeCell="E8" sqref="E8"/>
      <selection pane="bottomLeft" activeCell="E8" sqref="E8"/>
      <selection pane="bottomRight" activeCell="E8" sqref="E8"/>
    </sheetView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5" width="15.375" style="45" customWidth="1"/>
    <col min="6" max="6" width="15.5" style="45" customWidth="1"/>
    <col min="7" max="8" width="15.125" style="37" customWidth="1"/>
    <col min="9" max="9" width="18.625" style="45" customWidth="1"/>
    <col min="10" max="13" width="18.625" style="37" customWidth="1"/>
    <col min="14" max="14" width="33.875" style="37" customWidth="1"/>
    <col min="15" max="16" width="18.625" style="37" customWidth="1"/>
    <col min="17" max="17" width="31.75" style="37" customWidth="1"/>
    <col min="18" max="18" width="18.375" style="37" customWidth="1"/>
    <col min="19" max="19" width="18.625" style="37" customWidth="1"/>
    <col min="20" max="20" width="32" style="37" customWidth="1"/>
    <col min="21" max="21" width="18.375" style="37" customWidth="1"/>
    <col min="22" max="22" width="18.625" style="37" customWidth="1"/>
    <col min="23" max="23" width="34.625" style="37" customWidth="1"/>
    <col min="24" max="24" width="18.375" style="37" customWidth="1"/>
    <col min="25" max="25" width="18.625" style="37" customWidth="1"/>
    <col min="26" max="26" width="31.5" style="37" customWidth="1"/>
    <col min="27" max="43" width="12.625" style="37" customWidth="1"/>
    <col min="44" max="16384" width="12.625" style="37"/>
  </cols>
  <sheetData>
    <row r="1" spans="1:43" ht="12" customHeight="1"/>
    <row r="2" spans="1:43" ht="40.5" customHeight="1">
      <c r="A2" s="57" t="s">
        <v>0</v>
      </c>
      <c r="B2" s="15" t="s">
        <v>50</v>
      </c>
      <c r="C2" s="13"/>
    </row>
    <row r="3" spans="1:43" ht="18.75" customHeight="1">
      <c r="A3" s="1"/>
      <c r="B3" s="46" t="s">
        <v>1</v>
      </c>
      <c r="C3" s="1"/>
      <c r="D3" s="1"/>
      <c r="E3" s="39"/>
      <c r="F3" s="39"/>
      <c r="G3" s="2"/>
      <c r="H3" s="2"/>
      <c r="I3" s="3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7" t="s">
        <v>2</v>
      </c>
      <c r="B4" s="40" t="s">
        <v>3</v>
      </c>
      <c r="C4" s="3" t="s">
        <v>51</v>
      </c>
      <c r="D4" s="3" t="s">
        <v>15</v>
      </c>
      <c r="E4" s="40" t="s">
        <v>170</v>
      </c>
      <c r="F4" s="40" t="s">
        <v>171</v>
      </c>
      <c r="G4" s="3" t="s">
        <v>299</v>
      </c>
      <c r="H4" s="3" t="s">
        <v>1367</v>
      </c>
      <c r="I4" s="40" t="s">
        <v>232</v>
      </c>
      <c r="J4" s="3"/>
      <c r="K4" s="3"/>
      <c r="L4" s="3"/>
      <c r="M4" s="3"/>
      <c r="N4" s="3" t="s">
        <v>243</v>
      </c>
      <c r="O4" s="3"/>
      <c r="P4" s="3"/>
      <c r="Q4" s="3"/>
      <c r="R4" s="3"/>
      <c r="S4" s="3"/>
      <c r="T4" s="3" t="s">
        <v>246</v>
      </c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7" t="s">
        <v>4</v>
      </c>
      <c r="B5" s="40"/>
      <c r="C5" s="3"/>
      <c r="D5" s="3"/>
      <c r="E5" s="40"/>
      <c r="F5" s="40"/>
      <c r="G5" s="3"/>
      <c r="H5" s="3"/>
      <c r="I5" s="40">
        <v>1</v>
      </c>
      <c r="J5" s="3">
        <v>2</v>
      </c>
      <c r="K5" s="3">
        <v>3</v>
      </c>
      <c r="L5" s="3">
        <v>4</v>
      </c>
      <c r="M5" s="3">
        <v>5</v>
      </c>
      <c r="N5" s="3">
        <v>1</v>
      </c>
      <c r="O5" s="3"/>
      <c r="P5" s="3"/>
      <c r="Q5" s="3">
        <v>2</v>
      </c>
      <c r="R5" s="3"/>
      <c r="S5" s="3"/>
      <c r="T5" s="3">
        <v>1</v>
      </c>
      <c r="U5" s="3"/>
      <c r="V5" s="3"/>
      <c r="W5" s="3">
        <v>2</v>
      </c>
      <c r="X5" s="3"/>
      <c r="Y5" s="3"/>
      <c r="Z5" s="3">
        <v>3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7" t="s">
        <v>5</v>
      </c>
      <c r="B6" s="40"/>
      <c r="C6" s="3"/>
      <c r="D6" s="3"/>
      <c r="E6" s="40"/>
      <c r="F6" s="40"/>
      <c r="G6" s="3"/>
      <c r="H6" s="3"/>
      <c r="I6" s="40"/>
      <c r="J6" s="3"/>
      <c r="K6" s="3"/>
      <c r="L6" s="3"/>
      <c r="M6" s="3"/>
      <c r="N6" s="3" t="s">
        <v>244</v>
      </c>
      <c r="O6" s="3" t="s">
        <v>245</v>
      </c>
      <c r="P6" s="3" t="s">
        <v>285</v>
      </c>
      <c r="Q6" s="3" t="s">
        <v>244</v>
      </c>
      <c r="R6" s="3" t="s">
        <v>245</v>
      </c>
      <c r="S6" s="3" t="s">
        <v>285</v>
      </c>
      <c r="T6" s="3" t="s">
        <v>244</v>
      </c>
      <c r="U6" s="3" t="s">
        <v>245</v>
      </c>
      <c r="V6" s="3" t="s">
        <v>285</v>
      </c>
      <c r="W6" s="3" t="s">
        <v>244</v>
      </c>
      <c r="X6" s="3" t="s">
        <v>245</v>
      </c>
      <c r="Y6" s="3" t="s">
        <v>285</v>
      </c>
      <c r="Z6" s="3" t="s">
        <v>244</v>
      </c>
      <c r="AA6" s="3" t="s">
        <v>245</v>
      </c>
      <c r="AB6" s="3" t="s">
        <v>285</v>
      </c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7" t="s">
        <v>6</v>
      </c>
      <c r="B7" s="41" t="s">
        <v>7</v>
      </c>
      <c r="C7" s="4" t="s">
        <v>20</v>
      </c>
      <c r="D7" s="4" t="s">
        <v>8</v>
      </c>
      <c r="E7" s="41" t="s">
        <v>20</v>
      </c>
      <c r="F7" s="41" t="s">
        <v>20</v>
      </c>
      <c r="G7" s="4" t="s">
        <v>20</v>
      </c>
      <c r="H7" s="4" t="s">
        <v>20</v>
      </c>
      <c r="I7" s="41" t="s">
        <v>20</v>
      </c>
      <c r="J7" s="4" t="s">
        <v>20</v>
      </c>
      <c r="K7" s="4" t="s">
        <v>20</v>
      </c>
      <c r="L7" s="4" t="s">
        <v>20</v>
      </c>
      <c r="M7" s="4" t="s">
        <v>20</v>
      </c>
      <c r="N7" s="4" t="s">
        <v>7</v>
      </c>
      <c r="O7" s="4" t="s">
        <v>7</v>
      </c>
      <c r="P7" s="4" t="s">
        <v>129</v>
      </c>
      <c r="Q7" s="4" t="s">
        <v>7</v>
      </c>
      <c r="R7" s="4" t="s">
        <v>7</v>
      </c>
      <c r="S7" s="4" t="s">
        <v>129</v>
      </c>
      <c r="T7" s="4" t="s">
        <v>7</v>
      </c>
      <c r="U7" s="4" t="s">
        <v>7</v>
      </c>
      <c r="V7" s="4" t="s">
        <v>129</v>
      </c>
      <c r="W7" s="4" t="s">
        <v>7</v>
      </c>
      <c r="X7" s="4" t="s">
        <v>7</v>
      </c>
      <c r="Y7" s="4" t="s">
        <v>129</v>
      </c>
      <c r="Z7" s="4" t="s">
        <v>7</v>
      </c>
      <c r="AA7" s="4" t="s">
        <v>7</v>
      </c>
      <c r="AB7" s="4" t="s">
        <v>129</v>
      </c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ht="76.5" customHeight="1">
      <c r="A8" s="57" t="s">
        <v>10</v>
      </c>
      <c r="B8" s="38" t="s">
        <v>11</v>
      </c>
      <c r="C8" s="5" t="s">
        <v>52</v>
      </c>
      <c r="D8" s="5" t="s">
        <v>53</v>
      </c>
      <c r="E8" s="42" t="s">
        <v>172</v>
      </c>
      <c r="F8" s="42" t="s">
        <v>173</v>
      </c>
      <c r="G8" s="5" t="s">
        <v>300</v>
      </c>
      <c r="H8" s="5" t="s">
        <v>1368</v>
      </c>
      <c r="I8" s="42" t="s">
        <v>233</v>
      </c>
      <c r="J8" s="6"/>
      <c r="K8" s="6"/>
      <c r="L8" s="6"/>
      <c r="M8" s="6"/>
      <c r="N8" s="6" t="s">
        <v>247</v>
      </c>
      <c r="O8" s="6" t="s">
        <v>248</v>
      </c>
      <c r="P8" s="6" t="s">
        <v>286</v>
      </c>
      <c r="Q8" s="6" t="s">
        <v>247</v>
      </c>
      <c r="R8" s="6" t="s">
        <v>248</v>
      </c>
      <c r="S8" s="6" t="s">
        <v>286</v>
      </c>
      <c r="T8" s="6" t="s">
        <v>247</v>
      </c>
      <c r="U8" s="6" t="s">
        <v>248</v>
      </c>
      <c r="V8" s="6" t="s">
        <v>286</v>
      </c>
      <c r="W8" s="6" t="s">
        <v>247</v>
      </c>
      <c r="X8" s="6" t="s">
        <v>248</v>
      </c>
      <c r="Y8" s="6" t="s">
        <v>286</v>
      </c>
      <c r="Z8" s="6" t="s">
        <v>247</v>
      </c>
      <c r="AA8" s="6" t="s">
        <v>248</v>
      </c>
      <c r="AB8" s="6" t="s">
        <v>286</v>
      </c>
      <c r="AC8" s="5"/>
      <c r="AD8" s="5"/>
      <c r="AE8" s="5"/>
      <c r="AF8" s="5"/>
      <c r="AG8" s="6"/>
      <c r="AH8" s="6"/>
      <c r="AI8" s="5"/>
      <c r="AJ8" s="5"/>
      <c r="AK8" s="5"/>
      <c r="AL8" s="5"/>
      <c r="AM8" s="5"/>
      <c r="AN8" s="5"/>
      <c r="AO8" s="5"/>
      <c r="AP8" s="5"/>
      <c r="AQ8" s="5"/>
    </row>
    <row r="9" spans="1:43" ht="205.5" customHeight="1">
      <c r="A9" s="57" t="s">
        <v>12</v>
      </c>
      <c r="B9" s="47"/>
      <c r="C9" s="18"/>
      <c r="D9" s="19"/>
      <c r="E9" s="43"/>
      <c r="F9" s="43"/>
      <c r="G9" s="19"/>
      <c r="H9" s="19"/>
      <c r="I9" s="43"/>
      <c r="J9" s="19"/>
      <c r="K9" s="18"/>
      <c r="L9" s="18"/>
      <c r="M9" s="20"/>
      <c r="N9" s="19" t="s">
        <v>1887</v>
      </c>
      <c r="O9" s="19"/>
      <c r="P9" s="19"/>
      <c r="Q9" s="19" t="s">
        <v>1887</v>
      </c>
      <c r="R9" s="19"/>
      <c r="S9" s="19"/>
      <c r="T9" s="19" t="s">
        <v>1887</v>
      </c>
      <c r="U9" s="18"/>
      <c r="V9" s="19"/>
      <c r="W9" s="19" t="s">
        <v>1887</v>
      </c>
      <c r="X9" s="19"/>
      <c r="Y9" s="19"/>
      <c r="Z9" s="19" t="s">
        <v>1887</v>
      </c>
      <c r="AA9" s="19"/>
      <c r="AB9" s="19"/>
      <c r="AC9" s="19"/>
      <c r="AD9" s="19"/>
      <c r="AE9" s="18"/>
      <c r="AF9" s="18"/>
      <c r="AG9" s="19"/>
      <c r="AH9" s="19"/>
      <c r="AI9" s="19"/>
      <c r="AJ9" s="6"/>
      <c r="AK9" s="6"/>
      <c r="AL9" s="6"/>
      <c r="AM9" s="6"/>
      <c r="AN9" s="6"/>
      <c r="AO9" s="6"/>
      <c r="AP9" s="6"/>
      <c r="AQ9" s="6"/>
    </row>
    <row r="10" spans="1:43" ht="18.75" customHeight="1">
      <c r="A10" s="58" t="s">
        <v>13</v>
      </c>
      <c r="B10" s="21">
        <v>100010001</v>
      </c>
      <c r="C10" s="14">
        <v>10001</v>
      </c>
      <c r="D10" s="14" t="s">
        <v>54</v>
      </c>
      <c r="E10" s="21">
        <v>2001001</v>
      </c>
      <c r="F10" s="21">
        <v>1001001</v>
      </c>
      <c r="G10" s="14">
        <v>1</v>
      </c>
      <c r="H10" s="14">
        <v>99</v>
      </c>
      <c r="I10" s="21">
        <v>100010001001</v>
      </c>
      <c r="J10" s="14"/>
      <c r="K10" s="14"/>
      <c r="L10" s="22"/>
      <c r="M10" s="22"/>
      <c r="N10" s="14"/>
      <c r="O10" s="22"/>
      <c r="P10" s="23"/>
      <c r="Q10" s="14"/>
      <c r="R10" s="14"/>
      <c r="S10" s="22"/>
      <c r="T10" s="14"/>
      <c r="U10" s="22"/>
      <c r="V10" s="22"/>
      <c r="W10" s="14"/>
      <c r="X10" s="14"/>
      <c r="Y10" s="2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6"/>
      <c r="AK10" s="7"/>
      <c r="AL10" s="7"/>
      <c r="AM10" s="7"/>
      <c r="AN10" s="7"/>
      <c r="AO10" s="7"/>
      <c r="AP10" s="7"/>
      <c r="AQ10" s="7"/>
    </row>
    <row r="11" spans="1:43" ht="18.75" customHeight="1">
      <c r="A11" s="8"/>
      <c r="B11" s="21">
        <v>100020001</v>
      </c>
      <c r="C11" s="14">
        <v>10002</v>
      </c>
      <c r="D11" s="14" t="s">
        <v>55</v>
      </c>
      <c r="E11" s="21">
        <v>2002001</v>
      </c>
      <c r="F11" s="21">
        <v>1002001</v>
      </c>
      <c r="G11" s="14">
        <v>2</v>
      </c>
      <c r="H11" s="14">
        <v>99</v>
      </c>
      <c r="I11" s="21">
        <v>100020001001</v>
      </c>
      <c r="J11" s="14"/>
      <c r="K11" s="14"/>
      <c r="L11" s="14"/>
      <c r="M11" s="14"/>
      <c r="N11" s="14"/>
      <c r="O11" s="14"/>
      <c r="P11" s="24"/>
      <c r="Q11" s="14"/>
      <c r="R11" s="14"/>
      <c r="S11" s="14"/>
      <c r="T11" s="14">
        <v>1</v>
      </c>
      <c r="U11" s="14">
        <v>100010001</v>
      </c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6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21">
        <v>100020002</v>
      </c>
      <c r="C12" s="14">
        <v>10002</v>
      </c>
      <c r="D12" s="14" t="s">
        <v>56</v>
      </c>
      <c r="E12" s="21">
        <v>2002002</v>
      </c>
      <c r="F12" s="21">
        <v>1002002</v>
      </c>
      <c r="G12" s="14">
        <v>3</v>
      </c>
      <c r="H12" s="14">
        <v>99</v>
      </c>
      <c r="I12" s="21">
        <v>100020001001</v>
      </c>
      <c r="J12" s="21">
        <v>100020001001</v>
      </c>
      <c r="K12" s="14"/>
      <c r="L12" s="14"/>
      <c r="M12" s="14"/>
      <c r="N12" s="14"/>
      <c r="O12" s="14"/>
      <c r="P12" s="24"/>
      <c r="Q12" s="14"/>
      <c r="R12" s="14"/>
      <c r="S12" s="14"/>
      <c r="T12" s="14">
        <v>1</v>
      </c>
      <c r="U12" s="14">
        <v>100020001</v>
      </c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6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21">
        <v>100020003</v>
      </c>
      <c r="C13" s="14">
        <v>10002</v>
      </c>
      <c r="D13" s="14" t="s">
        <v>57</v>
      </c>
      <c r="E13" s="21">
        <v>2001001</v>
      </c>
      <c r="F13" s="21">
        <v>1001001</v>
      </c>
      <c r="G13" s="14">
        <v>4</v>
      </c>
      <c r="H13" s="14">
        <v>99</v>
      </c>
      <c r="I13" s="21">
        <v>100020001001</v>
      </c>
      <c r="J13" s="21">
        <v>100020001001</v>
      </c>
      <c r="K13" s="21">
        <v>100020001001</v>
      </c>
      <c r="L13" s="14"/>
      <c r="M13" s="14"/>
      <c r="N13" s="14"/>
      <c r="O13" s="14"/>
      <c r="P13" s="24"/>
      <c r="Q13" s="14"/>
      <c r="R13" s="14"/>
      <c r="S13" s="14"/>
      <c r="T13" s="14">
        <v>1</v>
      </c>
      <c r="U13" s="14">
        <v>100020002</v>
      </c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6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21">
        <v>100020004</v>
      </c>
      <c r="C14" s="14">
        <v>10002</v>
      </c>
      <c r="D14" s="14" t="s">
        <v>58</v>
      </c>
      <c r="E14" s="21">
        <v>2002001</v>
      </c>
      <c r="F14" s="21">
        <v>1002001</v>
      </c>
      <c r="G14" s="14">
        <v>5</v>
      </c>
      <c r="H14" s="14">
        <v>99</v>
      </c>
      <c r="I14" s="21">
        <v>100020001001</v>
      </c>
      <c r="J14" s="21">
        <v>100020001001</v>
      </c>
      <c r="K14" s="21">
        <v>100020001001</v>
      </c>
      <c r="L14" s="21">
        <v>100020001001</v>
      </c>
      <c r="M14" s="14"/>
      <c r="N14" s="14"/>
      <c r="O14" s="14"/>
      <c r="P14" s="24"/>
      <c r="Q14" s="14"/>
      <c r="R14" s="14"/>
      <c r="S14" s="14"/>
      <c r="T14" s="14">
        <v>1</v>
      </c>
      <c r="U14" s="14">
        <v>100020003</v>
      </c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6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21">
        <v>100020005</v>
      </c>
      <c r="C15" s="14">
        <v>10002</v>
      </c>
      <c r="D15" s="14" t="s">
        <v>59</v>
      </c>
      <c r="E15" s="21">
        <v>2002002</v>
      </c>
      <c r="F15" s="21">
        <v>1002002</v>
      </c>
      <c r="G15" s="14">
        <v>6</v>
      </c>
      <c r="H15" s="14">
        <v>1</v>
      </c>
      <c r="I15" s="21">
        <v>100020001001</v>
      </c>
      <c r="J15" s="21">
        <v>100020001001</v>
      </c>
      <c r="K15" s="21">
        <v>100020001001</v>
      </c>
      <c r="L15" s="21">
        <v>100020001001</v>
      </c>
      <c r="M15" s="21">
        <v>100020001001</v>
      </c>
      <c r="N15" s="14"/>
      <c r="O15" s="14"/>
      <c r="P15" s="24"/>
      <c r="Q15" s="14"/>
      <c r="R15" s="14"/>
      <c r="S15" s="14"/>
      <c r="T15" s="14">
        <v>1</v>
      </c>
      <c r="U15" s="14">
        <v>100020004</v>
      </c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6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21">
        <v>100020006</v>
      </c>
      <c r="C16" s="14">
        <v>10002</v>
      </c>
      <c r="D16" s="14" t="s">
        <v>60</v>
      </c>
      <c r="E16" s="21">
        <v>2001001</v>
      </c>
      <c r="F16" s="21">
        <v>1001001</v>
      </c>
      <c r="G16" s="14">
        <v>7</v>
      </c>
      <c r="H16" s="14">
        <v>99</v>
      </c>
      <c r="I16" s="21">
        <v>100020001001</v>
      </c>
      <c r="J16" s="14"/>
      <c r="K16" s="14"/>
      <c r="L16" s="22"/>
      <c r="M16" s="22"/>
      <c r="N16" s="14"/>
      <c r="O16" s="14"/>
      <c r="P16" s="24"/>
      <c r="Q16" s="14"/>
      <c r="R16" s="14"/>
      <c r="S16" s="14"/>
      <c r="T16" s="14">
        <v>1</v>
      </c>
      <c r="U16" s="14">
        <v>100020005</v>
      </c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6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21">
        <v>100020007</v>
      </c>
      <c r="C17" s="14">
        <v>10002</v>
      </c>
      <c r="D17" s="14" t="s">
        <v>61</v>
      </c>
      <c r="E17" s="21">
        <v>2002001</v>
      </c>
      <c r="F17" s="21">
        <v>1002001</v>
      </c>
      <c r="G17" s="14">
        <v>8</v>
      </c>
      <c r="H17" s="14">
        <v>99</v>
      </c>
      <c r="I17" s="21">
        <v>100020001001</v>
      </c>
      <c r="J17" s="14"/>
      <c r="K17" s="14"/>
      <c r="L17" s="14"/>
      <c r="M17" s="14"/>
      <c r="N17" s="14"/>
      <c r="O17" s="14"/>
      <c r="P17" s="24"/>
      <c r="Q17" s="14"/>
      <c r="R17" s="14"/>
      <c r="S17" s="14"/>
      <c r="T17" s="14">
        <v>1</v>
      </c>
      <c r="U17" s="14">
        <v>100020006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6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21">
        <v>100020008</v>
      </c>
      <c r="C18" s="14">
        <v>10002</v>
      </c>
      <c r="D18" s="14" t="s">
        <v>62</v>
      </c>
      <c r="E18" s="21">
        <v>2002002</v>
      </c>
      <c r="F18" s="21">
        <v>1002002</v>
      </c>
      <c r="G18" s="14">
        <v>9</v>
      </c>
      <c r="H18" s="14">
        <v>99</v>
      </c>
      <c r="I18" s="21">
        <v>100020001001</v>
      </c>
      <c r="J18" s="14"/>
      <c r="K18" s="14"/>
      <c r="L18" s="14"/>
      <c r="M18" s="14"/>
      <c r="N18" s="14"/>
      <c r="O18" s="14"/>
      <c r="P18" s="24"/>
      <c r="Q18" s="14"/>
      <c r="R18" s="14"/>
      <c r="S18" s="14"/>
      <c r="T18" s="14">
        <v>1</v>
      </c>
      <c r="U18" s="14">
        <v>100020007</v>
      </c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6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21">
        <v>100020009</v>
      </c>
      <c r="C19" s="14">
        <v>10002</v>
      </c>
      <c r="D19" s="14" t="s">
        <v>63</v>
      </c>
      <c r="E19" s="21">
        <v>2001001</v>
      </c>
      <c r="F19" s="21">
        <v>1001001</v>
      </c>
      <c r="G19" s="14">
        <v>10</v>
      </c>
      <c r="H19" s="14">
        <v>99</v>
      </c>
      <c r="I19" s="21">
        <v>100020001001</v>
      </c>
      <c r="J19" s="14"/>
      <c r="K19" s="14"/>
      <c r="L19" s="14"/>
      <c r="M19" s="14"/>
      <c r="N19" s="14"/>
      <c r="O19" s="14"/>
      <c r="P19" s="24"/>
      <c r="Q19" s="14"/>
      <c r="R19" s="14"/>
      <c r="S19" s="14"/>
      <c r="T19" s="14">
        <v>1</v>
      </c>
      <c r="U19" s="14">
        <v>100020008</v>
      </c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6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21">
        <v>100020010</v>
      </c>
      <c r="C20" s="14">
        <v>10002</v>
      </c>
      <c r="D20" s="14" t="s">
        <v>64</v>
      </c>
      <c r="E20" s="21">
        <v>2002001</v>
      </c>
      <c r="F20" s="21">
        <v>1002001</v>
      </c>
      <c r="G20" s="14">
        <v>10</v>
      </c>
      <c r="H20" s="14">
        <v>99</v>
      </c>
      <c r="I20" s="21">
        <v>100020001001</v>
      </c>
      <c r="J20" s="14"/>
      <c r="K20" s="14"/>
      <c r="L20" s="14"/>
      <c r="M20" s="14"/>
      <c r="N20" s="14"/>
      <c r="O20" s="14"/>
      <c r="P20" s="24"/>
      <c r="Q20" s="14"/>
      <c r="R20" s="14"/>
      <c r="S20" s="14"/>
      <c r="T20" s="14">
        <v>1</v>
      </c>
      <c r="U20" s="14">
        <v>100020009</v>
      </c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6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21">
        <v>100020011</v>
      </c>
      <c r="C21" s="14">
        <v>10002</v>
      </c>
      <c r="D21" s="14" t="s">
        <v>65</v>
      </c>
      <c r="E21" s="21">
        <v>2002002</v>
      </c>
      <c r="F21" s="21">
        <v>1002002</v>
      </c>
      <c r="G21" s="14">
        <v>10</v>
      </c>
      <c r="H21" s="14">
        <v>99</v>
      </c>
      <c r="I21" s="21">
        <v>100020001001</v>
      </c>
      <c r="J21" s="14"/>
      <c r="K21" s="14"/>
      <c r="L21" s="14"/>
      <c r="M21" s="14"/>
      <c r="N21" s="14"/>
      <c r="O21" s="14"/>
      <c r="P21" s="24"/>
      <c r="Q21" s="14"/>
      <c r="R21" s="14"/>
      <c r="S21" s="14"/>
      <c r="T21" s="14">
        <v>1</v>
      </c>
      <c r="U21" s="14">
        <v>100020010</v>
      </c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6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21">
        <v>100020012</v>
      </c>
      <c r="C22" s="14">
        <v>10002</v>
      </c>
      <c r="D22" s="14" t="s">
        <v>66</v>
      </c>
      <c r="E22" s="21">
        <v>2001001</v>
      </c>
      <c r="F22" s="21">
        <v>1001001</v>
      </c>
      <c r="G22" s="14">
        <v>10</v>
      </c>
      <c r="H22" s="14">
        <v>99</v>
      </c>
      <c r="I22" s="21">
        <v>100020001001</v>
      </c>
      <c r="J22" s="14"/>
      <c r="K22" s="14"/>
      <c r="L22" s="22"/>
      <c r="M22" s="22"/>
      <c r="N22" s="14"/>
      <c r="O22" s="14"/>
      <c r="P22" s="24"/>
      <c r="Q22" s="14"/>
      <c r="R22" s="14"/>
      <c r="S22" s="14"/>
      <c r="T22" s="14">
        <v>1</v>
      </c>
      <c r="U22" s="14">
        <v>100020011</v>
      </c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6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21">
        <v>100020013</v>
      </c>
      <c r="C23" s="14">
        <v>10002</v>
      </c>
      <c r="D23" s="14" t="s">
        <v>67</v>
      </c>
      <c r="E23" s="21">
        <v>2002001</v>
      </c>
      <c r="F23" s="21">
        <v>1002001</v>
      </c>
      <c r="G23" s="14">
        <v>10</v>
      </c>
      <c r="H23" s="14">
        <v>99</v>
      </c>
      <c r="I23" s="21">
        <v>100020001001</v>
      </c>
      <c r="J23" s="14"/>
      <c r="K23" s="14"/>
      <c r="L23" s="14"/>
      <c r="M23" s="14"/>
      <c r="N23" s="14"/>
      <c r="O23" s="14"/>
      <c r="P23" s="24"/>
      <c r="Q23" s="14"/>
      <c r="R23" s="14"/>
      <c r="S23" s="14"/>
      <c r="T23" s="14">
        <v>1</v>
      </c>
      <c r="U23" s="14">
        <v>100020012</v>
      </c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6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21">
        <v>100020014</v>
      </c>
      <c r="C24" s="14">
        <v>10002</v>
      </c>
      <c r="D24" s="14" t="s">
        <v>68</v>
      </c>
      <c r="E24" s="21">
        <v>2002002</v>
      </c>
      <c r="F24" s="21">
        <v>1002002</v>
      </c>
      <c r="G24" s="14">
        <v>10</v>
      </c>
      <c r="H24" s="14">
        <v>99</v>
      </c>
      <c r="I24" s="21">
        <v>100020001001</v>
      </c>
      <c r="J24" s="14"/>
      <c r="K24" s="14"/>
      <c r="L24" s="14"/>
      <c r="M24" s="14"/>
      <c r="N24" s="14"/>
      <c r="O24" s="14"/>
      <c r="P24" s="24"/>
      <c r="Q24" s="14"/>
      <c r="R24" s="14"/>
      <c r="S24" s="14"/>
      <c r="T24" s="14">
        <v>1</v>
      </c>
      <c r="U24" s="14">
        <v>100020013</v>
      </c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6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21">
        <v>100020015</v>
      </c>
      <c r="C25" s="14">
        <v>10002</v>
      </c>
      <c r="D25" s="14" t="s">
        <v>69</v>
      </c>
      <c r="E25" s="21">
        <v>2001001</v>
      </c>
      <c r="F25" s="21">
        <v>1001001</v>
      </c>
      <c r="G25" s="14">
        <v>10</v>
      </c>
      <c r="H25" s="14">
        <v>99</v>
      </c>
      <c r="I25" s="21">
        <v>100020001001</v>
      </c>
      <c r="J25" s="14"/>
      <c r="K25" s="14"/>
      <c r="L25" s="14"/>
      <c r="M25" s="14"/>
      <c r="N25" s="14"/>
      <c r="O25" s="14"/>
      <c r="P25" s="24"/>
      <c r="Q25" s="14"/>
      <c r="R25" s="14"/>
      <c r="S25" s="14"/>
      <c r="T25" s="14">
        <v>1</v>
      </c>
      <c r="U25" s="14">
        <v>100020014</v>
      </c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6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21">
        <v>100030001</v>
      </c>
      <c r="C26" s="14">
        <v>10003</v>
      </c>
      <c r="D26" s="14" t="s">
        <v>70</v>
      </c>
      <c r="E26" s="21">
        <v>2002001</v>
      </c>
      <c r="F26" s="21">
        <v>1002001</v>
      </c>
      <c r="G26" s="14">
        <v>10</v>
      </c>
      <c r="H26" s="14">
        <v>99</v>
      </c>
      <c r="I26" s="21">
        <v>100020001001</v>
      </c>
      <c r="J26" s="14"/>
      <c r="K26" s="14"/>
      <c r="L26" s="14"/>
      <c r="M26" s="14"/>
      <c r="N26" s="14"/>
      <c r="O26" s="14"/>
      <c r="P26" s="24"/>
      <c r="Q26" s="14"/>
      <c r="R26" s="14"/>
      <c r="S26" s="14"/>
      <c r="T26" s="14">
        <v>1</v>
      </c>
      <c r="U26" s="14">
        <v>100020015</v>
      </c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6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21">
        <v>100030002</v>
      </c>
      <c r="C27" s="14">
        <v>10003</v>
      </c>
      <c r="D27" s="14" t="s">
        <v>71</v>
      </c>
      <c r="E27" s="21">
        <v>2002002</v>
      </c>
      <c r="F27" s="21">
        <v>1002002</v>
      </c>
      <c r="G27" s="14">
        <v>10</v>
      </c>
      <c r="H27" s="14">
        <v>99</v>
      </c>
      <c r="I27" s="21">
        <v>100020001001</v>
      </c>
      <c r="J27" s="14"/>
      <c r="K27" s="14"/>
      <c r="L27" s="14"/>
      <c r="M27" s="14"/>
      <c r="N27" s="14"/>
      <c r="O27" s="14"/>
      <c r="P27" s="24"/>
      <c r="Q27" s="14"/>
      <c r="R27" s="14"/>
      <c r="S27" s="14"/>
      <c r="T27" s="14">
        <v>1</v>
      </c>
      <c r="U27" s="14">
        <v>100030001</v>
      </c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6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21">
        <v>100030003</v>
      </c>
      <c r="C28" s="14">
        <v>10003</v>
      </c>
      <c r="D28" s="14" t="s">
        <v>72</v>
      </c>
      <c r="E28" s="21">
        <v>2001001</v>
      </c>
      <c r="F28" s="21">
        <v>1001001</v>
      </c>
      <c r="G28" s="14">
        <v>10</v>
      </c>
      <c r="H28" s="14">
        <v>99</v>
      </c>
      <c r="I28" s="21">
        <v>100020001001</v>
      </c>
      <c r="J28" s="14"/>
      <c r="K28" s="14"/>
      <c r="L28" s="22"/>
      <c r="M28" s="22"/>
      <c r="N28" s="14"/>
      <c r="O28" s="22"/>
      <c r="P28" s="23"/>
      <c r="Q28" s="14"/>
      <c r="R28" s="14"/>
      <c r="S28" s="22"/>
      <c r="T28" s="14">
        <v>1</v>
      </c>
      <c r="U28" s="22">
        <v>100030002</v>
      </c>
      <c r="V28" s="22"/>
      <c r="W28" s="14"/>
      <c r="X28" s="14"/>
      <c r="Y28" s="22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6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21">
        <v>100030004</v>
      </c>
      <c r="C29" s="14">
        <v>10003</v>
      </c>
      <c r="D29" s="14" t="s">
        <v>73</v>
      </c>
      <c r="E29" s="21">
        <v>2002001</v>
      </c>
      <c r="F29" s="21">
        <v>1002001</v>
      </c>
      <c r="G29" s="14">
        <v>10</v>
      </c>
      <c r="H29" s="14">
        <v>99</v>
      </c>
      <c r="I29" s="21">
        <v>100020001001</v>
      </c>
      <c r="J29" s="14"/>
      <c r="K29" s="14"/>
      <c r="L29" s="14"/>
      <c r="M29" s="14"/>
      <c r="N29" s="14"/>
      <c r="O29" s="14"/>
      <c r="P29" s="24"/>
      <c r="Q29" s="14"/>
      <c r="R29" s="14"/>
      <c r="S29" s="14"/>
      <c r="T29" s="14">
        <v>1</v>
      </c>
      <c r="U29" s="14">
        <v>100030003</v>
      </c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6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21">
        <v>100030005</v>
      </c>
      <c r="C30" s="14">
        <v>10003</v>
      </c>
      <c r="D30" s="14" t="s">
        <v>74</v>
      </c>
      <c r="E30" s="21">
        <v>2002002</v>
      </c>
      <c r="F30" s="21">
        <v>1002002</v>
      </c>
      <c r="G30" s="14">
        <v>10</v>
      </c>
      <c r="H30" s="14">
        <v>99</v>
      </c>
      <c r="I30" s="21">
        <v>100020001001</v>
      </c>
      <c r="J30" s="14"/>
      <c r="K30" s="14"/>
      <c r="L30" s="14"/>
      <c r="M30" s="14"/>
      <c r="N30" s="14"/>
      <c r="O30" s="14"/>
      <c r="P30" s="24"/>
      <c r="Q30" s="14"/>
      <c r="R30" s="14"/>
      <c r="S30" s="14"/>
      <c r="T30" s="14">
        <v>1</v>
      </c>
      <c r="U30" s="14">
        <v>100030004</v>
      </c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6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21">
        <v>100030006</v>
      </c>
      <c r="C31" s="14">
        <v>10003</v>
      </c>
      <c r="D31" s="14" t="s">
        <v>75</v>
      </c>
      <c r="E31" s="21">
        <v>2001001</v>
      </c>
      <c r="F31" s="21">
        <v>1001001</v>
      </c>
      <c r="G31" s="14">
        <v>10</v>
      </c>
      <c r="H31" s="14">
        <v>99</v>
      </c>
      <c r="I31" s="21">
        <v>100020001001</v>
      </c>
      <c r="J31" s="14"/>
      <c r="K31" s="14"/>
      <c r="L31" s="14"/>
      <c r="M31" s="14"/>
      <c r="N31" s="14"/>
      <c r="O31" s="22"/>
      <c r="P31" s="23"/>
      <c r="Q31" s="14"/>
      <c r="R31" s="14"/>
      <c r="S31" s="22"/>
      <c r="T31" s="14">
        <v>1</v>
      </c>
      <c r="U31" s="22">
        <v>100030005</v>
      </c>
      <c r="V31" s="22"/>
      <c r="W31" s="14"/>
      <c r="X31" s="14"/>
      <c r="Y31" s="22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6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21">
        <v>100030007</v>
      </c>
      <c r="C32" s="14">
        <v>10003</v>
      </c>
      <c r="D32" s="14" t="s">
        <v>76</v>
      </c>
      <c r="E32" s="21">
        <v>2002001</v>
      </c>
      <c r="F32" s="21">
        <v>1002001</v>
      </c>
      <c r="G32" s="14">
        <v>10</v>
      </c>
      <c r="H32" s="14">
        <v>99</v>
      </c>
      <c r="I32" s="21">
        <v>100020001001</v>
      </c>
      <c r="J32" s="14"/>
      <c r="K32" s="14"/>
      <c r="L32" s="14"/>
      <c r="M32" s="14"/>
      <c r="N32" s="14"/>
      <c r="O32" s="14"/>
      <c r="P32" s="24"/>
      <c r="Q32" s="14"/>
      <c r="R32" s="14"/>
      <c r="S32" s="14"/>
      <c r="T32" s="14">
        <v>1</v>
      </c>
      <c r="U32" s="14">
        <v>100030006</v>
      </c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6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21">
        <v>100030008</v>
      </c>
      <c r="C33" s="14">
        <v>10003</v>
      </c>
      <c r="D33" s="14" t="s">
        <v>77</v>
      </c>
      <c r="E33" s="21">
        <v>2002002</v>
      </c>
      <c r="F33" s="21">
        <v>1002002</v>
      </c>
      <c r="G33" s="14">
        <v>10</v>
      </c>
      <c r="H33" s="14">
        <v>99</v>
      </c>
      <c r="I33" s="21">
        <v>100020001001</v>
      </c>
      <c r="J33" s="14"/>
      <c r="K33" s="14"/>
      <c r="L33" s="14"/>
      <c r="M33" s="14"/>
      <c r="N33" s="14"/>
      <c r="O33" s="14"/>
      <c r="P33" s="24"/>
      <c r="Q33" s="14"/>
      <c r="R33" s="14"/>
      <c r="S33" s="14"/>
      <c r="T33" s="14">
        <v>1</v>
      </c>
      <c r="U33" s="14">
        <v>100030007</v>
      </c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6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21">
        <v>100030009</v>
      </c>
      <c r="C34" s="14">
        <v>10003</v>
      </c>
      <c r="D34" s="14" t="s">
        <v>78</v>
      </c>
      <c r="E34" s="21">
        <v>2001001</v>
      </c>
      <c r="F34" s="21">
        <v>1001001</v>
      </c>
      <c r="G34" s="14">
        <v>10</v>
      </c>
      <c r="H34" s="14">
        <v>99</v>
      </c>
      <c r="I34" s="21">
        <v>100020001001</v>
      </c>
      <c r="J34" s="14"/>
      <c r="K34" s="14"/>
      <c r="L34" s="22"/>
      <c r="M34" s="22"/>
      <c r="N34" s="14"/>
      <c r="O34" s="22"/>
      <c r="P34" s="23"/>
      <c r="Q34" s="14"/>
      <c r="R34" s="14"/>
      <c r="S34" s="22"/>
      <c r="T34" s="14">
        <v>1</v>
      </c>
      <c r="U34" s="22">
        <v>100030008</v>
      </c>
      <c r="V34" s="22"/>
      <c r="W34" s="14"/>
      <c r="X34" s="14"/>
      <c r="Y34" s="22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6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21">
        <v>100030010</v>
      </c>
      <c r="C35" s="14">
        <v>10003</v>
      </c>
      <c r="D35" s="14" t="s">
        <v>79</v>
      </c>
      <c r="E35" s="21">
        <v>2002001</v>
      </c>
      <c r="F35" s="21">
        <v>1002001</v>
      </c>
      <c r="G35" s="14">
        <v>10</v>
      </c>
      <c r="H35" s="14">
        <v>99</v>
      </c>
      <c r="I35" s="21">
        <v>100020001001</v>
      </c>
      <c r="J35" s="14"/>
      <c r="K35" s="14"/>
      <c r="L35" s="14"/>
      <c r="M35" s="14"/>
      <c r="N35" s="14"/>
      <c r="O35" s="14"/>
      <c r="P35" s="24"/>
      <c r="Q35" s="14"/>
      <c r="R35" s="14"/>
      <c r="S35" s="14"/>
      <c r="T35" s="14">
        <v>1</v>
      </c>
      <c r="U35" s="14">
        <v>100030009</v>
      </c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6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21">
        <v>100030011</v>
      </c>
      <c r="C36" s="14">
        <v>10003</v>
      </c>
      <c r="D36" s="14" t="s">
        <v>80</v>
      </c>
      <c r="E36" s="21">
        <v>2002002</v>
      </c>
      <c r="F36" s="21">
        <v>1002002</v>
      </c>
      <c r="G36" s="14">
        <v>10</v>
      </c>
      <c r="H36" s="14">
        <v>99</v>
      </c>
      <c r="I36" s="21">
        <v>100020001001</v>
      </c>
      <c r="J36" s="14"/>
      <c r="K36" s="14"/>
      <c r="L36" s="14"/>
      <c r="M36" s="14"/>
      <c r="N36" s="14"/>
      <c r="O36" s="14"/>
      <c r="P36" s="24"/>
      <c r="Q36" s="14"/>
      <c r="R36" s="14"/>
      <c r="S36" s="14"/>
      <c r="T36" s="14">
        <v>1</v>
      </c>
      <c r="U36" s="14">
        <v>100030010</v>
      </c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6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21">
        <v>100030012</v>
      </c>
      <c r="C37" s="14">
        <v>10003</v>
      </c>
      <c r="D37" s="14" t="s">
        <v>81</v>
      </c>
      <c r="E37" s="21">
        <v>2001001</v>
      </c>
      <c r="F37" s="21">
        <v>1001001</v>
      </c>
      <c r="G37" s="14">
        <v>10</v>
      </c>
      <c r="H37" s="14">
        <v>99</v>
      </c>
      <c r="I37" s="21">
        <v>100020001001</v>
      </c>
      <c r="J37" s="14"/>
      <c r="K37" s="14"/>
      <c r="L37" s="14"/>
      <c r="M37" s="14"/>
      <c r="N37" s="14"/>
      <c r="O37" s="22"/>
      <c r="P37" s="23"/>
      <c r="Q37" s="14"/>
      <c r="R37" s="14"/>
      <c r="S37" s="22"/>
      <c r="T37" s="14">
        <v>1</v>
      </c>
      <c r="U37" s="22">
        <v>100030011</v>
      </c>
      <c r="V37" s="22"/>
      <c r="W37" s="14"/>
      <c r="X37" s="14"/>
      <c r="Y37" s="22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6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21">
        <v>100030013</v>
      </c>
      <c r="C38" s="14">
        <v>10003</v>
      </c>
      <c r="D38" s="14" t="s">
        <v>82</v>
      </c>
      <c r="E38" s="21">
        <v>2002001</v>
      </c>
      <c r="F38" s="21">
        <v>1002001</v>
      </c>
      <c r="G38" s="14">
        <v>10</v>
      </c>
      <c r="H38" s="14">
        <v>99</v>
      </c>
      <c r="I38" s="21">
        <v>100020001001</v>
      </c>
      <c r="J38" s="14"/>
      <c r="K38" s="14"/>
      <c r="L38" s="14"/>
      <c r="M38" s="14"/>
      <c r="N38" s="14"/>
      <c r="O38" s="14"/>
      <c r="P38" s="24"/>
      <c r="Q38" s="14"/>
      <c r="R38" s="14"/>
      <c r="S38" s="14"/>
      <c r="T38" s="14">
        <v>1</v>
      </c>
      <c r="U38" s="14">
        <v>100030012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6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21">
        <v>100030014</v>
      </c>
      <c r="C39" s="14">
        <v>10003</v>
      </c>
      <c r="D39" s="14" t="s">
        <v>83</v>
      </c>
      <c r="E39" s="21">
        <v>2002002</v>
      </c>
      <c r="F39" s="21">
        <v>1002002</v>
      </c>
      <c r="G39" s="14">
        <v>10</v>
      </c>
      <c r="H39" s="14">
        <v>99</v>
      </c>
      <c r="I39" s="21">
        <v>100020001001</v>
      </c>
      <c r="J39" s="14"/>
      <c r="K39" s="14"/>
      <c r="L39" s="14"/>
      <c r="M39" s="14"/>
      <c r="N39" s="14"/>
      <c r="O39" s="14"/>
      <c r="P39" s="24"/>
      <c r="Q39" s="14"/>
      <c r="R39" s="14"/>
      <c r="S39" s="14"/>
      <c r="T39" s="14">
        <v>1</v>
      </c>
      <c r="U39" s="14">
        <v>100030013</v>
      </c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6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21">
        <v>100030015</v>
      </c>
      <c r="C40" s="14">
        <v>10003</v>
      </c>
      <c r="D40" s="14" t="s">
        <v>84</v>
      </c>
      <c r="E40" s="21">
        <v>2001001</v>
      </c>
      <c r="F40" s="21">
        <v>1001001</v>
      </c>
      <c r="G40" s="14">
        <v>10</v>
      </c>
      <c r="H40" s="14">
        <v>99</v>
      </c>
      <c r="I40" s="21">
        <v>100020001001</v>
      </c>
      <c r="J40" s="14"/>
      <c r="K40" s="14"/>
      <c r="L40" s="22"/>
      <c r="M40" s="22"/>
      <c r="N40" s="14"/>
      <c r="O40" s="22"/>
      <c r="P40" s="23"/>
      <c r="Q40" s="14"/>
      <c r="R40" s="14"/>
      <c r="S40" s="22"/>
      <c r="T40" s="14">
        <v>1</v>
      </c>
      <c r="U40" s="22">
        <v>100030014</v>
      </c>
      <c r="V40" s="22"/>
      <c r="W40" s="14"/>
      <c r="X40" s="14"/>
      <c r="Y40" s="22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6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21">
        <v>100040001</v>
      </c>
      <c r="C41" s="14">
        <v>10004</v>
      </c>
      <c r="D41" s="14" t="s">
        <v>85</v>
      </c>
      <c r="E41" s="21">
        <v>2002001</v>
      </c>
      <c r="F41" s="21">
        <v>1002001</v>
      </c>
      <c r="G41" s="14">
        <v>10</v>
      </c>
      <c r="H41" s="14">
        <v>99</v>
      </c>
      <c r="I41" s="21">
        <v>100020001001</v>
      </c>
      <c r="J41" s="14"/>
      <c r="K41" s="14"/>
      <c r="L41" s="14"/>
      <c r="M41" s="14"/>
      <c r="N41" s="14"/>
      <c r="O41" s="14"/>
      <c r="P41" s="24"/>
      <c r="Q41" s="14"/>
      <c r="R41" s="14"/>
      <c r="S41" s="14"/>
      <c r="T41" s="14">
        <v>1</v>
      </c>
      <c r="U41" s="14">
        <v>100030015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6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21">
        <v>100040002</v>
      </c>
      <c r="C42" s="14">
        <v>10004</v>
      </c>
      <c r="D42" s="14" t="s">
        <v>86</v>
      </c>
      <c r="E42" s="21">
        <v>2002002</v>
      </c>
      <c r="F42" s="21">
        <v>1002002</v>
      </c>
      <c r="G42" s="14">
        <v>10</v>
      </c>
      <c r="H42" s="14">
        <v>99</v>
      </c>
      <c r="I42" s="21">
        <v>100020001001</v>
      </c>
      <c r="J42" s="14"/>
      <c r="K42" s="14"/>
      <c r="L42" s="14"/>
      <c r="M42" s="14"/>
      <c r="N42" s="14"/>
      <c r="O42" s="14"/>
      <c r="P42" s="24"/>
      <c r="Q42" s="14"/>
      <c r="R42" s="14"/>
      <c r="S42" s="14"/>
      <c r="T42" s="14">
        <v>1</v>
      </c>
      <c r="U42" s="14">
        <v>100040001</v>
      </c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6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21">
        <v>100040003</v>
      </c>
      <c r="C43" s="14">
        <v>10004</v>
      </c>
      <c r="D43" s="14" t="s">
        <v>87</v>
      </c>
      <c r="E43" s="21">
        <v>2001001</v>
      </c>
      <c r="F43" s="21">
        <v>1001001</v>
      </c>
      <c r="G43" s="14">
        <v>10</v>
      </c>
      <c r="H43" s="14">
        <v>99</v>
      </c>
      <c r="I43" s="21">
        <v>100020001001</v>
      </c>
      <c r="J43" s="14"/>
      <c r="K43" s="14"/>
      <c r="L43" s="14"/>
      <c r="M43" s="14"/>
      <c r="N43" s="14"/>
      <c r="O43" s="14"/>
      <c r="P43" s="24"/>
      <c r="Q43" s="14"/>
      <c r="R43" s="14"/>
      <c r="S43" s="14"/>
      <c r="T43" s="14">
        <v>1</v>
      </c>
      <c r="U43" s="14">
        <v>100040002</v>
      </c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6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21">
        <v>100040004</v>
      </c>
      <c r="C44" s="14">
        <v>10004</v>
      </c>
      <c r="D44" s="14" t="s">
        <v>88</v>
      </c>
      <c r="E44" s="21">
        <v>2002001</v>
      </c>
      <c r="F44" s="21">
        <v>1002001</v>
      </c>
      <c r="G44" s="14">
        <v>10</v>
      </c>
      <c r="H44" s="14">
        <v>99</v>
      </c>
      <c r="I44" s="21">
        <v>100020001001</v>
      </c>
      <c r="J44" s="14"/>
      <c r="K44" s="14"/>
      <c r="L44" s="14"/>
      <c r="M44" s="14"/>
      <c r="N44" s="14"/>
      <c r="O44" s="14"/>
      <c r="P44" s="24"/>
      <c r="Q44" s="14"/>
      <c r="R44" s="14"/>
      <c r="S44" s="14"/>
      <c r="T44" s="14">
        <v>1</v>
      </c>
      <c r="U44" s="14">
        <v>100040003</v>
      </c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6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21">
        <v>100040005</v>
      </c>
      <c r="C45" s="14">
        <v>10004</v>
      </c>
      <c r="D45" s="14" t="s">
        <v>89</v>
      </c>
      <c r="E45" s="21">
        <v>2002002</v>
      </c>
      <c r="F45" s="21">
        <v>1002002</v>
      </c>
      <c r="G45" s="14">
        <v>10</v>
      </c>
      <c r="H45" s="14">
        <v>99</v>
      </c>
      <c r="I45" s="21">
        <v>100020001001</v>
      </c>
      <c r="J45" s="14"/>
      <c r="K45" s="14"/>
      <c r="L45" s="14"/>
      <c r="M45" s="14"/>
      <c r="N45" s="14"/>
      <c r="O45" s="14"/>
      <c r="P45" s="24"/>
      <c r="Q45" s="14"/>
      <c r="R45" s="14"/>
      <c r="S45" s="14"/>
      <c r="T45" s="14">
        <v>1</v>
      </c>
      <c r="U45" s="14">
        <v>100040004</v>
      </c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6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21">
        <v>100040006</v>
      </c>
      <c r="C46" s="14">
        <v>10004</v>
      </c>
      <c r="D46" s="14" t="s">
        <v>90</v>
      </c>
      <c r="E46" s="21">
        <v>2001001</v>
      </c>
      <c r="F46" s="21">
        <v>1001001</v>
      </c>
      <c r="G46" s="14">
        <v>10</v>
      </c>
      <c r="H46" s="14">
        <v>99</v>
      </c>
      <c r="I46" s="21">
        <v>100020001001</v>
      </c>
      <c r="J46" s="14"/>
      <c r="K46" s="14"/>
      <c r="L46" s="22"/>
      <c r="M46" s="22"/>
      <c r="N46" s="14"/>
      <c r="O46" s="14"/>
      <c r="P46" s="24"/>
      <c r="Q46" s="14"/>
      <c r="R46" s="14"/>
      <c r="S46" s="14"/>
      <c r="T46" s="14">
        <v>1</v>
      </c>
      <c r="U46" s="14">
        <v>100040005</v>
      </c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6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21">
        <v>100040007</v>
      </c>
      <c r="C47" s="14">
        <v>10004</v>
      </c>
      <c r="D47" s="14" t="s">
        <v>91</v>
      </c>
      <c r="E47" s="21">
        <v>2002001</v>
      </c>
      <c r="F47" s="21">
        <v>1002001</v>
      </c>
      <c r="G47" s="14">
        <v>10</v>
      </c>
      <c r="H47" s="14">
        <v>99</v>
      </c>
      <c r="I47" s="21">
        <v>100020001001</v>
      </c>
      <c r="J47" s="14"/>
      <c r="K47" s="14"/>
      <c r="L47" s="14"/>
      <c r="M47" s="14"/>
      <c r="N47" s="14"/>
      <c r="O47" s="14"/>
      <c r="P47" s="24"/>
      <c r="Q47" s="14"/>
      <c r="R47" s="14"/>
      <c r="S47" s="14"/>
      <c r="T47" s="14">
        <v>1</v>
      </c>
      <c r="U47" s="14">
        <v>100040006</v>
      </c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6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21">
        <v>100040008</v>
      </c>
      <c r="C48" s="14">
        <v>10004</v>
      </c>
      <c r="D48" s="14" t="s">
        <v>92</v>
      </c>
      <c r="E48" s="21">
        <v>2002002</v>
      </c>
      <c r="F48" s="21">
        <v>1002002</v>
      </c>
      <c r="G48" s="14">
        <v>10</v>
      </c>
      <c r="H48" s="14">
        <v>99</v>
      </c>
      <c r="I48" s="21">
        <v>100020001001</v>
      </c>
      <c r="J48" s="14"/>
      <c r="K48" s="14"/>
      <c r="L48" s="14"/>
      <c r="M48" s="14"/>
      <c r="N48" s="14"/>
      <c r="O48" s="14"/>
      <c r="P48" s="24"/>
      <c r="Q48" s="14"/>
      <c r="R48" s="14"/>
      <c r="S48" s="14"/>
      <c r="T48" s="14">
        <v>1</v>
      </c>
      <c r="U48" s="14">
        <v>100040007</v>
      </c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7"/>
      <c r="AK48" s="11"/>
      <c r="AL48" s="11"/>
      <c r="AM48" s="11"/>
      <c r="AN48" s="11"/>
      <c r="AO48" s="11"/>
      <c r="AP48" s="11"/>
      <c r="AQ48" s="11"/>
    </row>
    <row r="49" spans="2:43" ht="18.75" customHeight="1">
      <c r="B49" s="21">
        <v>100040009</v>
      </c>
      <c r="C49" s="14">
        <v>10004</v>
      </c>
      <c r="D49" s="14" t="s">
        <v>93</v>
      </c>
      <c r="E49" s="21">
        <v>2001001</v>
      </c>
      <c r="F49" s="21">
        <v>1001001</v>
      </c>
      <c r="G49" s="14">
        <v>10</v>
      </c>
      <c r="H49" s="14">
        <v>99</v>
      </c>
      <c r="I49" s="21">
        <v>100020001001</v>
      </c>
      <c r="J49" s="35"/>
      <c r="K49" s="35"/>
      <c r="L49" s="14"/>
      <c r="M49" s="14"/>
      <c r="N49" s="14"/>
      <c r="O49" s="14"/>
      <c r="P49" s="24"/>
      <c r="Q49" s="35"/>
      <c r="R49" s="35"/>
      <c r="S49" s="14"/>
      <c r="T49" s="14">
        <v>1</v>
      </c>
      <c r="U49" s="14">
        <v>100040008</v>
      </c>
      <c r="V49" s="14"/>
      <c r="W49" s="35"/>
      <c r="X49" s="35"/>
      <c r="Y49" s="14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54"/>
      <c r="AK49" s="35"/>
      <c r="AL49" s="35"/>
      <c r="AM49" s="35"/>
      <c r="AN49" s="35"/>
      <c r="AO49" s="35"/>
      <c r="AP49" s="35"/>
      <c r="AQ49" s="35"/>
    </row>
    <row r="50" spans="2:43" ht="18.75" customHeight="1">
      <c r="B50" s="21">
        <v>100040010</v>
      </c>
      <c r="C50" s="14">
        <v>10004</v>
      </c>
      <c r="D50" s="14" t="s">
        <v>94</v>
      </c>
      <c r="E50" s="21">
        <v>2002001</v>
      </c>
      <c r="F50" s="21">
        <v>1002001</v>
      </c>
      <c r="G50" s="14">
        <v>10</v>
      </c>
      <c r="H50" s="14">
        <v>99</v>
      </c>
      <c r="I50" s="21">
        <v>100020001001</v>
      </c>
      <c r="J50" s="35"/>
      <c r="K50" s="35"/>
      <c r="L50" s="14"/>
      <c r="M50" s="14"/>
      <c r="N50" s="14"/>
      <c r="O50" s="14"/>
      <c r="P50" s="24"/>
      <c r="Q50" s="35"/>
      <c r="R50" s="35"/>
      <c r="S50" s="14"/>
      <c r="T50" s="14">
        <v>1</v>
      </c>
      <c r="U50" s="14">
        <v>100040009</v>
      </c>
      <c r="V50" s="14"/>
      <c r="W50" s="35"/>
      <c r="X50" s="35"/>
      <c r="Y50" s="14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54"/>
      <c r="AK50" s="35"/>
      <c r="AL50" s="35"/>
      <c r="AM50" s="35"/>
      <c r="AN50" s="35"/>
      <c r="AO50" s="35"/>
      <c r="AP50" s="35"/>
      <c r="AQ50" s="35"/>
    </row>
    <row r="51" spans="2:43" ht="18.75" customHeight="1">
      <c r="B51" s="21">
        <v>100040011</v>
      </c>
      <c r="C51" s="14">
        <v>10004</v>
      </c>
      <c r="D51" s="14" t="s">
        <v>95</v>
      </c>
      <c r="E51" s="21">
        <v>2002002</v>
      </c>
      <c r="F51" s="21">
        <v>1002002</v>
      </c>
      <c r="G51" s="14">
        <v>10</v>
      </c>
      <c r="H51" s="14">
        <v>99</v>
      </c>
      <c r="I51" s="21">
        <v>100020001001</v>
      </c>
      <c r="J51" s="35"/>
      <c r="K51" s="35"/>
      <c r="L51" s="14"/>
      <c r="M51" s="14"/>
      <c r="N51" s="14"/>
      <c r="O51" s="14"/>
      <c r="P51" s="24"/>
      <c r="Q51" s="35"/>
      <c r="R51" s="35"/>
      <c r="S51" s="14"/>
      <c r="T51" s="14">
        <v>1</v>
      </c>
      <c r="U51" s="14">
        <v>100040010</v>
      </c>
      <c r="V51" s="14"/>
      <c r="W51" s="35"/>
      <c r="X51" s="35"/>
      <c r="Y51" s="14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54"/>
      <c r="AK51" s="35"/>
      <c r="AL51" s="35"/>
      <c r="AM51" s="35"/>
      <c r="AN51" s="35"/>
      <c r="AO51" s="35"/>
      <c r="AP51" s="35"/>
      <c r="AQ51" s="35"/>
    </row>
    <row r="52" spans="2:43" ht="18.75" customHeight="1">
      <c r="B52" s="21">
        <v>100040012</v>
      </c>
      <c r="C52" s="14">
        <v>10004</v>
      </c>
      <c r="D52" s="14" t="s">
        <v>96</v>
      </c>
      <c r="E52" s="21">
        <v>2001001</v>
      </c>
      <c r="F52" s="21">
        <v>1001001</v>
      </c>
      <c r="G52" s="14">
        <v>10</v>
      </c>
      <c r="H52" s="14">
        <v>99</v>
      </c>
      <c r="I52" s="21">
        <v>100020001001</v>
      </c>
      <c r="J52" s="35"/>
      <c r="K52" s="35"/>
      <c r="L52" s="22"/>
      <c r="M52" s="22"/>
      <c r="N52" s="14"/>
      <c r="O52" s="14"/>
      <c r="P52" s="24"/>
      <c r="Q52" s="35"/>
      <c r="R52" s="35"/>
      <c r="S52" s="14"/>
      <c r="T52" s="14">
        <v>1</v>
      </c>
      <c r="U52" s="14">
        <v>100040011</v>
      </c>
      <c r="V52" s="14"/>
      <c r="W52" s="35"/>
      <c r="X52" s="35"/>
      <c r="Y52" s="14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54"/>
      <c r="AK52" s="35"/>
      <c r="AL52" s="35"/>
      <c r="AM52" s="35"/>
      <c r="AN52" s="35"/>
      <c r="AO52" s="35"/>
      <c r="AP52" s="35"/>
      <c r="AQ52" s="35"/>
    </row>
    <row r="53" spans="2:43" ht="18.75" customHeight="1">
      <c r="B53" s="21">
        <v>100040013</v>
      </c>
      <c r="C53" s="14">
        <v>10004</v>
      </c>
      <c r="D53" s="14" t="s">
        <v>97</v>
      </c>
      <c r="E53" s="21">
        <v>2002001</v>
      </c>
      <c r="F53" s="21">
        <v>1002001</v>
      </c>
      <c r="G53" s="14">
        <v>10</v>
      </c>
      <c r="H53" s="14">
        <v>99</v>
      </c>
      <c r="I53" s="21">
        <v>100020001001</v>
      </c>
      <c r="J53" s="35"/>
      <c r="K53" s="35"/>
      <c r="L53" s="14"/>
      <c r="M53" s="14"/>
      <c r="N53" s="14"/>
      <c r="O53" s="14"/>
      <c r="P53" s="24"/>
      <c r="Q53" s="35"/>
      <c r="R53" s="35"/>
      <c r="S53" s="14"/>
      <c r="T53" s="14">
        <v>1</v>
      </c>
      <c r="U53" s="14">
        <v>100040012</v>
      </c>
      <c r="V53" s="14"/>
      <c r="W53" s="35"/>
      <c r="X53" s="35"/>
      <c r="Y53" s="14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54"/>
      <c r="AK53" s="35"/>
      <c r="AL53" s="35"/>
      <c r="AM53" s="35"/>
      <c r="AN53" s="35"/>
      <c r="AO53" s="35"/>
      <c r="AP53" s="35"/>
      <c r="AQ53" s="35"/>
    </row>
    <row r="54" spans="2:43" ht="18.75" customHeight="1">
      <c r="B54" s="21">
        <v>100040014</v>
      </c>
      <c r="C54" s="14">
        <v>10004</v>
      </c>
      <c r="D54" s="14" t="s">
        <v>98</v>
      </c>
      <c r="E54" s="21">
        <v>2002002</v>
      </c>
      <c r="F54" s="21">
        <v>1002002</v>
      </c>
      <c r="G54" s="14">
        <v>10</v>
      </c>
      <c r="H54" s="14">
        <v>99</v>
      </c>
      <c r="I54" s="21">
        <v>100020001001</v>
      </c>
      <c r="J54" s="35"/>
      <c r="K54" s="35"/>
      <c r="L54" s="14"/>
      <c r="M54" s="14"/>
      <c r="N54" s="14"/>
      <c r="O54" s="14"/>
      <c r="P54" s="24"/>
      <c r="Q54" s="35"/>
      <c r="R54" s="35"/>
      <c r="S54" s="14"/>
      <c r="T54" s="14">
        <v>1</v>
      </c>
      <c r="U54" s="14">
        <v>100040013</v>
      </c>
      <c r="V54" s="14"/>
      <c r="W54" s="35"/>
      <c r="X54" s="35"/>
      <c r="Y54" s="14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54"/>
      <c r="AK54" s="35"/>
      <c r="AL54" s="35"/>
      <c r="AM54" s="35"/>
      <c r="AN54" s="35"/>
      <c r="AO54" s="35"/>
      <c r="AP54" s="35"/>
      <c r="AQ54" s="35"/>
    </row>
    <row r="55" spans="2:43" ht="18.75" customHeight="1">
      <c r="B55" s="21">
        <v>100040015</v>
      </c>
      <c r="C55" s="14">
        <v>10004</v>
      </c>
      <c r="D55" s="14" t="s">
        <v>99</v>
      </c>
      <c r="E55" s="21">
        <v>2001001</v>
      </c>
      <c r="F55" s="21">
        <v>1001001</v>
      </c>
      <c r="G55" s="14">
        <v>10</v>
      </c>
      <c r="H55" s="14">
        <v>99</v>
      </c>
      <c r="I55" s="21">
        <v>100020001001</v>
      </c>
      <c r="J55" s="35"/>
      <c r="K55" s="35"/>
      <c r="L55" s="14"/>
      <c r="M55" s="14"/>
      <c r="N55" s="14"/>
      <c r="O55" s="14"/>
      <c r="P55" s="24"/>
      <c r="Q55" s="35"/>
      <c r="R55" s="35"/>
      <c r="S55" s="14"/>
      <c r="T55" s="14">
        <v>1</v>
      </c>
      <c r="U55" s="14">
        <v>100040014</v>
      </c>
      <c r="V55" s="14"/>
      <c r="W55" s="35"/>
      <c r="X55" s="35"/>
      <c r="Y55" s="14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54"/>
      <c r="AK55" s="35"/>
      <c r="AL55" s="35"/>
      <c r="AM55" s="35"/>
      <c r="AN55" s="35"/>
      <c r="AO55" s="35"/>
      <c r="AP55" s="35"/>
      <c r="AQ55" s="35"/>
    </row>
    <row r="56" spans="2:43" ht="18.75" customHeight="1">
      <c r="B56" s="21">
        <v>100050001</v>
      </c>
      <c r="C56" s="14">
        <v>10005</v>
      </c>
      <c r="D56" s="14" t="s">
        <v>100</v>
      </c>
      <c r="E56" s="21">
        <v>2002001</v>
      </c>
      <c r="F56" s="21">
        <v>1002001</v>
      </c>
      <c r="G56" s="14">
        <v>10</v>
      </c>
      <c r="H56" s="14">
        <v>99</v>
      </c>
      <c r="I56" s="21">
        <v>100020001001</v>
      </c>
      <c r="J56" s="35"/>
      <c r="K56" s="35"/>
      <c r="L56" s="14"/>
      <c r="M56" s="14"/>
      <c r="N56" s="14"/>
      <c r="O56" s="14"/>
      <c r="P56" s="24"/>
      <c r="Q56" s="35"/>
      <c r="R56" s="35"/>
      <c r="S56" s="14"/>
      <c r="T56" s="14">
        <v>1</v>
      </c>
      <c r="U56" s="14">
        <v>100040015</v>
      </c>
      <c r="V56" s="14"/>
      <c r="W56" s="35"/>
      <c r="X56" s="35"/>
      <c r="Y56" s="14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54"/>
      <c r="AK56" s="35"/>
      <c r="AL56" s="35"/>
      <c r="AM56" s="35"/>
      <c r="AN56" s="35"/>
      <c r="AO56" s="35"/>
      <c r="AP56" s="35"/>
      <c r="AQ56" s="35"/>
    </row>
    <row r="57" spans="2:43" ht="18.75" customHeight="1">
      <c r="B57" s="21">
        <v>100050002</v>
      </c>
      <c r="C57" s="14">
        <v>10005</v>
      </c>
      <c r="D57" s="14" t="s">
        <v>101</v>
      </c>
      <c r="E57" s="21">
        <v>2002002</v>
      </c>
      <c r="F57" s="21">
        <v>1002002</v>
      </c>
      <c r="G57" s="14">
        <v>10</v>
      </c>
      <c r="H57" s="14">
        <v>99</v>
      </c>
      <c r="I57" s="21">
        <v>100020001001</v>
      </c>
      <c r="J57" s="35"/>
      <c r="K57" s="35"/>
      <c r="L57" s="14"/>
      <c r="M57" s="14"/>
      <c r="N57" s="14"/>
      <c r="O57" s="14"/>
      <c r="P57" s="24"/>
      <c r="Q57" s="35"/>
      <c r="R57" s="35"/>
      <c r="S57" s="14"/>
      <c r="T57" s="14">
        <v>1</v>
      </c>
      <c r="U57" s="14">
        <v>100050001</v>
      </c>
      <c r="V57" s="14"/>
      <c r="W57" s="35"/>
      <c r="X57" s="35"/>
      <c r="Y57" s="14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54"/>
      <c r="AK57" s="35"/>
      <c r="AL57" s="35"/>
      <c r="AM57" s="35"/>
      <c r="AN57" s="35"/>
      <c r="AO57" s="35"/>
      <c r="AP57" s="35"/>
      <c r="AQ57" s="35"/>
    </row>
    <row r="58" spans="2:43" ht="18.75" customHeight="1">
      <c r="B58" s="21">
        <v>100050003</v>
      </c>
      <c r="C58" s="14">
        <v>10005</v>
      </c>
      <c r="D58" s="14" t="s">
        <v>102</v>
      </c>
      <c r="E58" s="21">
        <v>2001001</v>
      </c>
      <c r="F58" s="21">
        <v>1001001</v>
      </c>
      <c r="G58" s="14">
        <v>10</v>
      </c>
      <c r="H58" s="14">
        <v>99</v>
      </c>
      <c r="I58" s="21">
        <v>100020001001</v>
      </c>
      <c r="J58" s="35"/>
      <c r="K58" s="35"/>
      <c r="L58" s="22"/>
      <c r="M58" s="22"/>
      <c r="N58" s="14"/>
      <c r="O58" s="22"/>
      <c r="P58" s="23"/>
      <c r="Q58" s="35"/>
      <c r="R58" s="35"/>
      <c r="S58" s="22"/>
      <c r="T58" s="14">
        <v>1</v>
      </c>
      <c r="U58" s="22">
        <v>100050002</v>
      </c>
      <c r="V58" s="22"/>
      <c r="W58" s="35"/>
      <c r="X58" s="35"/>
      <c r="Y58" s="22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54"/>
      <c r="AK58" s="35"/>
      <c r="AL58" s="35"/>
      <c r="AM58" s="35"/>
      <c r="AN58" s="35"/>
      <c r="AO58" s="35"/>
      <c r="AP58" s="35"/>
      <c r="AQ58" s="35"/>
    </row>
    <row r="59" spans="2:43" ht="18.75" customHeight="1">
      <c r="B59" s="21">
        <v>100050004</v>
      </c>
      <c r="C59" s="14">
        <v>10005</v>
      </c>
      <c r="D59" s="14" t="s">
        <v>103</v>
      </c>
      <c r="E59" s="21">
        <v>2002001</v>
      </c>
      <c r="F59" s="21">
        <v>1002001</v>
      </c>
      <c r="G59" s="14">
        <v>10</v>
      </c>
      <c r="H59" s="14">
        <v>99</v>
      </c>
      <c r="I59" s="21">
        <v>100020001001</v>
      </c>
      <c r="J59" s="35"/>
      <c r="K59" s="35"/>
      <c r="L59" s="14"/>
      <c r="M59" s="14"/>
      <c r="N59" s="14"/>
      <c r="O59" s="14"/>
      <c r="P59" s="24"/>
      <c r="Q59" s="35"/>
      <c r="R59" s="35"/>
      <c r="S59" s="14"/>
      <c r="T59" s="14">
        <v>1</v>
      </c>
      <c r="U59" s="14">
        <v>100050003</v>
      </c>
      <c r="V59" s="14"/>
      <c r="W59" s="35"/>
      <c r="X59" s="35"/>
      <c r="Y59" s="14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54"/>
      <c r="AK59" s="35"/>
      <c r="AL59" s="35"/>
      <c r="AM59" s="35"/>
      <c r="AN59" s="35"/>
      <c r="AO59" s="35"/>
      <c r="AP59" s="35"/>
      <c r="AQ59" s="35"/>
    </row>
    <row r="60" spans="2:43" ht="18.75" customHeight="1">
      <c r="B60" s="21">
        <v>100050005</v>
      </c>
      <c r="C60" s="14">
        <v>10005</v>
      </c>
      <c r="D60" s="14" t="s">
        <v>104</v>
      </c>
      <c r="E60" s="21">
        <v>2002002</v>
      </c>
      <c r="F60" s="21">
        <v>1002002</v>
      </c>
      <c r="G60" s="14">
        <v>10</v>
      </c>
      <c r="H60" s="14">
        <v>99</v>
      </c>
      <c r="I60" s="21">
        <v>100020001001</v>
      </c>
      <c r="J60" s="35"/>
      <c r="K60" s="35"/>
      <c r="L60" s="14"/>
      <c r="M60" s="14"/>
      <c r="N60" s="14"/>
      <c r="O60" s="14"/>
      <c r="P60" s="24"/>
      <c r="Q60" s="35"/>
      <c r="R60" s="35"/>
      <c r="S60" s="14"/>
      <c r="T60" s="14">
        <v>1</v>
      </c>
      <c r="U60" s="14">
        <v>100050004</v>
      </c>
      <c r="V60" s="14"/>
      <c r="W60" s="35"/>
      <c r="X60" s="35"/>
      <c r="Y60" s="14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54"/>
      <c r="AK60" s="35"/>
      <c r="AL60" s="35"/>
      <c r="AM60" s="35"/>
      <c r="AN60" s="35"/>
      <c r="AO60" s="35"/>
      <c r="AP60" s="35"/>
      <c r="AQ60" s="35"/>
    </row>
    <row r="61" spans="2:43" ht="18.75" customHeight="1">
      <c r="B61" s="21">
        <v>100050006</v>
      </c>
      <c r="C61" s="14">
        <v>10005</v>
      </c>
      <c r="D61" s="14" t="s">
        <v>105</v>
      </c>
      <c r="E61" s="21">
        <v>2001001</v>
      </c>
      <c r="F61" s="21">
        <v>1001001</v>
      </c>
      <c r="G61" s="14">
        <v>10</v>
      </c>
      <c r="H61" s="14">
        <v>99</v>
      </c>
      <c r="I61" s="21">
        <v>100020001001</v>
      </c>
      <c r="J61" s="35"/>
      <c r="K61" s="35"/>
      <c r="L61" s="14"/>
      <c r="M61" s="14"/>
      <c r="N61" s="14"/>
      <c r="O61" s="22"/>
      <c r="P61" s="23"/>
      <c r="Q61" s="35"/>
      <c r="R61" s="35"/>
      <c r="S61" s="22"/>
      <c r="T61" s="14">
        <v>1</v>
      </c>
      <c r="U61" s="22">
        <v>100050005</v>
      </c>
      <c r="V61" s="22"/>
      <c r="W61" s="35"/>
      <c r="X61" s="35"/>
      <c r="Y61" s="22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54"/>
      <c r="AK61" s="35"/>
      <c r="AL61" s="35"/>
      <c r="AM61" s="35"/>
      <c r="AN61" s="35"/>
      <c r="AO61" s="35"/>
      <c r="AP61" s="35"/>
      <c r="AQ61" s="35"/>
    </row>
    <row r="62" spans="2:43" ht="18.75" customHeight="1">
      <c r="B62" s="21">
        <v>100050007</v>
      </c>
      <c r="C62" s="14">
        <v>10005</v>
      </c>
      <c r="D62" s="14" t="s">
        <v>106</v>
      </c>
      <c r="E62" s="21">
        <v>2002001</v>
      </c>
      <c r="F62" s="21">
        <v>1002001</v>
      </c>
      <c r="G62" s="14">
        <v>10</v>
      </c>
      <c r="H62" s="14">
        <v>99</v>
      </c>
      <c r="I62" s="21">
        <v>100020001001</v>
      </c>
      <c r="J62" s="35"/>
      <c r="K62" s="35"/>
      <c r="L62" s="14"/>
      <c r="M62" s="14"/>
      <c r="N62" s="14"/>
      <c r="O62" s="14"/>
      <c r="P62" s="24"/>
      <c r="Q62" s="35"/>
      <c r="R62" s="35"/>
      <c r="S62" s="14"/>
      <c r="T62" s="14">
        <v>1</v>
      </c>
      <c r="U62" s="14">
        <v>100050006</v>
      </c>
      <c r="V62" s="14"/>
      <c r="W62" s="35"/>
      <c r="X62" s="35"/>
      <c r="Y62" s="14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54"/>
      <c r="AK62" s="35"/>
      <c r="AL62" s="35"/>
      <c r="AM62" s="35"/>
      <c r="AN62" s="35"/>
      <c r="AO62" s="35"/>
      <c r="AP62" s="35"/>
      <c r="AQ62" s="35"/>
    </row>
    <row r="63" spans="2:43" ht="18.75" customHeight="1">
      <c r="B63" s="21">
        <v>100050008</v>
      </c>
      <c r="C63" s="14">
        <v>10005</v>
      </c>
      <c r="D63" s="14" t="s">
        <v>107</v>
      </c>
      <c r="E63" s="21">
        <v>2002002</v>
      </c>
      <c r="F63" s="21">
        <v>1002002</v>
      </c>
      <c r="G63" s="14">
        <v>10</v>
      </c>
      <c r="H63" s="14">
        <v>99</v>
      </c>
      <c r="I63" s="21">
        <v>100020001001</v>
      </c>
      <c r="J63" s="35"/>
      <c r="K63" s="35"/>
      <c r="L63" s="14"/>
      <c r="M63" s="14"/>
      <c r="N63" s="14"/>
      <c r="O63" s="14"/>
      <c r="P63" s="24"/>
      <c r="Q63" s="35"/>
      <c r="R63" s="35"/>
      <c r="S63" s="14"/>
      <c r="T63" s="14">
        <v>1</v>
      </c>
      <c r="U63" s="14">
        <v>100050007</v>
      </c>
      <c r="V63" s="14"/>
      <c r="W63" s="35"/>
      <c r="X63" s="35"/>
      <c r="Y63" s="14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54"/>
      <c r="AK63" s="35"/>
      <c r="AL63" s="35"/>
      <c r="AM63" s="35"/>
      <c r="AN63" s="35"/>
      <c r="AO63" s="35"/>
      <c r="AP63" s="35"/>
      <c r="AQ63" s="35"/>
    </row>
    <row r="64" spans="2:43" ht="18.75" customHeight="1">
      <c r="B64" s="21">
        <v>100050009</v>
      </c>
      <c r="C64" s="14">
        <v>10005</v>
      </c>
      <c r="D64" s="14" t="s">
        <v>108</v>
      </c>
      <c r="E64" s="21">
        <v>2001001</v>
      </c>
      <c r="F64" s="21">
        <v>1001001</v>
      </c>
      <c r="G64" s="14">
        <v>10</v>
      </c>
      <c r="H64" s="14">
        <v>99</v>
      </c>
      <c r="I64" s="21">
        <v>100020001001</v>
      </c>
      <c r="J64" s="35"/>
      <c r="K64" s="35"/>
      <c r="L64" s="22"/>
      <c r="M64" s="22"/>
      <c r="N64" s="14"/>
      <c r="O64" s="22"/>
      <c r="P64" s="23"/>
      <c r="Q64" s="35"/>
      <c r="R64" s="35"/>
      <c r="S64" s="22"/>
      <c r="T64" s="14">
        <v>1</v>
      </c>
      <c r="U64" s="22">
        <v>100050008</v>
      </c>
      <c r="V64" s="22"/>
      <c r="W64" s="35"/>
      <c r="X64" s="35"/>
      <c r="Y64" s="22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54"/>
      <c r="AK64" s="35"/>
      <c r="AL64" s="35"/>
      <c r="AM64" s="35"/>
      <c r="AN64" s="35"/>
      <c r="AO64" s="35"/>
      <c r="AP64" s="35"/>
      <c r="AQ64" s="35"/>
    </row>
    <row r="65" spans="2:43" ht="18.75" customHeight="1">
      <c r="B65" s="21">
        <v>100050010</v>
      </c>
      <c r="C65" s="14">
        <v>10005</v>
      </c>
      <c r="D65" s="14" t="s">
        <v>109</v>
      </c>
      <c r="E65" s="21">
        <v>2002001</v>
      </c>
      <c r="F65" s="21">
        <v>1002001</v>
      </c>
      <c r="G65" s="14">
        <v>10</v>
      </c>
      <c r="H65" s="14">
        <v>99</v>
      </c>
      <c r="I65" s="21">
        <v>100020001001</v>
      </c>
      <c r="J65" s="35"/>
      <c r="K65" s="35"/>
      <c r="L65" s="14"/>
      <c r="M65" s="14"/>
      <c r="N65" s="14"/>
      <c r="O65" s="14"/>
      <c r="P65" s="24"/>
      <c r="Q65" s="35"/>
      <c r="R65" s="35"/>
      <c r="S65" s="14"/>
      <c r="T65" s="14">
        <v>1</v>
      </c>
      <c r="U65" s="14">
        <v>100050009</v>
      </c>
      <c r="V65" s="14"/>
      <c r="W65" s="35"/>
      <c r="X65" s="35"/>
      <c r="Y65" s="14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54"/>
      <c r="AK65" s="35"/>
      <c r="AL65" s="35"/>
      <c r="AM65" s="35"/>
      <c r="AN65" s="35"/>
      <c r="AO65" s="35"/>
      <c r="AP65" s="35"/>
      <c r="AQ65" s="35"/>
    </row>
    <row r="66" spans="2:43" ht="18.75" customHeight="1">
      <c r="B66" s="21">
        <v>100050011</v>
      </c>
      <c r="C66" s="14">
        <v>10005</v>
      </c>
      <c r="D66" s="14" t="s">
        <v>110</v>
      </c>
      <c r="E66" s="21">
        <v>2002002</v>
      </c>
      <c r="F66" s="21">
        <v>1002002</v>
      </c>
      <c r="G66" s="14">
        <v>10</v>
      </c>
      <c r="H66" s="14">
        <v>99</v>
      </c>
      <c r="I66" s="21">
        <v>100020001001</v>
      </c>
      <c r="J66" s="35"/>
      <c r="K66" s="35"/>
      <c r="L66" s="14"/>
      <c r="M66" s="14"/>
      <c r="N66" s="14"/>
      <c r="O66" s="14"/>
      <c r="P66" s="24"/>
      <c r="Q66" s="35"/>
      <c r="R66" s="35"/>
      <c r="S66" s="14"/>
      <c r="T66" s="14">
        <v>1</v>
      </c>
      <c r="U66" s="14">
        <v>100050010</v>
      </c>
      <c r="V66" s="14"/>
      <c r="W66" s="35"/>
      <c r="X66" s="35"/>
      <c r="Y66" s="14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54"/>
      <c r="AK66" s="35"/>
      <c r="AL66" s="35"/>
      <c r="AM66" s="35"/>
      <c r="AN66" s="35"/>
      <c r="AO66" s="35"/>
      <c r="AP66" s="35"/>
      <c r="AQ66" s="35"/>
    </row>
    <row r="67" spans="2:43" ht="18.75" customHeight="1">
      <c r="B67" s="21">
        <v>100050012</v>
      </c>
      <c r="C67" s="14">
        <v>10005</v>
      </c>
      <c r="D67" s="14" t="s">
        <v>111</v>
      </c>
      <c r="E67" s="21">
        <v>2001001</v>
      </c>
      <c r="F67" s="21">
        <v>1001001</v>
      </c>
      <c r="G67" s="14">
        <v>10</v>
      </c>
      <c r="H67" s="14">
        <v>99</v>
      </c>
      <c r="I67" s="21">
        <v>100020001001</v>
      </c>
      <c r="J67" s="35"/>
      <c r="K67" s="35"/>
      <c r="L67" s="14"/>
      <c r="M67" s="14"/>
      <c r="N67" s="14"/>
      <c r="O67" s="22"/>
      <c r="P67" s="23"/>
      <c r="Q67" s="35"/>
      <c r="R67" s="35"/>
      <c r="S67" s="22"/>
      <c r="T67" s="14">
        <v>1</v>
      </c>
      <c r="U67" s="22">
        <v>100050011</v>
      </c>
      <c r="V67" s="22"/>
      <c r="W67" s="35"/>
      <c r="X67" s="35"/>
      <c r="Y67" s="22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54"/>
      <c r="AK67" s="35"/>
      <c r="AL67" s="35"/>
      <c r="AM67" s="35"/>
      <c r="AN67" s="35"/>
      <c r="AO67" s="35"/>
      <c r="AP67" s="35"/>
      <c r="AQ67" s="35"/>
    </row>
    <row r="68" spans="2:43" ht="18.75" customHeight="1">
      <c r="B68" s="21">
        <v>100050013</v>
      </c>
      <c r="C68" s="14">
        <v>10005</v>
      </c>
      <c r="D68" s="14" t="s">
        <v>112</v>
      </c>
      <c r="E68" s="21">
        <v>2002001</v>
      </c>
      <c r="F68" s="21">
        <v>1002001</v>
      </c>
      <c r="G68" s="14">
        <v>10</v>
      </c>
      <c r="H68" s="14">
        <v>99</v>
      </c>
      <c r="I68" s="21">
        <v>100020001001</v>
      </c>
      <c r="J68" s="35"/>
      <c r="K68" s="35"/>
      <c r="L68" s="14"/>
      <c r="M68" s="14"/>
      <c r="N68" s="14"/>
      <c r="O68" s="14"/>
      <c r="P68" s="24"/>
      <c r="Q68" s="35"/>
      <c r="R68" s="35"/>
      <c r="S68" s="14"/>
      <c r="T68" s="14">
        <v>1</v>
      </c>
      <c r="U68" s="14">
        <v>100050012</v>
      </c>
      <c r="V68" s="14"/>
      <c r="W68" s="35"/>
      <c r="X68" s="35"/>
      <c r="Y68" s="14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54"/>
      <c r="AK68" s="35"/>
      <c r="AL68" s="35"/>
      <c r="AM68" s="35"/>
      <c r="AN68" s="35"/>
      <c r="AO68" s="35"/>
      <c r="AP68" s="35"/>
      <c r="AQ68" s="35"/>
    </row>
    <row r="69" spans="2:43" ht="18.75" customHeight="1">
      <c r="B69" s="21">
        <v>100050014</v>
      </c>
      <c r="C69" s="14">
        <v>10005</v>
      </c>
      <c r="D69" s="14" t="s">
        <v>113</v>
      </c>
      <c r="E69" s="21">
        <v>2002002</v>
      </c>
      <c r="F69" s="21">
        <v>1002002</v>
      </c>
      <c r="G69" s="14">
        <v>10</v>
      </c>
      <c r="H69" s="14">
        <v>99</v>
      </c>
      <c r="I69" s="21">
        <v>100020001001</v>
      </c>
      <c r="J69" s="35"/>
      <c r="K69" s="35"/>
      <c r="L69" s="14"/>
      <c r="M69" s="14"/>
      <c r="N69" s="14"/>
      <c r="O69" s="14"/>
      <c r="P69" s="24"/>
      <c r="Q69" s="35"/>
      <c r="R69" s="35"/>
      <c r="S69" s="14"/>
      <c r="T69" s="14">
        <v>1</v>
      </c>
      <c r="U69" s="14">
        <v>100050013</v>
      </c>
      <c r="V69" s="14"/>
      <c r="W69" s="35"/>
      <c r="X69" s="35"/>
      <c r="Y69" s="14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54"/>
      <c r="AK69" s="35"/>
      <c r="AL69" s="35"/>
      <c r="AM69" s="35"/>
      <c r="AN69" s="35"/>
      <c r="AO69" s="35"/>
      <c r="AP69" s="35"/>
      <c r="AQ69" s="35"/>
    </row>
    <row r="70" spans="2:43" ht="18.75" customHeight="1">
      <c r="B70" s="21">
        <v>100050015</v>
      </c>
      <c r="C70" s="14">
        <v>10005</v>
      </c>
      <c r="D70" s="14" t="s">
        <v>114</v>
      </c>
      <c r="E70" s="21">
        <v>2001001</v>
      </c>
      <c r="F70" s="21">
        <v>1001001</v>
      </c>
      <c r="G70" s="14">
        <v>10</v>
      </c>
      <c r="H70" s="14">
        <v>99</v>
      </c>
      <c r="I70" s="21">
        <v>100020001001</v>
      </c>
      <c r="J70" s="35"/>
      <c r="K70" s="35"/>
      <c r="L70" s="22"/>
      <c r="M70" s="22"/>
      <c r="N70" s="14"/>
      <c r="O70" s="22"/>
      <c r="P70" s="23"/>
      <c r="Q70" s="35"/>
      <c r="R70" s="35"/>
      <c r="S70" s="22"/>
      <c r="T70" s="14">
        <v>1</v>
      </c>
      <c r="U70" s="22">
        <v>100050014</v>
      </c>
      <c r="V70" s="22"/>
      <c r="W70" s="35"/>
      <c r="X70" s="35"/>
      <c r="Y70" s="22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54"/>
      <c r="AK70" s="35"/>
      <c r="AL70" s="35"/>
      <c r="AM70" s="35"/>
      <c r="AN70" s="35"/>
      <c r="AO70" s="35"/>
      <c r="AP70" s="35"/>
      <c r="AQ70" s="35"/>
    </row>
    <row r="71" spans="2:43" ht="18.75" customHeight="1">
      <c r="B71" s="21">
        <v>100060001</v>
      </c>
      <c r="C71" s="14">
        <v>10006</v>
      </c>
      <c r="D71" s="14" t="s">
        <v>115</v>
      </c>
      <c r="E71" s="21">
        <v>2002001</v>
      </c>
      <c r="F71" s="21">
        <v>1002001</v>
      </c>
      <c r="G71" s="14">
        <v>10</v>
      </c>
      <c r="H71" s="14">
        <v>99</v>
      </c>
      <c r="I71" s="21">
        <v>100020001001</v>
      </c>
      <c r="J71" s="35"/>
      <c r="K71" s="35"/>
      <c r="L71" s="14"/>
      <c r="M71" s="14"/>
      <c r="N71" s="14"/>
      <c r="O71" s="14"/>
      <c r="P71" s="24"/>
      <c r="Q71" s="35"/>
      <c r="R71" s="35"/>
      <c r="S71" s="14"/>
      <c r="T71" s="14">
        <v>1</v>
      </c>
      <c r="U71" s="14">
        <v>100050015</v>
      </c>
      <c r="V71" s="14"/>
      <c r="W71" s="35"/>
      <c r="X71" s="35"/>
      <c r="Y71" s="14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54"/>
      <c r="AK71" s="35"/>
      <c r="AL71" s="35"/>
      <c r="AM71" s="35"/>
      <c r="AN71" s="35"/>
      <c r="AO71" s="35"/>
      <c r="AP71" s="35"/>
      <c r="AQ71" s="35"/>
    </row>
    <row r="72" spans="2:43" ht="18.75" customHeight="1">
      <c r="B72" s="21">
        <v>100060002</v>
      </c>
      <c r="C72" s="14">
        <v>10006</v>
      </c>
      <c r="D72" s="14" t="s">
        <v>116</v>
      </c>
      <c r="E72" s="21">
        <v>2002002</v>
      </c>
      <c r="F72" s="21">
        <v>1002002</v>
      </c>
      <c r="G72" s="14">
        <v>10</v>
      </c>
      <c r="H72" s="14">
        <v>99</v>
      </c>
      <c r="I72" s="21">
        <v>100020001001</v>
      </c>
      <c r="J72" s="35"/>
      <c r="K72" s="35"/>
      <c r="L72" s="14"/>
      <c r="M72" s="14"/>
      <c r="N72" s="14"/>
      <c r="O72" s="14"/>
      <c r="P72" s="24"/>
      <c r="Q72" s="35"/>
      <c r="R72" s="35"/>
      <c r="S72" s="14"/>
      <c r="T72" s="14">
        <v>1</v>
      </c>
      <c r="U72" s="14">
        <v>100060001</v>
      </c>
      <c r="V72" s="14"/>
      <c r="W72" s="35"/>
      <c r="X72" s="35"/>
      <c r="Y72" s="14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54"/>
      <c r="AK72" s="35"/>
      <c r="AL72" s="35"/>
      <c r="AM72" s="35"/>
      <c r="AN72" s="35"/>
      <c r="AO72" s="35"/>
      <c r="AP72" s="35"/>
      <c r="AQ72" s="35"/>
    </row>
    <row r="73" spans="2:43" ht="18.75" customHeight="1">
      <c r="B73" s="21">
        <v>100060003</v>
      </c>
      <c r="C73" s="14">
        <v>10006</v>
      </c>
      <c r="D73" s="14" t="s">
        <v>117</v>
      </c>
      <c r="E73" s="21">
        <v>2001001</v>
      </c>
      <c r="F73" s="21">
        <v>1001001</v>
      </c>
      <c r="G73" s="14">
        <v>10</v>
      </c>
      <c r="H73" s="14">
        <v>99</v>
      </c>
      <c r="I73" s="21">
        <v>100020001001</v>
      </c>
      <c r="J73" s="35"/>
      <c r="K73" s="35"/>
      <c r="L73" s="14"/>
      <c r="M73" s="14"/>
      <c r="N73" s="14"/>
      <c r="O73" s="14"/>
      <c r="P73" s="24"/>
      <c r="Q73" s="35"/>
      <c r="R73" s="35"/>
      <c r="S73" s="14"/>
      <c r="T73" s="14">
        <v>1</v>
      </c>
      <c r="U73" s="14">
        <v>100060002</v>
      </c>
      <c r="V73" s="14"/>
      <c r="W73" s="35"/>
      <c r="X73" s="35"/>
      <c r="Y73" s="14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54"/>
      <c r="AK73" s="35"/>
      <c r="AL73" s="35"/>
      <c r="AM73" s="35"/>
      <c r="AN73" s="35"/>
      <c r="AO73" s="35"/>
      <c r="AP73" s="35"/>
      <c r="AQ73" s="35"/>
    </row>
    <row r="74" spans="2:43" ht="18.75" customHeight="1">
      <c r="B74" s="21">
        <v>100060004</v>
      </c>
      <c r="C74" s="14">
        <v>10006</v>
      </c>
      <c r="D74" s="14" t="s">
        <v>118</v>
      </c>
      <c r="E74" s="21">
        <v>2002001</v>
      </c>
      <c r="F74" s="21">
        <v>1002001</v>
      </c>
      <c r="G74" s="14">
        <v>10</v>
      </c>
      <c r="H74" s="14">
        <v>99</v>
      </c>
      <c r="I74" s="21">
        <v>100020001001</v>
      </c>
      <c r="J74" s="35"/>
      <c r="K74" s="35"/>
      <c r="L74" s="14"/>
      <c r="M74" s="14"/>
      <c r="N74" s="14"/>
      <c r="O74" s="14"/>
      <c r="P74" s="24"/>
      <c r="Q74" s="35"/>
      <c r="R74" s="35"/>
      <c r="S74" s="14"/>
      <c r="T74" s="14">
        <v>1</v>
      </c>
      <c r="U74" s="14">
        <v>100060003</v>
      </c>
      <c r="V74" s="14"/>
      <c r="W74" s="35"/>
      <c r="X74" s="35"/>
      <c r="Y74" s="14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54"/>
      <c r="AK74" s="35"/>
      <c r="AL74" s="35"/>
      <c r="AM74" s="35"/>
      <c r="AN74" s="35"/>
      <c r="AO74" s="35"/>
      <c r="AP74" s="35"/>
      <c r="AQ74" s="35"/>
    </row>
    <row r="75" spans="2:43" ht="18.75" customHeight="1">
      <c r="B75" s="21">
        <v>100060005</v>
      </c>
      <c r="C75" s="14">
        <v>10006</v>
      </c>
      <c r="D75" s="14" t="s">
        <v>119</v>
      </c>
      <c r="E75" s="21">
        <v>2002002</v>
      </c>
      <c r="F75" s="21">
        <v>1002002</v>
      </c>
      <c r="G75" s="14">
        <v>10</v>
      </c>
      <c r="H75" s="14">
        <v>99</v>
      </c>
      <c r="I75" s="21">
        <v>100020001001</v>
      </c>
      <c r="J75" s="35"/>
      <c r="K75" s="35"/>
      <c r="L75" s="14"/>
      <c r="M75" s="14"/>
      <c r="N75" s="14"/>
      <c r="O75" s="14"/>
      <c r="P75" s="24"/>
      <c r="Q75" s="35"/>
      <c r="R75" s="35"/>
      <c r="S75" s="14"/>
      <c r="T75" s="14">
        <v>1</v>
      </c>
      <c r="U75" s="14">
        <v>100060004</v>
      </c>
      <c r="V75" s="14"/>
      <c r="W75" s="35"/>
      <c r="X75" s="35"/>
      <c r="Y75" s="14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54"/>
      <c r="AK75" s="35"/>
      <c r="AL75" s="35"/>
      <c r="AM75" s="35"/>
      <c r="AN75" s="35"/>
      <c r="AO75" s="35"/>
      <c r="AP75" s="35"/>
      <c r="AQ75" s="35"/>
    </row>
    <row r="76" spans="2:43" ht="18.75" customHeight="1">
      <c r="B76" s="21">
        <v>100060006</v>
      </c>
      <c r="C76" s="14">
        <v>10006</v>
      </c>
      <c r="D76" s="14" t="s">
        <v>120</v>
      </c>
      <c r="E76" s="21">
        <v>2001001</v>
      </c>
      <c r="F76" s="21">
        <v>1001001</v>
      </c>
      <c r="G76" s="14">
        <v>10</v>
      </c>
      <c r="H76" s="14">
        <v>99</v>
      </c>
      <c r="I76" s="21">
        <v>100020001001</v>
      </c>
      <c r="J76" s="35"/>
      <c r="K76" s="35"/>
      <c r="L76" s="22"/>
      <c r="M76" s="22"/>
      <c r="N76" s="14"/>
      <c r="O76" s="14"/>
      <c r="P76" s="24"/>
      <c r="Q76" s="35"/>
      <c r="R76" s="35"/>
      <c r="S76" s="14"/>
      <c r="T76" s="14">
        <v>1</v>
      </c>
      <c r="U76" s="14">
        <v>100060005</v>
      </c>
      <c r="V76" s="14"/>
      <c r="W76" s="35"/>
      <c r="X76" s="35"/>
      <c r="Y76" s="14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54"/>
      <c r="AK76" s="35"/>
      <c r="AL76" s="35"/>
      <c r="AM76" s="35"/>
      <c r="AN76" s="35"/>
      <c r="AO76" s="35"/>
      <c r="AP76" s="35"/>
      <c r="AQ76" s="35"/>
    </row>
    <row r="77" spans="2:43" ht="18.75" customHeight="1">
      <c r="B77" s="21">
        <v>100060007</v>
      </c>
      <c r="C77" s="14">
        <v>10006</v>
      </c>
      <c r="D77" s="14" t="s">
        <v>121</v>
      </c>
      <c r="E77" s="21">
        <v>2002001</v>
      </c>
      <c r="F77" s="21">
        <v>1002001</v>
      </c>
      <c r="G77" s="14">
        <v>10</v>
      </c>
      <c r="H77" s="14">
        <v>99</v>
      </c>
      <c r="I77" s="21">
        <v>100020001001</v>
      </c>
      <c r="J77" s="35"/>
      <c r="K77" s="35"/>
      <c r="L77" s="14"/>
      <c r="M77" s="14"/>
      <c r="N77" s="14"/>
      <c r="O77" s="14"/>
      <c r="P77" s="24"/>
      <c r="Q77" s="35"/>
      <c r="R77" s="35"/>
      <c r="S77" s="14"/>
      <c r="T77" s="14">
        <v>1</v>
      </c>
      <c r="U77" s="14">
        <v>100060006</v>
      </c>
      <c r="V77" s="14"/>
      <c r="W77" s="35"/>
      <c r="X77" s="35"/>
      <c r="Y77" s="14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54"/>
      <c r="AK77" s="35"/>
      <c r="AL77" s="35"/>
      <c r="AM77" s="35"/>
      <c r="AN77" s="35"/>
      <c r="AO77" s="35"/>
      <c r="AP77" s="35"/>
      <c r="AQ77" s="35"/>
    </row>
    <row r="78" spans="2:43" ht="18.75" customHeight="1">
      <c r="B78" s="21">
        <v>100060008</v>
      </c>
      <c r="C78" s="14">
        <v>10006</v>
      </c>
      <c r="D78" s="14" t="s">
        <v>122</v>
      </c>
      <c r="E78" s="21">
        <v>2002002</v>
      </c>
      <c r="F78" s="21">
        <v>1002002</v>
      </c>
      <c r="G78" s="14">
        <v>10</v>
      </c>
      <c r="H78" s="14">
        <v>99</v>
      </c>
      <c r="I78" s="21">
        <v>100020001001</v>
      </c>
      <c r="J78" s="35"/>
      <c r="K78" s="35"/>
      <c r="L78" s="14"/>
      <c r="M78" s="14"/>
      <c r="N78" s="14"/>
      <c r="O78" s="14"/>
      <c r="P78" s="24"/>
      <c r="Q78" s="35"/>
      <c r="R78" s="35"/>
      <c r="S78" s="14"/>
      <c r="T78" s="14">
        <v>1</v>
      </c>
      <c r="U78" s="14">
        <v>100060007</v>
      </c>
      <c r="V78" s="14"/>
      <c r="W78" s="35"/>
      <c r="X78" s="35"/>
      <c r="Y78" s="14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54"/>
      <c r="AK78" s="35"/>
      <c r="AL78" s="35"/>
      <c r="AM78" s="35"/>
      <c r="AN78" s="35"/>
      <c r="AO78" s="35"/>
      <c r="AP78" s="35"/>
      <c r="AQ78" s="35"/>
    </row>
    <row r="79" spans="2:43" ht="18.75" customHeight="1">
      <c r="B79" s="21">
        <v>100060009</v>
      </c>
      <c r="C79" s="14">
        <v>10006</v>
      </c>
      <c r="D79" s="14" t="s">
        <v>123</v>
      </c>
      <c r="E79" s="21">
        <v>2001001</v>
      </c>
      <c r="F79" s="21">
        <v>1001001</v>
      </c>
      <c r="G79" s="14">
        <v>10</v>
      </c>
      <c r="H79" s="14">
        <v>99</v>
      </c>
      <c r="I79" s="21">
        <v>100020001001</v>
      </c>
      <c r="J79" s="35"/>
      <c r="K79" s="35"/>
      <c r="L79" s="14"/>
      <c r="M79" s="14"/>
      <c r="N79" s="14"/>
      <c r="O79" s="14"/>
      <c r="P79" s="24"/>
      <c r="Q79" s="35"/>
      <c r="R79" s="35"/>
      <c r="S79" s="14"/>
      <c r="T79" s="14">
        <v>1</v>
      </c>
      <c r="U79" s="14">
        <v>100060008</v>
      </c>
      <c r="V79" s="14"/>
      <c r="W79" s="35"/>
      <c r="X79" s="35"/>
      <c r="Y79" s="14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54"/>
      <c r="AK79" s="35"/>
      <c r="AL79" s="35"/>
      <c r="AM79" s="35"/>
      <c r="AN79" s="35"/>
      <c r="AO79" s="35"/>
      <c r="AP79" s="35"/>
      <c r="AQ79" s="35"/>
    </row>
    <row r="80" spans="2:43" ht="18.75" customHeight="1">
      <c r="B80" s="21">
        <v>100060010</v>
      </c>
      <c r="C80" s="14">
        <v>10006</v>
      </c>
      <c r="D80" s="14" t="s">
        <v>124</v>
      </c>
      <c r="E80" s="21">
        <v>2002001</v>
      </c>
      <c r="F80" s="21">
        <v>1002001</v>
      </c>
      <c r="G80" s="14">
        <v>10</v>
      </c>
      <c r="H80" s="14">
        <v>99</v>
      </c>
      <c r="I80" s="21">
        <v>100020001001</v>
      </c>
      <c r="J80" s="35"/>
      <c r="K80" s="35"/>
      <c r="L80" s="14"/>
      <c r="M80" s="14"/>
      <c r="N80" s="14"/>
      <c r="O80" s="14"/>
      <c r="P80" s="24"/>
      <c r="Q80" s="35"/>
      <c r="R80" s="35"/>
      <c r="S80" s="14"/>
      <c r="T80" s="14">
        <v>1</v>
      </c>
      <c r="U80" s="14">
        <v>100060009</v>
      </c>
      <c r="V80" s="14"/>
      <c r="W80" s="35"/>
      <c r="X80" s="35"/>
      <c r="Y80" s="14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54"/>
      <c r="AK80" s="35"/>
      <c r="AL80" s="35"/>
      <c r="AM80" s="35"/>
      <c r="AN80" s="35"/>
      <c r="AO80" s="35"/>
      <c r="AP80" s="35"/>
      <c r="AQ80" s="35"/>
    </row>
    <row r="81" spans="2:43" ht="18.75" customHeight="1">
      <c r="B81" s="21">
        <v>100060011</v>
      </c>
      <c r="C81" s="14">
        <v>10006</v>
      </c>
      <c r="D81" s="14" t="s">
        <v>125</v>
      </c>
      <c r="E81" s="21">
        <v>2002002</v>
      </c>
      <c r="F81" s="21">
        <v>1002002</v>
      </c>
      <c r="G81" s="14">
        <v>10</v>
      </c>
      <c r="H81" s="14">
        <v>99</v>
      </c>
      <c r="I81" s="21">
        <v>100020001001</v>
      </c>
      <c r="J81" s="35"/>
      <c r="K81" s="35"/>
      <c r="L81" s="14"/>
      <c r="M81" s="14"/>
      <c r="N81" s="14"/>
      <c r="O81" s="14"/>
      <c r="P81" s="24"/>
      <c r="Q81" s="35"/>
      <c r="R81" s="35"/>
      <c r="S81" s="14"/>
      <c r="T81" s="14">
        <v>1</v>
      </c>
      <c r="U81" s="14">
        <v>100060010</v>
      </c>
      <c r="V81" s="14"/>
      <c r="W81" s="35"/>
      <c r="X81" s="35"/>
      <c r="Y81" s="14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54"/>
      <c r="AK81" s="35"/>
      <c r="AL81" s="35"/>
      <c r="AM81" s="35"/>
      <c r="AN81" s="35"/>
      <c r="AO81" s="35"/>
      <c r="AP81" s="35"/>
      <c r="AQ81" s="35"/>
    </row>
    <row r="82" spans="2:43" ht="18.75" customHeight="1">
      <c r="B82" s="21">
        <v>100060012</v>
      </c>
      <c r="C82" s="14">
        <v>10006</v>
      </c>
      <c r="D82" s="14" t="s">
        <v>126</v>
      </c>
      <c r="E82" s="21">
        <v>2001001</v>
      </c>
      <c r="F82" s="21">
        <v>1001001</v>
      </c>
      <c r="G82" s="14">
        <v>10</v>
      </c>
      <c r="H82" s="14">
        <v>99</v>
      </c>
      <c r="I82" s="21">
        <v>100020001001</v>
      </c>
      <c r="J82" s="35"/>
      <c r="K82" s="35"/>
      <c r="L82" s="14"/>
      <c r="M82" s="14"/>
      <c r="N82" s="14"/>
      <c r="O82" s="14"/>
      <c r="P82" s="24"/>
      <c r="Q82" s="35"/>
      <c r="R82" s="35"/>
      <c r="S82" s="14"/>
      <c r="T82" s="14">
        <v>1</v>
      </c>
      <c r="U82" s="14">
        <v>100060011</v>
      </c>
      <c r="V82" s="14"/>
      <c r="W82" s="35"/>
      <c r="X82" s="35"/>
      <c r="Y82" s="14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54"/>
      <c r="AK82" s="35"/>
      <c r="AL82" s="35"/>
      <c r="AM82" s="35"/>
      <c r="AN82" s="35"/>
      <c r="AO82" s="35"/>
      <c r="AP82" s="35"/>
      <c r="AQ82" s="35"/>
    </row>
    <row r="83" spans="2:43" ht="18.75" customHeight="1">
      <c r="B83" s="21">
        <v>100060013</v>
      </c>
      <c r="C83" s="14">
        <v>10006</v>
      </c>
      <c r="D83" s="14" t="s">
        <v>127</v>
      </c>
      <c r="E83" s="21">
        <v>2002001</v>
      </c>
      <c r="F83" s="21">
        <v>1002001</v>
      </c>
      <c r="G83" s="14">
        <v>10</v>
      </c>
      <c r="H83" s="14">
        <v>99</v>
      </c>
      <c r="I83" s="21">
        <v>100020001001</v>
      </c>
      <c r="J83" s="35"/>
      <c r="K83" s="35"/>
      <c r="L83" s="14"/>
      <c r="M83" s="14"/>
      <c r="N83" s="14"/>
      <c r="O83" s="14"/>
      <c r="P83" s="24"/>
      <c r="Q83" s="35"/>
      <c r="R83" s="35"/>
      <c r="S83" s="14"/>
      <c r="T83" s="14">
        <v>1</v>
      </c>
      <c r="U83" s="14">
        <v>100060012</v>
      </c>
      <c r="V83" s="14"/>
      <c r="W83" s="35"/>
      <c r="X83" s="35"/>
      <c r="Y83" s="14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54"/>
      <c r="AK83" s="35"/>
      <c r="AL83" s="35"/>
      <c r="AM83" s="35"/>
      <c r="AN83" s="35"/>
      <c r="AO83" s="35"/>
      <c r="AP83" s="35"/>
      <c r="AQ83" s="35"/>
    </row>
    <row r="84" spans="2:43" ht="18.75" customHeight="1">
      <c r="B84" s="21">
        <v>100060014</v>
      </c>
      <c r="C84" s="14">
        <v>10006</v>
      </c>
      <c r="D84" s="14" t="s">
        <v>128</v>
      </c>
      <c r="E84" s="21">
        <v>2002002</v>
      </c>
      <c r="F84" s="21">
        <v>1002002</v>
      </c>
      <c r="G84" s="14">
        <v>10</v>
      </c>
      <c r="H84" s="14">
        <v>99</v>
      </c>
      <c r="I84" s="21">
        <v>100020001001</v>
      </c>
      <c r="J84" s="35"/>
      <c r="K84" s="35"/>
      <c r="L84" s="14"/>
      <c r="M84" s="14"/>
      <c r="N84" s="14"/>
      <c r="O84" s="14"/>
      <c r="P84" s="24"/>
      <c r="Q84" s="35"/>
      <c r="R84" s="35"/>
      <c r="S84" s="14"/>
      <c r="T84" s="14">
        <v>1</v>
      </c>
      <c r="U84" s="14">
        <v>100060013</v>
      </c>
      <c r="V84" s="14"/>
      <c r="W84" s="35"/>
      <c r="X84" s="35"/>
      <c r="Y84" s="14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54"/>
      <c r="AK84" s="35"/>
      <c r="AL84" s="35"/>
      <c r="AM84" s="35"/>
      <c r="AN84" s="35"/>
      <c r="AO84" s="35"/>
      <c r="AP84" s="35"/>
      <c r="AQ84" s="35"/>
    </row>
    <row r="85" spans="2:43" ht="18.75" customHeight="1">
      <c r="B85" s="21">
        <v>200010001</v>
      </c>
      <c r="C85" s="14">
        <v>20001</v>
      </c>
      <c r="D85" s="14" t="s">
        <v>289</v>
      </c>
      <c r="E85" s="21">
        <v>2002002</v>
      </c>
      <c r="F85" s="48">
        <v>1002002</v>
      </c>
      <c r="G85" s="14">
        <v>1</v>
      </c>
      <c r="H85" s="14">
        <v>99</v>
      </c>
      <c r="I85" s="21">
        <v>100020001001</v>
      </c>
      <c r="J85" s="35"/>
      <c r="K85" s="35"/>
      <c r="L85" s="14"/>
      <c r="M85" s="14"/>
      <c r="N85" s="14">
        <v>3</v>
      </c>
      <c r="O85" s="14"/>
      <c r="P85" s="24" t="s">
        <v>294</v>
      </c>
      <c r="Q85" s="14">
        <v>4</v>
      </c>
      <c r="R85" s="35"/>
      <c r="S85" s="24" t="s">
        <v>354</v>
      </c>
      <c r="T85" s="14"/>
      <c r="U85" s="14"/>
      <c r="V85" s="14"/>
      <c r="W85" s="35"/>
      <c r="X85" s="35"/>
      <c r="Y85" s="14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54"/>
      <c r="AK85" s="35"/>
      <c r="AL85" s="35"/>
      <c r="AM85" s="35"/>
      <c r="AN85" s="35"/>
      <c r="AO85" s="35"/>
      <c r="AP85" s="35"/>
      <c r="AQ85" s="35"/>
    </row>
    <row r="86" spans="2:43" ht="18.75" customHeight="1">
      <c r="B86" s="21">
        <v>200010002</v>
      </c>
      <c r="C86" s="14">
        <v>20001</v>
      </c>
      <c r="D86" s="14" t="s">
        <v>290</v>
      </c>
      <c r="E86" s="21">
        <v>2002002</v>
      </c>
      <c r="F86" s="48">
        <v>1002002</v>
      </c>
      <c r="G86" s="14">
        <v>5</v>
      </c>
      <c r="H86" s="14">
        <v>99</v>
      </c>
      <c r="I86" s="21">
        <v>100020001001</v>
      </c>
      <c r="J86" s="35"/>
      <c r="K86" s="35"/>
      <c r="L86" s="14"/>
      <c r="M86" s="14"/>
      <c r="N86" s="14">
        <v>3</v>
      </c>
      <c r="O86" s="14"/>
      <c r="P86" s="24" t="s">
        <v>294</v>
      </c>
      <c r="Q86" s="14">
        <v>4</v>
      </c>
      <c r="R86" s="35"/>
      <c r="S86" s="24" t="s">
        <v>354</v>
      </c>
      <c r="T86" s="14">
        <v>1</v>
      </c>
      <c r="U86" s="14">
        <v>200010001</v>
      </c>
      <c r="V86" s="14"/>
      <c r="W86" s="35"/>
      <c r="X86" s="35"/>
      <c r="Y86" s="14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54"/>
      <c r="AK86" s="35"/>
      <c r="AL86" s="35"/>
      <c r="AM86" s="35"/>
      <c r="AN86" s="35"/>
      <c r="AO86" s="35"/>
      <c r="AP86" s="35"/>
      <c r="AQ86" s="35"/>
    </row>
    <row r="87" spans="2:43" ht="18.75" customHeight="1">
      <c r="B87" s="21">
        <v>200010003</v>
      </c>
      <c r="C87" s="14">
        <v>20001</v>
      </c>
      <c r="D87" s="14" t="s">
        <v>291</v>
      </c>
      <c r="E87" s="21">
        <v>2002002</v>
      </c>
      <c r="F87" s="48">
        <v>1002002</v>
      </c>
      <c r="G87" s="14">
        <v>10</v>
      </c>
      <c r="H87" s="14">
        <v>99</v>
      </c>
      <c r="I87" s="21">
        <v>100020001001</v>
      </c>
      <c r="J87" s="35"/>
      <c r="K87" s="35"/>
      <c r="L87" s="14"/>
      <c r="M87" s="14"/>
      <c r="N87" s="14">
        <v>3</v>
      </c>
      <c r="O87" s="14"/>
      <c r="P87" s="24" t="s">
        <v>294</v>
      </c>
      <c r="Q87" s="14">
        <v>4</v>
      </c>
      <c r="R87" s="35"/>
      <c r="S87" s="24" t="s">
        <v>354</v>
      </c>
      <c r="T87" s="14">
        <v>1</v>
      </c>
      <c r="U87" s="14">
        <v>200010002</v>
      </c>
      <c r="V87" s="14"/>
      <c r="W87" s="35"/>
      <c r="X87" s="35"/>
      <c r="Y87" s="14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54"/>
      <c r="AK87" s="35"/>
      <c r="AL87" s="35"/>
      <c r="AM87" s="35"/>
      <c r="AN87" s="35"/>
      <c r="AO87" s="35"/>
      <c r="AP87" s="35"/>
      <c r="AQ87" s="35"/>
    </row>
    <row r="88" spans="2:43" ht="18.75" customHeight="1">
      <c r="B88" s="21">
        <v>200010004</v>
      </c>
      <c r="C88" s="14">
        <v>20001</v>
      </c>
      <c r="D88" s="14" t="s">
        <v>292</v>
      </c>
      <c r="E88" s="21">
        <v>2002002</v>
      </c>
      <c r="F88" s="48">
        <v>1002002</v>
      </c>
      <c r="G88" s="14">
        <v>25</v>
      </c>
      <c r="H88" s="14">
        <v>99</v>
      </c>
      <c r="I88" s="21">
        <v>100020001001</v>
      </c>
      <c r="J88" s="35"/>
      <c r="K88" s="35"/>
      <c r="L88" s="14"/>
      <c r="M88" s="14"/>
      <c r="N88" s="14">
        <v>3</v>
      </c>
      <c r="O88" s="14"/>
      <c r="P88" s="24" t="s">
        <v>294</v>
      </c>
      <c r="Q88" s="14">
        <v>4</v>
      </c>
      <c r="R88" s="35"/>
      <c r="S88" s="24" t="s">
        <v>354</v>
      </c>
      <c r="T88" s="14">
        <v>1</v>
      </c>
      <c r="U88" s="14">
        <v>200010003</v>
      </c>
      <c r="V88" s="14"/>
      <c r="W88" s="35"/>
      <c r="X88" s="35"/>
      <c r="Y88" s="14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54"/>
      <c r="AK88" s="35"/>
      <c r="AL88" s="35"/>
      <c r="AM88" s="35"/>
      <c r="AN88" s="35"/>
      <c r="AO88" s="35"/>
      <c r="AP88" s="35"/>
      <c r="AQ88" s="35"/>
    </row>
    <row r="89" spans="2:43" ht="18.75" customHeight="1">
      <c r="B89" s="21">
        <v>200010005</v>
      </c>
      <c r="C89" s="14">
        <v>20001</v>
      </c>
      <c r="D89" s="14" t="s">
        <v>293</v>
      </c>
      <c r="E89" s="21">
        <v>2002002</v>
      </c>
      <c r="F89" s="48">
        <v>1002002</v>
      </c>
      <c r="G89" s="14">
        <v>50</v>
      </c>
      <c r="H89" s="14">
        <v>99</v>
      </c>
      <c r="I89" s="21">
        <v>100020001001</v>
      </c>
      <c r="J89" s="21">
        <v>100020001001</v>
      </c>
      <c r="K89" s="35"/>
      <c r="L89" s="35"/>
      <c r="M89" s="35"/>
      <c r="N89" s="25">
        <v>3</v>
      </c>
      <c r="O89" s="35"/>
      <c r="P89" s="24" t="s">
        <v>294</v>
      </c>
      <c r="Q89" s="25">
        <v>4</v>
      </c>
      <c r="R89" s="35"/>
      <c r="S89" s="24" t="s">
        <v>354</v>
      </c>
      <c r="T89" s="14">
        <v>1</v>
      </c>
      <c r="U89" s="14">
        <v>200010004</v>
      </c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6"/>
    </row>
    <row r="90" spans="2:43" ht="18.75" customHeight="1">
      <c r="B90" s="44">
        <v>300010001</v>
      </c>
      <c r="C90" s="35">
        <v>30001</v>
      </c>
      <c r="D90" s="35" t="s">
        <v>1867</v>
      </c>
      <c r="E90" s="44">
        <v>2000300010001</v>
      </c>
      <c r="F90" s="44">
        <v>1000300010001</v>
      </c>
      <c r="G90" s="35">
        <v>1</v>
      </c>
      <c r="H90" s="35">
        <v>99</v>
      </c>
      <c r="I90" s="21">
        <v>100020001001</v>
      </c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6"/>
    </row>
    <row r="91" spans="2:43" ht="18.75" customHeight="1">
      <c r="B91" s="44">
        <v>300010002</v>
      </c>
      <c r="C91" s="35">
        <v>30001</v>
      </c>
      <c r="D91" s="35" t="s">
        <v>1878</v>
      </c>
      <c r="E91" s="44">
        <v>2000300010002</v>
      </c>
      <c r="F91" s="44">
        <v>1000300010002</v>
      </c>
      <c r="G91" s="35">
        <v>5</v>
      </c>
      <c r="H91" s="35">
        <v>99</v>
      </c>
      <c r="I91" s="21">
        <v>100020001001</v>
      </c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>
        <v>1</v>
      </c>
      <c r="U91" s="35">
        <v>300010001</v>
      </c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6"/>
    </row>
    <row r="92" spans="2:43" ht="18.75" customHeight="1">
      <c r="B92" s="44">
        <v>300010003</v>
      </c>
      <c r="C92" s="35">
        <v>30001</v>
      </c>
      <c r="D92" s="35" t="s">
        <v>1879</v>
      </c>
      <c r="E92" s="44">
        <v>2000300010003</v>
      </c>
      <c r="F92" s="44">
        <v>1000300010003</v>
      </c>
      <c r="G92" s="35">
        <v>10</v>
      </c>
      <c r="H92" s="35">
        <v>99</v>
      </c>
      <c r="I92" s="21">
        <v>100020001001</v>
      </c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>
        <v>1</v>
      </c>
      <c r="U92" s="35">
        <v>300010002</v>
      </c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6"/>
    </row>
    <row r="93" spans="2:43" ht="18.75" customHeight="1">
      <c r="B93" s="44">
        <v>300010004</v>
      </c>
      <c r="C93" s="35">
        <v>30001</v>
      </c>
      <c r="D93" s="35" t="s">
        <v>1880</v>
      </c>
      <c r="E93" s="44">
        <v>2000300010004</v>
      </c>
      <c r="F93" s="44">
        <v>1000300010004</v>
      </c>
      <c r="G93" s="35">
        <v>25</v>
      </c>
      <c r="H93" s="35">
        <v>99</v>
      </c>
      <c r="I93" s="21">
        <v>100020001001</v>
      </c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>
        <v>1</v>
      </c>
      <c r="U93" s="35">
        <v>300010003</v>
      </c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6"/>
    </row>
    <row r="94" spans="2:43" ht="18.75" customHeight="1">
      <c r="B94" s="44">
        <v>300010005</v>
      </c>
      <c r="C94" s="35">
        <v>30001</v>
      </c>
      <c r="D94" s="35" t="s">
        <v>1881</v>
      </c>
      <c r="E94" s="44">
        <v>2000300010005</v>
      </c>
      <c r="F94" s="44">
        <v>1000300010005</v>
      </c>
      <c r="G94" s="35">
        <v>50</v>
      </c>
      <c r="H94" s="35">
        <v>99</v>
      </c>
      <c r="I94" s="21">
        <v>100020001001</v>
      </c>
      <c r="J94" s="21">
        <v>100020001001</v>
      </c>
      <c r="K94" s="35"/>
      <c r="L94" s="35"/>
      <c r="M94" s="35"/>
      <c r="N94" s="35"/>
      <c r="O94" s="35"/>
      <c r="P94" s="35"/>
      <c r="Q94" s="35"/>
      <c r="R94" s="35"/>
      <c r="S94" s="35"/>
      <c r="T94" s="35">
        <v>1</v>
      </c>
      <c r="U94" s="35">
        <v>300010004</v>
      </c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6"/>
    </row>
    <row r="95" spans="2:43" ht="18.75" customHeight="1">
      <c r="B95" s="44">
        <v>300020001</v>
      </c>
      <c r="C95" s="35">
        <v>30002</v>
      </c>
      <c r="D95" s="35" t="s">
        <v>1882</v>
      </c>
      <c r="E95" s="44">
        <v>2000300020001</v>
      </c>
      <c r="F95" s="44">
        <v>1000300020001</v>
      </c>
      <c r="G95" s="35">
        <v>1</v>
      </c>
      <c r="H95" s="35">
        <v>99</v>
      </c>
      <c r="I95" s="21">
        <v>100020001001</v>
      </c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6"/>
    </row>
    <row r="96" spans="2:43" ht="18.75" customHeight="1">
      <c r="B96" s="44">
        <v>300020002</v>
      </c>
      <c r="C96" s="35">
        <v>30002</v>
      </c>
      <c r="D96" s="35" t="s">
        <v>1883</v>
      </c>
      <c r="E96" s="44">
        <v>2000300020002</v>
      </c>
      <c r="F96" s="44">
        <v>1000300020002</v>
      </c>
      <c r="G96" s="35">
        <v>5</v>
      </c>
      <c r="H96" s="35">
        <v>99</v>
      </c>
      <c r="I96" s="21">
        <v>100020001001</v>
      </c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>
        <v>1</v>
      </c>
      <c r="U96" s="35">
        <v>300020001</v>
      </c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6"/>
    </row>
    <row r="97" spans="2:36" ht="18.75" customHeight="1">
      <c r="B97" s="44">
        <v>300020003</v>
      </c>
      <c r="C97" s="35">
        <v>30002</v>
      </c>
      <c r="D97" s="35" t="s">
        <v>1884</v>
      </c>
      <c r="E97" s="44">
        <v>2000300020003</v>
      </c>
      <c r="F97" s="44">
        <v>1000300020003</v>
      </c>
      <c r="G97" s="35">
        <v>10</v>
      </c>
      <c r="H97" s="35">
        <v>99</v>
      </c>
      <c r="I97" s="21">
        <v>100020001001</v>
      </c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>
        <v>1</v>
      </c>
      <c r="U97" s="35">
        <v>300020002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6"/>
    </row>
    <row r="98" spans="2:36" ht="18.75" customHeight="1">
      <c r="B98" s="44">
        <v>300020004</v>
      </c>
      <c r="C98" s="35">
        <v>30002</v>
      </c>
      <c r="D98" s="35" t="s">
        <v>1885</v>
      </c>
      <c r="E98" s="44">
        <v>2000300020004</v>
      </c>
      <c r="F98" s="44">
        <v>1000300020004</v>
      </c>
      <c r="G98" s="35">
        <v>25</v>
      </c>
      <c r="H98" s="35">
        <v>99</v>
      </c>
      <c r="I98" s="21">
        <v>100020001001</v>
      </c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>
        <v>1</v>
      </c>
      <c r="U98" s="35">
        <v>300020003</v>
      </c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6"/>
    </row>
    <row r="99" spans="2:36" ht="18.75" customHeight="1">
      <c r="B99" s="44">
        <v>300020005</v>
      </c>
      <c r="C99" s="35">
        <v>30002</v>
      </c>
      <c r="D99" s="35" t="s">
        <v>1886</v>
      </c>
      <c r="E99" s="44">
        <v>2000300020005</v>
      </c>
      <c r="F99" s="44">
        <v>1000300020005</v>
      </c>
      <c r="G99" s="35">
        <v>50</v>
      </c>
      <c r="H99" s="35">
        <v>99</v>
      </c>
      <c r="I99" s="21">
        <v>100020001001</v>
      </c>
      <c r="J99" s="21">
        <v>100020001001</v>
      </c>
      <c r="K99" s="35"/>
      <c r="L99" s="35"/>
      <c r="M99" s="35"/>
      <c r="N99" s="35"/>
      <c r="O99" s="35"/>
      <c r="P99" s="35"/>
      <c r="Q99" s="35"/>
      <c r="R99" s="35"/>
      <c r="S99" s="35"/>
      <c r="T99" s="35">
        <v>1</v>
      </c>
      <c r="U99" s="35">
        <v>300020004</v>
      </c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6"/>
    </row>
    <row r="100" spans="2:36" ht="18.75" customHeight="1">
      <c r="B100" s="44">
        <v>300030001</v>
      </c>
      <c r="C100" s="35">
        <v>30003</v>
      </c>
      <c r="D100" s="35" t="s">
        <v>1953</v>
      </c>
      <c r="E100" s="44">
        <v>2000300030001</v>
      </c>
      <c r="F100" s="44">
        <v>1000300030001</v>
      </c>
      <c r="G100" s="35">
        <v>1</v>
      </c>
      <c r="H100" s="35">
        <v>99</v>
      </c>
      <c r="I100" s="21">
        <v>100020001001</v>
      </c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>
        <v>14</v>
      </c>
      <c r="U100" s="35"/>
      <c r="V100" s="35" t="s">
        <v>1888</v>
      </c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6"/>
    </row>
    <row r="101" spans="2:36" ht="18.75" customHeight="1">
      <c r="B101" s="44">
        <v>300030002</v>
      </c>
      <c r="C101" s="35">
        <v>30003</v>
      </c>
      <c r="D101" s="35" t="s">
        <v>1954</v>
      </c>
      <c r="E101" s="44">
        <v>2000300030002</v>
      </c>
      <c r="F101" s="44">
        <v>1000300030002</v>
      </c>
      <c r="G101" s="35">
        <v>5</v>
      </c>
      <c r="H101" s="35">
        <v>99</v>
      </c>
      <c r="I101" s="21">
        <v>100020001001</v>
      </c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>
        <v>14</v>
      </c>
      <c r="U101" s="35"/>
      <c r="V101" s="35" t="s">
        <v>1888</v>
      </c>
      <c r="W101" s="35">
        <v>1</v>
      </c>
      <c r="X101" s="35">
        <v>300030001</v>
      </c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6"/>
    </row>
    <row r="102" spans="2:36" ht="18.75" customHeight="1">
      <c r="B102" s="44">
        <v>300030003</v>
      </c>
      <c r="C102" s="35">
        <v>30003</v>
      </c>
      <c r="D102" s="35" t="s">
        <v>1955</v>
      </c>
      <c r="E102" s="44">
        <v>2000300030003</v>
      </c>
      <c r="F102" s="44">
        <v>1000300030003</v>
      </c>
      <c r="G102" s="35">
        <v>10</v>
      </c>
      <c r="H102" s="35">
        <v>99</v>
      </c>
      <c r="I102" s="21">
        <v>100020001001</v>
      </c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>
        <v>14</v>
      </c>
      <c r="U102" s="35"/>
      <c r="V102" s="35" t="s">
        <v>1888</v>
      </c>
      <c r="W102" s="35">
        <v>1</v>
      </c>
      <c r="X102" s="35">
        <v>300030002</v>
      </c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6"/>
    </row>
    <row r="103" spans="2:36" ht="18.75" customHeight="1">
      <c r="B103" s="44">
        <v>300030004</v>
      </c>
      <c r="C103" s="35">
        <v>30003</v>
      </c>
      <c r="D103" s="35" t="s">
        <v>1956</v>
      </c>
      <c r="E103" s="44">
        <v>2000300030004</v>
      </c>
      <c r="F103" s="44">
        <v>1000300030004</v>
      </c>
      <c r="G103" s="35">
        <v>25</v>
      </c>
      <c r="H103" s="35">
        <v>99</v>
      </c>
      <c r="I103" s="21">
        <v>100020001001</v>
      </c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>
        <v>14</v>
      </c>
      <c r="U103" s="35"/>
      <c r="V103" s="35" t="s">
        <v>1888</v>
      </c>
      <c r="W103" s="35">
        <v>1</v>
      </c>
      <c r="X103" s="35">
        <v>300030003</v>
      </c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6"/>
    </row>
    <row r="104" spans="2:36" ht="18.75" customHeight="1">
      <c r="B104" s="44">
        <v>300030005</v>
      </c>
      <c r="C104" s="35">
        <v>30003</v>
      </c>
      <c r="D104" s="35" t="s">
        <v>1957</v>
      </c>
      <c r="E104" s="44">
        <v>2000300030005</v>
      </c>
      <c r="F104" s="44">
        <v>1000300030005</v>
      </c>
      <c r="G104" s="35">
        <v>50</v>
      </c>
      <c r="H104" s="35">
        <v>99</v>
      </c>
      <c r="I104" s="21">
        <v>100020001001</v>
      </c>
      <c r="J104" s="21">
        <v>100020001001</v>
      </c>
      <c r="K104" s="35"/>
      <c r="L104" s="35"/>
      <c r="M104" s="35"/>
      <c r="N104" s="35"/>
      <c r="O104" s="35"/>
      <c r="P104" s="35"/>
      <c r="Q104" s="35"/>
      <c r="R104" s="35"/>
      <c r="S104" s="35"/>
      <c r="T104" s="35">
        <v>14</v>
      </c>
      <c r="U104" s="35"/>
      <c r="V104" s="35" t="s">
        <v>1888</v>
      </c>
      <c r="W104" s="35">
        <v>1</v>
      </c>
      <c r="X104" s="35">
        <v>300030004</v>
      </c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6"/>
    </row>
    <row r="105" spans="2:36" ht="18.75" customHeight="1">
      <c r="B105" s="44">
        <v>300040001</v>
      </c>
      <c r="C105" s="35">
        <v>30004</v>
      </c>
      <c r="D105" s="35" t="s">
        <v>1959</v>
      </c>
      <c r="E105" s="44">
        <v>2000300040001</v>
      </c>
      <c r="F105" s="44">
        <v>1000300040001</v>
      </c>
      <c r="G105" s="35">
        <v>1</v>
      </c>
      <c r="H105" s="35">
        <v>99</v>
      </c>
      <c r="I105" s="21">
        <v>100020001001</v>
      </c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>
        <v>14</v>
      </c>
      <c r="U105" s="35"/>
      <c r="V105" s="35" t="s">
        <v>1889</v>
      </c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6"/>
    </row>
    <row r="106" spans="2:36" ht="18.75" customHeight="1">
      <c r="B106" s="44">
        <v>300040002</v>
      </c>
      <c r="C106" s="35">
        <v>30004</v>
      </c>
      <c r="D106" s="35" t="s">
        <v>1960</v>
      </c>
      <c r="E106" s="44">
        <v>2000300040002</v>
      </c>
      <c r="F106" s="44">
        <v>1000300040002</v>
      </c>
      <c r="G106" s="35">
        <v>5</v>
      </c>
      <c r="H106" s="35">
        <v>99</v>
      </c>
      <c r="I106" s="21">
        <v>100020001001</v>
      </c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>
        <v>14</v>
      </c>
      <c r="U106" s="35"/>
      <c r="V106" s="35" t="s">
        <v>1889</v>
      </c>
      <c r="W106" s="35">
        <v>1</v>
      </c>
      <c r="X106" s="35">
        <v>300040001</v>
      </c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6"/>
    </row>
    <row r="107" spans="2:36" ht="18.75" customHeight="1">
      <c r="B107" s="44">
        <v>300040003</v>
      </c>
      <c r="C107" s="35">
        <v>30004</v>
      </c>
      <c r="D107" s="35" t="s">
        <v>1961</v>
      </c>
      <c r="E107" s="44">
        <v>2000300040003</v>
      </c>
      <c r="F107" s="44">
        <v>1000300040003</v>
      </c>
      <c r="G107" s="35">
        <v>10</v>
      </c>
      <c r="H107" s="35">
        <v>99</v>
      </c>
      <c r="I107" s="21">
        <v>100020001001</v>
      </c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>
        <v>14</v>
      </c>
      <c r="U107" s="35"/>
      <c r="V107" s="35" t="s">
        <v>1889</v>
      </c>
      <c r="W107" s="35">
        <v>1</v>
      </c>
      <c r="X107" s="35">
        <v>300040002</v>
      </c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6"/>
    </row>
    <row r="108" spans="2:36" ht="18.75" customHeight="1">
      <c r="B108" s="44">
        <v>300040004</v>
      </c>
      <c r="C108" s="35">
        <v>30004</v>
      </c>
      <c r="D108" s="35" t="s">
        <v>1962</v>
      </c>
      <c r="E108" s="44">
        <v>2000300040004</v>
      </c>
      <c r="F108" s="44">
        <v>1000300040004</v>
      </c>
      <c r="G108" s="35">
        <v>25</v>
      </c>
      <c r="H108" s="35">
        <v>99</v>
      </c>
      <c r="I108" s="21">
        <v>100020001001</v>
      </c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>
        <v>14</v>
      </c>
      <c r="U108" s="35"/>
      <c r="V108" s="35" t="s">
        <v>1889</v>
      </c>
      <c r="W108" s="35">
        <v>1</v>
      </c>
      <c r="X108" s="35">
        <v>300040003</v>
      </c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6"/>
    </row>
    <row r="109" spans="2:36" ht="18.75" customHeight="1">
      <c r="B109" s="44">
        <v>300040005</v>
      </c>
      <c r="C109" s="35">
        <v>30004</v>
      </c>
      <c r="D109" s="35" t="s">
        <v>1963</v>
      </c>
      <c r="E109" s="44">
        <v>2000300040005</v>
      </c>
      <c r="F109" s="44">
        <v>1000300040005</v>
      </c>
      <c r="G109" s="35">
        <v>50</v>
      </c>
      <c r="H109" s="35">
        <v>99</v>
      </c>
      <c r="I109" s="21">
        <v>100020001001</v>
      </c>
      <c r="J109" s="21">
        <v>100020001001</v>
      </c>
      <c r="K109" s="35"/>
      <c r="L109" s="35"/>
      <c r="M109" s="35"/>
      <c r="N109" s="35"/>
      <c r="O109" s="35"/>
      <c r="P109" s="35"/>
      <c r="Q109" s="35"/>
      <c r="R109" s="35"/>
      <c r="S109" s="35"/>
      <c r="T109" s="35">
        <v>14</v>
      </c>
      <c r="U109" s="35"/>
      <c r="V109" s="35" t="s">
        <v>1889</v>
      </c>
      <c r="W109" s="35">
        <v>1</v>
      </c>
      <c r="X109" s="35">
        <v>300040004</v>
      </c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6"/>
    </row>
    <row r="110" spans="2:36" ht="18.75" customHeight="1">
      <c r="B110" s="44">
        <v>300050001</v>
      </c>
      <c r="C110" s="35">
        <v>30005</v>
      </c>
      <c r="D110" s="35" t="s">
        <v>1965</v>
      </c>
      <c r="E110" s="44">
        <v>2000300050001</v>
      </c>
      <c r="F110" s="44">
        <v>1000300050001</v>
      </c>
      <c r="G110" s="35">
        <v>1</v>
      </c>
      <c r="H110" s="35">
        <v>99</v>
      </c>
      <c r="I110" s="21">
        <v>100020001001</v>
      </c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>
        <v>14</v>
      </c>
      <c r="U110" s="35"/>
      <c r="V110" s="35" t="s">
        <v>1890</v>
      </c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6"/>
    </row>
    <row r="111" spans="2:36" ht="18.75" customHeight="1">
      <c r="B111" s="44">
        <v>300050002</v>
      </c>
      <c r="C111" s="35">
        <v>30005</v>
      </c>
      <c r="D111" s="35" t="s">
        <v>1966</v>
      </c>
      <c r="E111" s="44">
        <v>2000300050002</v>
      </c>
      <c r="F111" s="44">
        <v>1000300050002</v>
      </c>
      <c r="G111" s="35">
        <v>5</v>
      </c>
      <c r="H111" s="35">
        <v>99</v>
      </c>
      <c r="I111" s="21">
        <v>100020001001</v>
      </c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>
        <v>14</v>
      </c>
      <c r="U111" s="35"/>
      <c r="V111" s="35" t="s">
        <v>1890</v>
      </c>
      <c r="W111" s="35">
        <v>1</v>
      </c>
      <c r="X111" s="35">
        <v>300050001</v>
      </c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6"/>
    </row>
    <row r="112" spans="2:36" ht="18.75" customHeight="1">
      <c r="B112" s="44">
        <v>300050003</v>
      </c>
      <c r="C112" s="35">
        <v>30005</v>
      </c>
      <c r="D112" s="35" t="s">
        <v>1967</v>
      </c>
      <c r="E112" s="44">
        <v>2000300050003</v>
      </c>
      <c r="F112" s="44">
        <v>1000300050003</v>
      </c>
      <c r="G112" s="35">
        <v>10</v>
      </c>
      <c r="H112" s="35">
        <v>99</v>
      </c>
      <c r="I112" s="21">
        <v>100020001001</v>
      </c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>
        <v>14</v>
      </c>
      <c r="U112" s="35"/>
      <c r="V112" s="35" t="s">
        <v>1890</v>
      </c>
      <c r="W112" s="35">
        <v>1</v>
      </c>
      <c r="X112" s="35">
        <v>300050002</v>
      </c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6"/>
    </row>
    <row r="113" spans="2:36" ht="18.75" customHeight="1">
      <c r="B113" s="44">
        <v>300050004</v>
      </c>
      <c r="C113" s="35">
        <v>30005</v>
      </c>
      <c r="D113" s="35" t="s">
        <v>1968</v>
      </c>
      <c r="E113" s="44">
        <v>2000300050004</v>
      </c>
      <c r="F113" s="44">
        <v>1000300050004</v>
      </c>
      <c r="G113" s="35">
        <v>25</v>
      </c>
      <c r="H113" s="35">
        <v>99</v>
      </c>
      <c r="I113" s="21">
        <v>100020001001</v>
      </c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>
        <v>14</v>
      </c>
      <c r="U113" s="35"/>
      <c r="V113" s="35" t="s">
        <v>1890</v>
      </c>
      <c r="W113" s="35">
        <v>1</v>
      </c>
      <c r="X113" s="35">
        <v>300050003</v>
      </c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6"/>
    </row>
    <row r="114" spans="2:36" ht="18.75" customHeight="1">
      <c r="B114" s="44">
        <v>300050005</v>
      </c>
      <c r="C114" s="35">
        <v>30005</v>
      </c>
      <c r="D114" s="35" t="s">
        <v>1969</v>
      </c>
      <c r="E114" s="44">
        <v>2000300050005</v>
      </c>
      <c r="F114" s="44">
        <v>1000300050005</v>
      </c>
      <c r="G114" s="35">
        <v>50</v>
      </c>
      <c r="H114" s="35">
        <v>99</v>
      </c>
      <c r="I114" s="21">
        <v>100020001001</v>
      </c>
      <c r="J114" s="21">
        <v>100020001001</v>
      </c>
      <c r="K114" s="35"/>
      <c r="L114" s="35"/>
      <c r="M114" s="35"/>
      <c r="N114" s="35"/>
      <c r="O114" s="35"/>
      <c r="P114" s="35"/>
      <c r="Q114" s="35"/>
      <c r="R114" s="35"/>
      <c r="S114" s="35"/>
      <c r="T114" s="35">
        <v>14</v>
      </c>
      <c r="U114" s="35"/>
      <c r="V114" s="35" t="s">
        <v>1890</v>
      </c>
      <c r="W114" s="35">
        <v>1</v>
      </c>
      <c r="X114" s="35">
        <v>300050004</v>
      </c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6"/>
    </row>
    <row r="115" spans="2:36" ht="18.75" customHeight="1">
      <c r="B115" s="44">
        <v>300060001</v>
      </c>
      <c r="C115" s="35">
        <v>30006</v>
      </c>
      <c r="D115" s="35" t="s">
        <v>1971</v>
      </c>
      <c r="E115" s="44">
        <v>2000300060001</v>
      </c>
      <c r="F115" s="44">
        <v>1000300060001</v>
      </c>
      <c r="G115" s="35">
        <v>1</v>
      </c>
      <c r="H115" s="35">
        <v>99</v>
      </c>
      <c r="I115" s="21">
        <v>100020001001</v>
      </c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>
        <v>14</v>
      </c>
      <c r="U115" s="35"/>
      <c r="V115" s="35" t="s">
        <v>1891</v>
      </c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6"/>
    </row>
    <row r="116" spans="2:36" ht="18.75" customHeight="1">
      <c r="B116" s="44">
        <v>300060002</v>
      </c>
      <c r="C116" s="35">
        <v>30006</v>
      </c>
      <c r="D116" s="35" t="s">
        <v>1972</v>
      </c>
      <c r="E116" s="44">
        <v>2000300060002</v>
      </c>
      <c r="F116" s="44">
        <v>1000300060002</v>
      </c>
      <c r="G116" s="35">
        <v>5</v>
      </c>
      <c r="H116" s="35">
        <v>99</v>
      </c>
      <c r="I116" s="21">
        <v>100020001001</v>
      </c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>
        <v>14</v>
      </c>
      <c r="U116" s="35"/>
      <c r="V116" s="35" t="s">
        <v>1891</v>
      </c>
      <c r="W116" s="35">
        <v>1</v>
      </c>
      <c r="X116" s="35">
        <v>300060001</v>
      </c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6"/>
    </row>
    <row r="117" spans="2:36" ht="18.75" customHeight="1">
      <c r="B117" s="44">
        <v>300060003</v>
      </c>
      <c r="C117" s="35">
        <v>30006</v>
      </c>
      <c r="D117" s="35" t="s">
        <v>1973</v>
      </c>
      <c r="E117" s="44">
        <v>2000300060003</v>
      </c>
      <c r="F117" s="44">
        <v>1000300060003</v>
      </c>
      <c r="G117" s="35">
        <v>10</v>
      </c>
      <c r="H117" s="35">
        <v>99</v>
      </c>
      <c r="I117" s="21">
        <v>100020001001</v>
      </c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>
        <v>14</v>
      </c>
      <c r="U117" s="35"/>
      <c r="V117" s="35" t="s">
        <v>1891</v>
      </c>
      <c r="W117" s="35">
        <v>1</v>
      </c>
      <c r="X117" s="35">
        <v>300060002</v>
      </c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6"/>
    </row>
    <row r="118" spans="2:36" ht="18.75" customHeight="1">
      <c r="B118" s="44">
        <v>300060004</v>
      </c>
      <c r="C118" s="35">
        <v>30006</v>
      </c>
      <c r="D118" s="35" t="s">
        <v>1974</v>
      </c>
      <c r="E118" s="44">
        <v>2000300060004</v>
      </c>
      <c r="F118" s="44">
        <v>1000300060004</v>
      </c>
      <c r="G118" s="35">
        <v>25</v>
      </c>
      <c r="H118" s="35">
        <v>99</v>
      </c>
      <c r="I118" s="21">
        <v>100020001001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>
        <v>14</v>
      </c>
      <c r="U118" s="35"/>
      <c r="V118" s="35" t="s">
        <v>1891</v>
      </c>
      <c r="W118" s="35">
        <v>1</v>
      </c>
      <c r="X118" s="35">
        <v>300060003</v>
      </c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6"/>
    </row>
    <row r="119" spans="2:36" ht="18.75" customHeight="1">
      <c r="B119" s="44">
        <v>300060005</v>
      </c>
      <c r="C119" s="35">
        <v>30006</v>
      </c>
      <c r="D119" s="35" t="s">
        <v>1975</v>
      </c>
      <c r="E119" s="44">
        <v>2000300060005</v>
      </c>
      <c r="F119" s="44">
        <v>1000300060005</v>
      </c>
      <c r="G119" s="35">
        <v>50</v>
      </c>
      <c r="H119" s="35">
        <v>99</v>
      </c>
      <c r="I119" s="21">
        <v>100020001001</v>
      </c>
      <c r="J119" s="21">
        <v>100020001001</v>
      </c>
      <c r="K119" s="35"/>
      <c r="L119" s="35"/>
      <c r="M119" s="35"/>
      <c r="N119" s="35"/>
      <c r="O119" s="35"/>
      <c r="P119" s="35"/>
      <c r="Q119" s="35"/>
      <c r="R119" s="35"/>
      <c r="S119" s="35"/>
      <c r="T119" s="35">
        <v>14</v>
      </c>
      <c r="U119" s="35"/>
      <c r="V119" s="35" t="s">
        <v>1891</v>
      </c>
      <c r="W119" s="35">
        <v>1</v>
      </c>
      <c r="X119" s="35">
        <v>300060004</v>
      </c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6"/>
    </row>
    <row r="120" spans="2:36" ht="18.75" customHeight="1">
      <c r="B120" s="44">
        <v>300070001</v>
      </c>
      <c r="C120" s="35">
        <v>30007</v>
      </c>
      <c r="D120" s="35" t="s">
        <v>1977</v>
      </c>
      <c r="E120" s="44">
        <v>2000300070001</v>
      </c>
      <c r="F120" s="44">
        <v>1000300070001</v>
      </c>
      <c r="G120" s="35">
        <v>1</v>
      </c>
      <c r="H120" s="35">
        <v>99</v>
      </c>
      <c r="I120" s="21">
        <v>100020001001</v>
      </c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>
        <v>14</v>
      </c>
      <c r="U120" s="35"/>
      <c r="V120" s="35" t="s">
        <v>1892</v>
      </c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6"/>
    </row>
    <row r="121" spans="2:36" ht="18.75" customHeight="1">
      <c r="B121" s="44">
        <v>300070002</v>
      </c>
      <c r="C121" s="35">
        <v>30007</v>
      </c>
      <c r="D121" s="35" t="s">
        <v>1978</v>
      </c>
      <c r="E121" s="44">
        <v>2000300070002</v>
      </c>
      <c r="F121" s="44">
        <v>1000300070002</v>
      </c>
      <c r="G121" s="35">
        <v>5</v>
      </c>
      <c r="H121" s="35">
        <v>99</v>
      </c>
      <c r="I121" s="21">
        <v>100020001001</v>
      </c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>
        <v>14</v>
      </c>
      <c r="U121" s="35"/>
      <c r="V121" s="35" t="s">
        <v>1892</v>
      </c>
      <c r="W121" s="35">
        <v>1</v>
      </c>
      <c r="X121" s="35">
        <v>300070001</v>
      </c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6"/>
    </row>
    <row r="122" spans="2:36" ht="18.75" customHeight="1">
      <c r="B122" s="44">
        <v>300070003</v>
      </c>
      <c r="C122" s="35">
        <v>30007</v>
      </c>
      <c r="D122" s="35" t="s">
        <v>1979</v>
      </c>
      <c r="E122" s="44">
        <v>2000300070003</v>
      </c>
      <c r="F122" s="44">
        <v>1000300070003</v>
      </c>
      <c r="G122" s="35">
        <v>10</v>
      </c>
      <c r="H122" s="35">
        <v>99</v>
      </c>
      <c r="I122" s="21">
        <v>100020001001</v>
      </c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>
        <v>14</v>
      </c>
      <c r="U122" s="35"/>
      <c r="V122" s="35" t="s">
        <v>1892</v>
      </c>
      <c r="W122" s="35">
        <v>1</v>
      </c>
      <c r="X122" s="35">
        <v>300070002</v>
      </c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6"/>
    </row>
    <row r="123" spans="2:36" ht="18.75" customHeight="1">
      <c r="B123" s="44">
        <v>300070004</v>
      </c>
      <c r="C123" s="35">
        <v>30007</v>
      </c>
      <c r="D123" s="35" t="s">
        <v>1980</v>
      </c>
      <c r="E123" s="44">
        <v>2000300070004</v>
      </c>
      <c r="F123" s="44">
        <v>1000300070004</v>
      </c>
      <c r="G123" s="35">
        <v>25</v>
      </c>
      <c r="H123" s="35">
        <v>99</v>
      </c>
      <c r="I123" s="21">
        <v>100020001001</v>
      </c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>
        <v>14</v>
      </c>
      <c r="U123" s="35"/>
      <c r="V123" s="35" t="s">
        <v>1892</v>
      </c>
      <c r="W123" s="35">
        <v>1</v>
      </c>
      <c r="X123" s="35">
        <v>300070003</v>
      </c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6"/>
    </row>
    <row r="124" spans="2:36" ht="18.75" customHeight="1">
      <c r="B124" s="44">
        <v>300070005</v>
      </c>
      <c r="C124" s="35">
        <v>30007</v>
      </c>
      <c r="D124" s="35" t="s">
        <v>1981</v>
      </c>
      <c r="E124" s="44">
        <v>2000300070005</v>
      </c>
      <c r="F124" s="44">
        <v>1000300070005</v>
      </c>
      <c r="G124" s="35">
        <v>50</v>
      </c>
      <c r="H124" s="35">
        <v>99</v>
      </c>
      <c r="I124" s="21">
        <v>100020001001</v>
      </c>
      <c r="J124" s="21">
        <v>100020001001</v>
      </c>
      <c r="K124" s="35"/>
      <c r="L124" s="35"/>
      <c r="M124" s="35"/>
      <c r="N124" s="35"/>
      <c r="O124" s="35"/>
      <c r="P124" s="35"/>
      <c r="Q124" s="35"/>
      <c r="R124" s="35"/>
      <c r="S124" s="35"/>
      <c r="T124" s="35">
        <v>14</v>
      </c>
      <c r="U124" s="35"/>
      <c r="V124" s="35" t="s">
        <v>1892</v>
      </c>
      <c r="W124" s="35">
        <v>1</v>
      </c>
      <c r="X124" s="35">
        <v>300070004</v>
      </c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6"/>
    </row>
    <row r="125" spans="2:36" ht="18.75" customHeight="1">
      <c r="B125" s="44"/>
      <c r="C125" s="35"/>
      <c r="D125" s="35"/>
      <c r="E125" s="44"/>
      <c r="F125" s="44"/>
      <c r="G125" s="35"/>
      <c r="H125" s="35"/>
      <c r="I125" s="44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6"/>
    </row>
    <row r="126" spans="2:36" ht="18.75" customHeight="1">
      <c r="B126" s="44"/>
      <c r="C126" s="35"/>
      <c r="D126" s="35"/>
      <c r="E126" s="44"/>
      <c r="F126" s="44"/>
      <c r="G126" s="35"/>
      <c r="H126" s="35"/>
      <c r="I126" s="44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6"/>
    </row>
    <row r="127" spans="2:36" ht="18.75" customHeight="1">
      <c r="B127" s="44"/>
      <c r="C127" s="35"/>
      <c r="D127" s="35"/>
      <c r="E127" s="44"/>
      <c r="F127" s="44"/>
      <c r="G127" s="35"/>
      <c r="H127" s="35"/>
      <c r="I127" s="44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6"/>
    </row>
    <row r="128" spans="2:36" ht="18.75" customHeight="1">
      <c r="B128" s="44"/>
      <c r="C128" s="35"/>
      <c r="D128" s="35"/>
      <c r="E128" s="44"/>
      <c r="F128" s="44"/>
      <c r="G128" s="35"/>
      <c r="H128" s="35"/>
      <c r="I128" s="44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6"/>
    </row>
    <row r="129" spans="2:36" ht="18.75" customHeight="1">
      <c r="B129" s="44"/>
      <c r="C129" s="35"/>
      <c r="D129" s="35"/>
      <c r="E129" s="44"/>
      <c r="F129" s="44"/>
      <c r="G129" s="35"/>
      <c r="H129" s="35"/>
      <c r="I129" s="44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6"/>
    </row>
    <row r="130" spans="2:36" ht="18.75" customHeight="1">
      <c r="B130" s="44"/>
      <c r="C130" s="35"/>
      <c r="D130" s="35"/>
      <c r="E130" s="44"/>
      <c r="F130" s="44"/>
      <c r="G130" s="35"/>
      <c r="H130" s="35"/>
      <c r="I130" s="44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6"/>
    </row>
    <row r="131" spans="2:36" ht="18.75" customHeight="1">
      <c r="B131" s="44"/>
      <c r="C131" s="35"/>
      <c r="D131" s="35"/>
      <c r="E131" s="44"/>
      <c r="F131" s="44"/>
      <c r="G131" s="35"/>
      <c r="H131" s="35"/>
      <c r="I131" s="44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6"/>
    </row>
    <row r="132" spans="2:36" ht="18.75" customHeight="1">
      <c r="B132" s="44"/>
      <c r="C132" s="35"/>
      <c r="D132" s="35"/>
      <c r="E132" s="44"/>
      <c r="F132" s="44"/>
      <c r="G132" s="35"/>
      <c r="H132" s="35"/>
      <c r="I132" s="44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6"/>
    </row>
    <row r="133" spans="2:36" ht="18.75" customHeight="1">
      <c r="B133" s="44"/>
      <c r="C133" s="35"/>
      <c r="D133" s="35"/>
      <c r="E133" s="44"/>
      <c r="F133" s="44"/>
      <c r="G133" s="35"/>
      <c r="H133" s="35"/>
      <c r="I133" s="44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6"/>
    </row>
    <row r="134" spans="2:36" ht="18.75" customHeight="1">
      <c r="B134" s="44"/>
      <c r="C134" s="35"/>
      <c r="D134" s="35"/>
      <c r="E134" s="44"/>
      <c r="F134" s="44"/>
      <c r="G134" s="35"/>
      <c r="H134" s="35"/>
      <c r="I134" s="44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6"/>
    </row>
    <row r="135" spans="2:36" ht="18.75" customHeight="1">
      <c r="B135" s="44"/>
      <c r="C135" s="35"/>
      <c r="D135" s="35"/>
      <c r="E135" s="44"/>
      <c r="F135" s="44"/>
      <c r="G135" s="35"/>
      <c r="H135" s="35"/>
      <c r="I135" s="44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6"/>
    </row>
    <row r="136" spans="2:36" ht="18.75" customHeight="1">
      <c r="B136" s="44"/>
      <c r="C136" s="35"/>
      <c r="D136" s="35"/>
      <c r="E136" s="44"/>
      <c r="F136" s="44"/>
      <c r="G136" s="35"/>
      <c r="H136" s="35"/>
      <c r="I136" s="44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6"/>
    </row>
    <row r="137" spans="2:36" ht="18.75" customHeight="1">
      <c r="B137" s="44"/>
      <c r="C137" s="35"/>
      <c r="D137" s="35"/>
      <c r="E137" s="44"/>
      <c r="F137" s="44"/>
      <c r="G137" s="35"/>
      <c r="H137" s="35"/>
      <c r="I137" s="44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6"/>
    </row>
    <row r="138" spans="2:36" ht="18.75" customHeight="1">
      <c r="B138" s="44"/>
      <c r="C138" s="35"/>
      <c r="D138" s="35"/>
      <c r="E138" s="44"/>
      <c r="F138" s="44"/>
      <c r="G138" s="35"/>
      <c r="H138" s="35"/>
      <c r="I138" s="44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6"/>
    </row>
    <row r="139" spans="2:36" ht="18.75" customHeight="1">
      <c r="B139" s="44"/>
      <c r="C139" s="35"/>
      <c r="D139" s="35"/>
      <c r="E139" s="44"/>
      <c r="F139" s="44"/>
      <c r="G139" s="35"/>
      <c r="H139" s="35"/>
      <c r="I139" s="44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6"/>
    </row>
    <row r="140" spans="2:36" ht="18.75" customHeight="1">
      <c r="B140" s="44"/>
      <c r="C140" s="35"/>
      <c r="D140" s="35"/>
      <c r="E140" s="44"/>
      <c r="F140" s="44"/>
      <c r="G140" s="35"/>
      <c r="H140" s="35"/>
      <c r="I140" s="44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6"/>
    </row>
    <row r="141" spans="2:36" ht="18.75" customHeight="1">
      <c r="B141" s="44"/>
      <c r="C141" s="35"/>
      <c r="D141" s="35"/>
      <c r="E141" s="44"/>
      <c r="F141" s="44"/>
      <c r="G141" s="35"/>
      <c r="H141" s="35"/>
      <c r="I141" s="44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6"/>
    </row>
    <row r="142" spans="2:36" ht="18.75" customHeight="1">
      <c r="B142" s="44"/>
      <c r="C142" s="35"/>
      <c r="D142" s="35"/>
      <c r="E142" s="44"/>
      <c r="F142" s="44"/>
      <c r="G142" s="35"/>
      <c r="H142" s="35"/>
      <c r="I142" s="44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6"/>
    </row>
    <row r="143" spans="2:36" ht="18.75" customHeight="1">
      <c r="B143" s="44"/>
      <c r="C143" s="35"/>
      <c r="D143" s="35"/>
      <c r="E143" s="44"/>
      <c r="F143" s="44"/>
      <c r="G143" s="35"/>
      <c r="H143" s="35"/>
      <c r="I143" s="44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6"/>
    </row>
    <row r="144" spans="2:36" ht="18.75" customHeight="1">
      <c r="B144" s="44"/>
      <c r="C144" s="35"/>
      <c r="D144" s="35"/>
      <c r="E144" s="44"/>
      <c r="F144" s="44"/>
      <c r="G144" s="35"/>
      <c r="H144" s="35"/>
      <c r="I144" s="44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6"/>
    </row>
    <row r="145" spans="2:36" ht="18.75" customHeight="1">
      <c r="B145" s="44"/>
      <c r="C145" s="35"/>
      <c r="D145" s="35"/>
      <c r="E145" s="44"/>
      <c r="F145" s="44"/>
      <c r="G145" s="35"/>
      <c r="H145" s="35"/>
      <c r="I145" s="44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6"/>
    </row>
    <row r="146" spans="2:36" ht="18.75" customHeight="1">
      <c r="B146" s="44"/>
      <c r="C146" s="35"/>
      <c r="D146" s="35"/>
      <c r="E146" s="44"/>
      <c r="F146" s="44"/>
      <c r="G146" s="35"/>
      <c r="H146" s="35"/>
      <c r="I146" s="44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6"/>
    </row>
    <row r="147" spans="2:36" ht="18.75" customHeight="1">
      <c r="B147" s="44"/>
      <c r="C147" s="35"/>
      <c r="D147" s="35"/>
      <c r="E147" s="44"/>
      <c r="F147" s="44"/>
      <c r="G147" s="35"/>
      <c r="H147" s="35"/>
      <c r="I147" s="44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6"/>
    </row>
    <row r="148" spans="2:36" ht="18.75" customHeight="1">
      <c r="B148" s="44"/>
      <c r="C148" s="35"/>
      <c r="D148" s="35"/>
      <c r="E148" s="44"/>
      <c r="F148" s="44"/>
      <c r="G148" s="35"/>
      <c r="H148" s="35"/>
      <c r="I148" s="44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6"/>
    </row>
    <row r="149" spans="2:36" ht="18.75" customHeight="1">
      <c r="B149" s="44"/>
      <c r="C149" s="35"/>
      <c r="D149" s="35"/>
      <c r="E149" s="44"/>
      <c r="F149" s="44"/>
      <c r="G149" s="35"/>
      <c r="H149" s="35"/>
      <c r="I149" s="44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6"/>
    </row>
    <row r="150" spans="2:36" ht="18.75" customHeight="1">
      <c r="B150" s="44"/>
      <c r="C150" s="35"/>
      <c r="D150" s="35"/>
      <c r="E150" s="44"/>
      <c r="F150" s="44"/>
      <c r="G150" s="35"/>
      <c r="H150" s="35"/>
      <c r="I150" s="44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6"/>
    </row>
    <row r="151" spans="2:36" ht="18.75" customHeight="1">
      <c r="B151" s="44"/>
      <c r="C151" s="35"/>
      <c r="D151" s="35"/>
      <c r="E151" s="44"/>
      <c r="F151" s="44"/>
      <c r="G151" s="35"/>
      <c r="H151" s="35"/>
      <c r="I151" s="44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6"/>
    </row>
    <row r="152" spans="2:36" ht="18.75" customHeight="1">
      <c r="B152" s="44"/>
      <c r="C152" s="35"/>
      <c r="D152" s="35"/>
      <c r="E152" s="44"/>
      <c r="F152" s="44"/>
      <c r="G152" s="35"/>
      <c r="H152" s="35"/>
      <c r="I152" s="44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6"/>
    </row>
    <row r="153" spans="2:36" ht="18.75" customHeight="1">
      <c r="B153" s="44"/>
      <c r="C153" s="35"/>
      <c r="D153" s="35"/>
      <c r="E153" s="44"/>
      <c r="F153" s="44"/>
      <c r="G153" s="35"/>
      <c r="H153" s="35"/>
      <c r="I153" s="44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6"/>
    </row>
    <row r="154" spans="2:36" ht="18.75" customHeight="1">
      <c r="B154" s="44"/>
      <c r="C154" s="35"/>
      <c r="D154" s="35"/>
      <c r="E154" s="44"/>
      <c r="F154" s="44"/>
      <c r="G154" s="35"/>
      <c r="H154" s="35"/>
      <c r="I154" s="44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6"/>
    </row>
    <row r="155" spans="2:36" ht="18.75" customHeight="1">
      <c r="B155" s="44"/>
      <c r="C155" s="35"/>
      <c r="D155" s="35"/>
      <c r="E155" s="44"/>
      <c r="F155" s="44"/>
      <c r="G155" s="35"/>
      <c r="H155" s="35"/>
      <c r="I155" s="44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6"/>
    </row>
    <row r="156" spans="2:36" ht="18.75" customHeight="1">
      <c r="B156" s="44"/>
      <c r="C156" s="35"/>
      <c r="D156" s="35"/>
      <c r="E156" s="44"/>
      <c r="F156" s="44"/>
      <c r="G156" s="35"/>
      <c r="H156" s="35"/>
      <c r="I156" s="44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6"/>
    </row>
    <row r="157" spans="2:36" ht="18.75" customHeight="1">
      <c r="B157" s="44"/>
      <c r="C157" s="35"/>
      <c r="D157" s="35"/>
      <c r="E157" s="44"/>
      <c r="F157" s="44"/>
      <c r="G157" s="35"/>
      <c r="H157" s="35"/>
      <c r="I157" s="44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6"/>
    </row>
    <row r="158" spans="2:36" ht="18.75" customHeight="1">
      <c r="B158" s="44"/>
      <c r="C158" s="35"/>
      <c r="D158" s="35"/>
      <c r="E158" s="44"/>
      <c r="F158" s="44"/>
      <c r="G158" s="35"/>
      <c r="H158" s="35"/>
      <c r="I158" s="44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6"/>
    </row>
    <row r="159" spans="2:36" ht="18.75" customHeight="1">
      <c r="B159" s="44"/>
      <c r="C159" s="35"/>
      <c r="D159" s="35"/>
      <c r="E159" s="44"/>
      <c r="F159" s="44"/>
      <c r="G159" s="35"/>
      <c r="H159" s="35"/>
      <c r="I159" s="44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6"/>
    </row>
    <row r="160" spans="2:36" ht="18.75" customHeight="1">
      <c r="B160" s="44"/>
      <c r="C160" s="35"/>
      <c r="D160" s="35"/>
      <c r="E160" s="44"/>
      <c r="F160" s="44"/>
      <c r="G160" s="35"/>
      <c r="H160" s="35"/>
      <c r="I160" s="44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6"/>
    </row>
    <row r="161" spans="2:36" ht="18.75" customHeight="1">
      <c r="B161" s="44"/>
      <c r="C161" s="35"/>
      <c r="D161" s="35"/>
      <c r="E161" s="44"/>
      <c r="F161" s="44"/>
      <c r="G161" s="35"/>
      <c r="H161" s="35"/>
      <c r="I161" s="44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6"/>
    </row>
    <row r="162" spans="2:36" ht="18.75" customHeight="1">
      <c r="B162" s="44"/>
      <c r="C162" s="35"/>
      <c r="D162" s="35"/>
      <c r="E162" s="44"/>
      <c r="F162" s="44"/>
      <c r="G162" s="35"/>
      <c r="H162" s="35"/>
      <c r="I162" s="44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6"/>
    </row>
    <row r="163" spans="2:36" ht="18.75" customHeight="1">
      <c r="B163" s="44"/>
      <c r="C163" s="35"/>
      <c r="D163" s="35"/>
      <c r="E163" s="44"/>
      <c r="F163" s="44"/>
      <c r="G163" s="35"/>
      <c r="H163" s="35"/>
      <c r="I163" s="44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6"/>
    </row>
    <row r="164" spans="2:36" ht="18.75" customHeight="1">
      <c r="B164" s="44"/>
      <c r="C164" s="35"/>
      <c r="D164" s="35"/>
      <c r="E164" s="44"/>
      <c r="F164" s="44"/>
      <c r="G164" s="35"/>
      <c r="H164" s="35"/>
      <c r="I164" s="44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6"/>
    </row>
    <row r="165" spans="2:36" ht="18.75" customHeight="1">
      <c r="B165" s="44"/>
      <c r="C165" s="35"/>
      <c r="D165" s="35"/>
      <c r="E165" s="44"/>
      <c r="F165" s="44"/>
      <c r="G165" s="35"/>
      <c r="H165" s="35"/>
      <c r="I165" s="44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6"/>
    </row>
    <row r="166" spans="2:36" ht="18.75" customHeight="1">
      <c r="B166" s="44"/>
      <c r="C166" s="35"/>
      <c r="D166" s="35"/>
      <c r="E166" s="44"/>
      <c r="F166" s="44"/>
      <c r="G166" s="35"/>
      <c r="H166" s="35"/>
      <c r="I166" s="44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6"/>
    </row>
    <row r="167" spans="2:36" ht="18.75" customHeight="1">
      <c r="B167" s="44"/>
      <c r="C167" s="35"/>
      <c r="D167" s="35"/>
      <c r="E167" s="44"/>
      <c r="F167" s="44"/>
      <c r="G167" s="35"/>
      <c r="H167" s="35"/>
      <c r="I167" s="44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6"/>
    </row>
    <row r="168" spans="2:36" ht="18.75" customHeight="1">
      <c r="B168" s="44"/>
      <c r="C168" s="35"/>
      <c r="D168" s="35"/>
      <c r="E168" s="44"/>
      <c r="F168" s="44"/>
      <c r="G168" s="35"/>
      <c r="H168" s="35"/>
      <c r="I168" s="44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6"/>
    </row>
    <row r="169" spans="2:36" ht="18.75" customHeight="1">
      <c r="B169" s="44"/>
      <c r="C169" s="35"/>
      <c r="D169" s="35"/>
      <c r="E169" s="44"/>
      <c r="F169" s="44"/>
      <c r="G169" s="35"/>
      <c r="H169" s="35"/>
      <c r="I169" s="44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6"/>
    </row>
    <row r="170" spans="2:36" ht="18.75" customHeight="1">
      <c r="B170" s="44"/>
      <c r="C170" s="35"/>
      <c r="D170" s="35"/>
      <c r="E170" s="44"/>
      <c r="F170" s="44"/>
      <c r="G170" s="35"/>
      <c r="H170" s="35"/>
      <c r="I170" s="44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6"/>
    </row>
    <row r="171" spans="2:36" ht="18.75" customHeight="1">
      <c r="B171" s="44"/>
      <c r="C171" s="35"/>
      <c r="D171" s="35"/>
      <c r="E171" s="44"/>
      <c r="F171" s="44"/>
      <c r="G171" s="35"/>
      <c r="H171" s="35"/>
      <c r="I171" s="44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6"/>
    </row>
    <row r="172" spans="2:36" ht="18.75" customHeight="1">
      <c r="B172" s="44"/>
      <c r="C172" s="35"/>
      <c r="D172" s="35"/>
      <c r="E172" s="44"/>
      <c r="F172" s="44"/>
      <c r="G172" s="35"/>
      <c r="H172" s="35"/>
      <c r="I172" s="44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6"/>
    </row>
    <row r="173" spans="2:36" ht="18.75" customHeight="1">
      <c r="B173" s="44"/>
      <c r="C173" s="35"/>
      <c r="D173" s="35"/>
      <c r="E173" s="44"/>
      <c r="F173" s="44"/>
      <c r="G173" s="35"/>
      <c r="H173" s="35"/>
      <c r="I173" s="44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6"/>
    </row>
    <row r="174" spans="2:36" ht="18.75" customHeight="1">
      <c r="B174" s="44"/>
      <c r="C174" s="35"/>
      <c r="D174" s="35"/>
      <c r="E174" s="44"/>
      <c r="F174" s="44"/>
      <c r="G174" s="35"/>
      <c r="H174" s="35"/>
      <c r="I174" s="44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6"/>
    </row>
    <row r="175" spans="2:36" ht="18.75" customHeight="1">
      <c r="B175" s="44"/>
      <c r="C175" s="35"/>
      <c r="D175" s="35"/>
      <c r="E175" s="44"/>
      <c r="F175" s="44"/>
      <c r="G175" s="35"/>
      <c r="H175" s="35"/>
      <c r="I175" s="44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6"/>
    </row>
    <row r="176" spans="2:36" ht="18.75" customHeight="1">
      <c r="B176" s="44"/>
      <c r="C176" s="35"/>
      <c r="D176" s="35"/>
      <c r="E176" s="44"/>
      <c r="F176" s="44"/>
      <c r="G176" s="35"/>
      <c r="H176" s="35"/>
      <c r="I176" s="44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6"/>
    </row>
    <row r="177" spans="2:36" ht="18.75" customHeight="1">
      <c r="B177" s="44"/>
      <c r="C177" s="35"/>
      <c r="D177" s="35"/>
      <c r="E177" s="44"/>
      <c r="F177" s="44"/>
      <c r="G177" s="35"/>
      <c r="H177" s="35"/>
      <c r="I177" s="44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6"/>
    </row>
    <row r="178" spans="2:36" ht="18.75" customHeight="1">
      <c r="B178" s="44"/>
      <c r="C178" s="35"/>
      <c r="D178" s="35"/>
      <c r="E178" s="44"/>
      <c r="F178" s="44"/>
      <c r="G178" s="35"/>
      <c r="H178" s="35"/>
      <c r="I178" s="44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6"/>
    </row>
    <row r="179" spans="2:36" ht="18.75" customHeight="1">
      <c r="B179" s="44"/>
      <c r="C179" s="35"/>
      <c r="D179" s="35"/>
      <c r="E179" s="44"/>
      <c r="F179" s="44"/>
      <c r="G179" s="35"/>
      <c r="H179" s="35"/>
      <c r="I179" s="44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6"/>
    </row>
    <row r="180" spans="2:36" ht="18.75" customHeight="1">
      <c r="B180" s="44"/>
      <c r="C180" s="35"/>
      <c r="D180" s="35"/>
      <c r="E180" s="44"/>
      <c r="F180" s="44"/>
      <c r="G180" s="35"/>
      <c r="H180" s="35"/>
      <c r="I180" s="44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6"/>
    </row>
    <row r="181" spans="2:36" ht="18.75" customHeight="1">
      <c r="B181" s="44"/>
      <c r="C181" s="35"/>
      <c r="D181" s="35"/>
      <c r="E181" s="44"/>
      <c r="F181" s="44"/>
      <c r="G181" s="35"/>
      <c r="H181" s="35"/>
      <c r="I181" s="44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6"/>
    </row>
    <row r="182" spans="2:36" ht="18.75" customHeight="1">
      <c r="B182" s="44"/>
      <c r="C182" s="35"/>
      <c r="D182" s="35"/>
      <c r="E182" s="44"/>
      <c r="F182" s="44"/>
      <c r="G182" s="35"/>
      <c r="H182" s="35"/>
      <c r="I182" s="44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6"/>
    </row>
    <row r="183" spans="2:36" ht="18.75" customHeight="1">
      <c r="B183" s="44"/>
      <c r="C183" s="35"/>
      <c r="D183" s="35"/>
      <c r="E183" s="44"/>
      <c r="F183" s="44"/>
      <c r="G183" s="35"/>
      <c r="H183" s="35"/>
      <c r="I183" s="44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6"/>
    </row>
    <row r="184" spans="2:36" ht="18.75" customHeight="1">
      <c r="B184" s="44"/>
      <c r="C184" s="35"/>
      <c r="D184" s="35"/>
      <c r="E184" s="44"/>
      <c r="F184" s="44"/>
      <c r="G184" s="35"/>
      <c r="H184" s="35"/>
      <c r="I184" s="44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6"/>
    </row>
    <row r="185" spans="2:36" ht="18.75" customHeight="1">
      <c r="B185" s="44"/>
      <c r="C185" s="35"/>
      <c r="D185" s="35"/>
      <c r="E185" s="44"/>
      <c r="F185" s="44"/>
      <c r="G185" s="35"/>
      <c r="H185" s="35"/>
      <c r="I185" s="44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6"/>
    </row>
    <row r="186" spans="2:36" ht="18.75" customHeight="1">
      <c r="B186" s="44"/>
      <c r="C186" s="35"/>
      <c r="D186" s="35"/>
      <c r="E186" s="44"/>
      <c r="F186" s="44"/>
      <c r="G186" s="35"/>
      <c r="H186" s="35"/>
      <c r="I186" s="44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6"/>
    </row>
    <row r="187" spans="2:36" ht="18.75" customHeight="1">
      <c r="B187" s="44"/>
      <c r="C187" s="35"/>
      <c r="D187" s="35"/>
      <c r="E187" s="44"/>
      <c r="F187" s="44"/>
      <c r="G187" s="35"/>
      <c r="H187" s="35"/>
      <c r="I187" s="44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6"/>
    </row>
    <row r="188" spans="2:36" ht="18.75" customHeight="1">
      <c r="B188" s="44"/>
      <c r="C188" s="35"/>
      <c r="D188" s="35"/>
      <c r="E188" s="44"/>
      <c r="F188" s="44"/>
      <c r="G188" s="35"/>
      <c r="H188" s="35"/>
      <c r="I188" s="44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6"/>
    </row>
    <row r="189" spans="2:36" ht="18.75" customHeight="1">
      <c r="B189" s="44"/>
      <c r="C189" s="35"/>
      <c r="D189" s="35"/>
      <c r="E189" s="44"/>
      <c r="F189" s="44"/>
      <c r="G189" s="35"/>
      <c r="H189" s="35"/>
      <c r="I189" s="44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6"/>
    </row>
    <row r="190" spans="2:36" ht="18.75" customHeight="1">
      <c r="B190" s="44"/>
      <c r="C190" s="35"/>
      <c r="D190" s="35"/>
      <c r="E190" s="44"/>
      <c r="F190" s="44"/>
      <c r="G190" s="35"/>
      <c r="H190" s="35"/>
      <c r="I190" s="44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6"/>
    </row>
    <row r="191" spans="2:36" ht="18.75" customHeight="1">
      <c r="B191" s="44"/>
      <c r="C191" s="35"/>
      <c r="D191" s="35"/>
      <c r="E191" s="44"/>
      <c r="F191" s="44"/>
      <c r="G191" s="35"/>
      <c r="H191" s="35"/>
      <c r="I191" s="44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6"/>
    </row>
    <row r="192" spans="2:36" ht="18.75" customHeight="1">
      <c r="B192" s="44"/>
      <c r="C192" s="35"/>
      <c r="D192" s="35"/>
      <c r="E192" s="44"/>
      <c r="F192" s="44"/>
      <c r="G192" s="35"/>
      <c r="H192" s="35"/>
      <c r="I192" s="44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6"/>
    </row>
    <row r="193" spans="2:36" ht="18.75" customHeight="1">
      <c r="B193" s="44"/>
      <c r="C193" s="35"/>
      <c r="D193" s="35"/>
      <c r="E193" s="44"/>
      <c r="F193" s="44"/>
      <c r="G193" s="35"/>
      <c r="H193" s="35"/>
      <c r="I193" s="44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6"/>
    </row>
    <row r="194" spans="2:36" ht="18.75" customHeight="1">
      <c r="B194" s="44"/>
      <c r="C194" s="35"/>
      <c r="D194" s="35"/>
      <c r="E194" s="44"/>
      <c r="F194" s="44"/>
      <c r="G194" s="35"/>
      <c r="H194" s="35"/>
      <c r="I194" s="44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6"/>
    </row>
    <row r="195" spans="2:36" ht="18.75" customHeight="1">
      <c r="B195" s="44"/>
      <c r="C195" s="35"/>
      <c r="D195" s="35"/>
      <c r="E195" s="44"/>
      <c r="F195" s="44"/>
      <c r="G195" s="35"/>
      <c r="H195" s="35"/>
      <c r="I195" s="44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6"/>
    </row>
    <row r="196" spans="2:36" ht="18.75" customHeight="1">
      <c r="B196" s="44"/>
      <c r="C196" s="35"/>
      <c r="D196" s="35"/>
      <c r="E196" s="44"/>
      <c r="F196" s="44"/>
      <c r="G196" s="35"/>
      <c r="H196" s="35"/>
      <c r="I196" s="44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6"/>
    </row>
    <row r="197" spans="2:36" ht="18.75" customHeight="1">
      <c r="B197" s="44"/>
      <c r="C197" s="35"/>
      <c r="D197" s="35"/>
      <c r="E197" s="44"/>
      <c r="F197" s="44"/>
      <c r="G197" s="35"/>
      <c r="H197" s="35"/>
      <c r="I197" s="44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6"/>
    </row>
    <row r="198" spans="2:36" ht="18.75" customHeight="1">
      <c r="B198" s="44"/>
      <c r="C198" s="35"/>
      <c r="D198" s="35"/>
      <c r="E198" s="44"/>
      <c r="F198" s="44"/>
      <c r="G198" s="35"/>
      <c r="H198" s="35"/>
      <c r="I198" s="44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6"/>
    </row>
    <row r="199" spans="2:36" ht="18.75" customHeight="1">
      <c r="B199" s="44"/>
      <c r="C199" s="35"/>
      <c r="D199" s="35"/>
      <c r="E199" s="44"/>
      <c r="F199" s="44"/>
      <c r="G199" s="35"/>
      <c r="H199" s="35"/>
      <c r="I199" s="44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6"/>
    </row>
    <row r="200" spans="2:36" ht="18.75" customHeight="1">
      <c r="B200" s="44"/>
      <c r="C200" s="35"/>
      <c r="D200" s="35"/>
      <c r="E200" s="44"/>
      <c r="F200" s="44"/>
      <c r="G200" s="35"/>
      <c r="H200" s="35"/>
      <c r="I200" s="44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6"/>
    </row>
    <row r="201" spans="2:36" ht="18.75" customHeight="1">
      <c r="B201" s="44"/>
      <c r="C201" s="35"/>
      <c r="D201" s="35"/>
      <c r="E201" s="44"/>
      <c r="F201" s="44"/>
      <c r="G201" s="35"/>
      <c r="H201" s="35"/>
      <c r="I201" s="44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6"/>
    </row>
    <row r="202" spans="2:36" ht="18.75" customHeight="1"/>
    <row r="203" spans="2:36" ht="18.75" customHeight="1"/>
    <row r="204" spans="2:36" ht="18.75" customHeight="1"/>
    <row r="205" spans="2:36" ht="18.75" customHeight="1"/>
    <row r="206" spans="2:36" ht="18.75" customHeight="1"/>
    <row r="207" spans="2:36" ht="18.75" customHeight="1"/>
    <row r="208" spans="2:36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</sheetData>
  <phoneticPr fontId="5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226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234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227</v>
      </c>
      <c r="F7" s="4" t="s">
        <v>227</v>
      </c>
      <c r="G7" s="4" t="s">
        <v>227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/>
      <c r="D8" s="6"/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</v>
      </c>
      <c r="C10" s="15">
        <v>100010001001001</v>
      </c>
      <c r="D10" s="15">
        <v>100010001001002</v>
      </c>
      <c r="E10" s="15">
        <v>100010001001003</v>
      </c>
      <c r="F10" s="6">
        <v>0</v>
      </c>
      <c r="G10" s="6">
        <v>0</v>
      </c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100020001001</v>
      </c>
      <c r="C11" s="15">
        <v>100020001001001</v>
      </c>
      <c r="D11" s="15">
        <v>100020001001002</v>
      </c>
      <c r="E11" s="15">
        <v>100020001001003</v>
      </c>
      <c r="F11" s="15">
        <v>100020001001004</v>
      </c>
      <c r="G11" s="15">
        <v>100020001001005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6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174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175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176</v>
      </c>
      <c r="D8" s="6" t="s">
        <v>177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100010001001001</v>
      </c>
      <c r="C10" s="6">
        <v>1</v>
      </c>
      <c r="D10" s="6">
        <v>4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100010001001002</v>
      </c>
      <c r="C11" s="7">
        <v>2</v>
      </c>
      <c r="D11" s="7">
        <v>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>
        <v>100010001001003</v>
      </c>
      <c r="C12" s="7">
        <v>3</v>
      </c>
      <c r="D12" s="7">
        <v>3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>
        <v>100020001001001</v>
      </c>
      <c r="C13" s="7">
        <v>1</v>
      </c>
      <c r="D13" s="7">
        <v>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>
        <v>100020001001002</v>
      </c>
      <c r="C14" s="7">
        <v>2</v>
      </c>
      <c r="D14" s="6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>
        <v>100020001001003</v>
      </c>
      <c r="C15" s="7">
        <v>5</v>
      </c>
      <c r="D15" s="7">
        <v>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>
        <v>100020001001004</v>
      </c>
      <c r="C16" s="7">
        <v>2</v>
      </c>
      <c r="D16" s="7">
        <v>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100020001001005</v>
      </c>
      <c r="C17" s="7">
        <v>1</v>
      </c>
      <c r="D17" s="6">
        <v>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179</v>
      </c>
      <c r="E4" s="3" t="s">
        <v>180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129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6" t="s">
        <v>181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 t="s">
        <v>182</v>
      </c>
      <c r="D10" s="6">
        <v>1</v>
      </c>
      <c r="E10" s="6" t="b">
        <v>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 t="s">
        <v>183</v>
      </c>
      <c r="D11" s="7">
        <v>2</v>
      </c>
      <c r="E11" s="7" t="b">
        <v>1</v>
      </c>
      <c r="F11" s="7" t="b">
        <v>1</v>
      </c>
      <c r="G11" s="7" t="b">
        <v>1</v>
      </c>
      <c r="H11" s="7" t="b">
        <v>1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 t="s">
        <v>184</v>
      </c>
      <c r="D12" s="7">
        <v>3</v>
      </c>
      <c r="E12" s="7" t="b">
        <v>1</v>
      </c>
      <c r="F12" s="7" t="b">
        <v>1</v>
      </c>
      <c r="G12" s="7" t="b">
        <v>1</v>
      </c>
      <c r="H12" s="7" t="b">
        <v>1</v>
      </c>
      <c r="I12" s="7" t="b">
        <v>1</v>
      </c>
      <c r="J12" s="7" t="b">
        <v>1</v>
      </c>
      <c r="K12" s="7" t="b">
        <v>1</v>
      </c>
      <c r="L12" s="7" t="b">
        <v>1</v>
      </c>
      <c r="M12" s="7" t="b">
        <v>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185</v>
      </c>
      <c r="D13" s="7">
        <v>2</v>
      </c>
      <c r="E13" s="7" t="b">
        <v>1</v>
      </c>
      <c r="F13" s="7" t="b">
        <v>1</v>
      </c>
      <c r="G13" s="7" t="b">
        <v>1</v>
      </c>
      <c r="H13" s="7" t="b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 t="s">
        <v>186</v>
      </c>
      <c r="D14" s="6">
        <v>3</v>
      </c>
      <c r="E14" s="7" t="b">
        <v>1</v>
      </c>
      <c r="F14" s="7" t="b">
        <v>1</v>
      </c>
      <c r="G14" s="7" t="b">
        <v>1</v>
      </c>
      <c r="H14" s="7" t="b">
        <v>1</v>
      </c>
      <c r="I14" s="7" t="b">
        <v>0</v>
      </c>
      <c r="J14" s="7" t="b">
        <v>0</v>
      </c>
      <c r="K14" s="7" t="b">
        <v>1</v>
      </c>
      <c r="L14" s="7" t="b">
        <v>0</v>
      </c>
      <c r="M14" s="7" t="b">
        <v>0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5">
        <v>6</v>
      </c>
      <c r="C15" s="7" t="s">
        <v>187</v>
      </c>
      <c r="D15" s="7">
        <v>2</v>
      </c>
      <c r="E15" s="7" t="b">
        <v>1</v>
      </c>
      <c r="F15" s="7" t="b">
        <v>1</v>
      </c>
      <c r="G15" s="7" t="b">
        <v>0</v>
      </c>
      <c r="H15" s="7" t="b">
        <v>1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188</v>
      </c>
      <c r="D16" s="7">
        <v>3</v>
      </c>
      <c r="E16" s="7" t="b">
        <v>1</v>
      </c>
      <c r="F16" s="7" t="b">
        <v>1</v>
      </c>
      <c r="G16" s="7" t="b">
        <v>1</v>
      </c>
      <c r="H16" s="7" t="b">
        <v>0</v>
      </c>
      <c r="I16" s="7" t="b">
        <v>0</v>
      </c>
      <c r="J16" s="7" t="b">
        <v>1</v>
      </c>
      <c r="K16" s="7" t="b">
        <v>0</v>
      </c>
      <c r="L16" s="7" t="b">
        <v>0</v>
      </c>
      <c r="M16" s="7" t="b">
        <v>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8</v>
      </c>
      <c r="C17" s="7" t="s">
        <v>189</v>
      </c>
      <c r="D17" s="6">
        <v>2</v>
      </c>
      <c r="E17" s="7" t="b">
        <v>1</v>
      </c>
      <c r="F17" s="7" t="b">
        <v>0</v>
      </c>
      <c r="G17" s="7" t="b">
        <v>1</v>
      </c>
      <c r="H17" s="7" t="b">
        <v>1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190</v>
      </c>
      <c r="D18" s="7">
        <v>3</v>
      </c>
      <c r="E18" s="7" t="b">
        <v>1</v>
      </c>
      <c r="F18" s="7" t="b">
        <v>0</v>
      </c>
      <c r="G18" s="7" t="b">
        <v>0</v>
      </c>
      <c r="H18" s="7" t="b">
        <v>1</v>
      </c>
      <c r="I18" s="7" t="b">
        <v>0</v>
      </c>
      <c r="J18" s="7" t="b">
        <v>0</v>
      </c>
      <c r="K18" s="7" t="b">
        <v>1</v>
      </c>
      <c r="L18" s="7" t="b">
        <v>1</v>
      </c>
      <c r="M18" s="7" t="b">
        <v>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10</v>
      </c>
      <c r="C19" s="7" t="s">
        <v>191</v>
      </c>
      <c r="D19" s="7">
        <v>2</v>
      </c>
      <c r="E19" s="7" t="b">
        <v>0</v>
      </c>
      <c r="F19" s="7" t="b">
        <v>1</v>
      </c>
      <c r="G19" s="7" t="b">
        <v>1</v>
      </c>
      <c r="H19" s="7" t="b">
        <v>1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 t="s">
        <v>192</v>
      </c>
      <c r="D20" s="7">
        <v>3</v>
      </c>
      <c r="E20" s="7" t="b">
        <v>0</v>
      </c>
      <c r="F20" s="7" t="b">
        <v>0</v>
      </c>
      <c r="G20" s="7" t="b">
        <v>1</v>
      </c>
      <c r="H20" s="7" t="b">
        <v>0</v>
      </c>
      <c r="I20" s="7" t="b">
        <v>0</v>
      </c>
      <c r="J20" s="7" t="b">
        <v>1</v>
      </c>
      <c r="K20" s="7" t="b">
        <v>1</v>
      </c>
      <c r="L20" s="7" t="b">
        <v>1</v>
      </c>
      <c r="M20" s="7" t="b">
        <v>1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193</v>
      </c>
      <c r="D21" s="6">
        <v>2</v>
      </c>
      <c r="E21" s="7" t="b">
        <v>1</v>
      </c>
      <c r="F21" s="7" t="b"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 t="s">
        <v>194</v>
      </c>
      <c r="D22" s="7">
        <v>3</v>
      </c>
      <c r="E22" s="7" t="b">
        <v>1</v>
      </c>
      <c r="F22" s="7" t="b">
        <v>1</v>
      </c>
      <c r="G22" s="7" t="b">
        <v>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195</v>
      </c>
      <c r="D23" s="7">
        <v>4</v>
      </c>
      <c r="E23" s="7" t="b">
        <v>1</v>
      </c>
      <c r="F23" s="7" t="b">
        <v>1</v>
      </c>
      <c r="G23" s="7" t="b">
        <v>1</v>
      </c>
      <c r="H23" s="7" t="b">
        <v>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 t="s">
        <v>196</v>
      </c>
      <c r="D24" s="6">
        <v>5</v>
      </c>
      <c r="E24" s="7" t="b">
        <v>1</v>
      </c>
      <c r="F24" s="7" t="b">
        <v>1</v>
      </c>
      <c r="G24" s="7" t="b">
        <v>1</v>
      </c>
      <c r="H24" s="7" t="b">
        <v>1</v>
      </c>
      <c r="I24" s="7" t="b">
        <v>1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16</v>
      </c>
      <c r="C25" s="7" t="s">
        <v>197</v>
      </c>
      <c r="D25" s="7">
        <v>1</v>
      </c>
      <c r="E25" s="7" t="b">
        <v>1</v>
      </c>
      <c r="F25" s="7" t="b">
        <v>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198</v>
      </c>
      <c r="D26" s="7">
        <v>1</v>
      </c>
      <c r="E26" s="7" t="b">
        <v>1</v>
      </c>
      <c r="F26" s="7" t="b">
        <v>1</v>
      </c>
      <c r="G26" s="7" t="b">
        <v>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18</v>
      </c>
      <c r="C27" s="7" t="s">
        <v>199</v>
      </c>
      <c r="D27" s="7">
        <v>1</v>
      </c>
      <c r="E27" s="7" t="b">
        <v>1</v>
      </c>
      <c r="F27" s="7" t="b">
        <v>1</v>
      </c>
      <c r="G27" s="7" t="b">
        <v>1</v>
      </c>
      <c r="H27" s="7" t="b">
        <v>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200</v>
      </c>
      <c r="D28" s="6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 t="b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E8" sqref="E8"/>
      <selection pane="bottomLeft"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7" t="s">
        <v>0</v>
      </c>
      <c r="B2" s="7" t="s">
        <v>724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725</v>
      </c>
      <c r="F4" s="3" t="s">
        <v>727</v>
      </c>
      <c r="G4" s="3" t="s">
        <v>273</v>
      </c>
      <c r="H4" s="3" t="s">
        <v>264</v>
      </c>
      <c r="I4" s="3" t="s">
        <v>730</v>
      </c>
      <c r="J4" s="3" t="s">
        <v>732</v>
      </c>
      <c r="K4" s="3" t="s">
        <v>735</v>
      </c>
      <c r="L4" s="3" t="s">
        <v>737</v>
      </c>
      <c r="M4" s="3" t="s">
        <v>738</v>
      </c>
      <c r="N4" s="3" t="s">
        <v>892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227</v>
      </c>
      <c r="H7" s="4" t="s">
        <v>227</v>
      </c>
      <c r="I7" s="4" t="s">
        <v>720</v>
      </c>
      <c r="J7" s="4" t="s">
        <v>227</v>
      </c>
      <c r="K7" s="4" t="s">
        <v>227</v>
      </c>
      <c r="L7" s="4" t="s">
        <v>227</v>
      </c>
      <c r="M7" s="4" t="s">
        <v>227</v>
      </c>
      <c r="N7" s="4" t="s">
        <v>227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726</v>
      </c>
      <c r="F8" s="9" t="s">
        <v>728</v>
      </c>
      <c r="G8" s="9" t="s">
        <v>925</v>
      </c>
      <c r="H8" s="5" t="s">
        <v>729</v>
      </c>
      <c r="I8" s="6" t="s">
        <v>733</v>
      </c>
      <c r="J8" s="6" t="s">
        <v>734</v>
      </c>
      <c r="K8" s="6" t="s">
        <v>736</v>
      </c>
      <c r="L8" s="6" t="s">
        <v>740</v>
      </c>
      <c r="M8" s="6" t="s">
        <v>739</v>
      </c>
      <c r="N8" s="6" t="s">
        <v>893</v>
      </c>
      <c r="O8" s="9"/>
      <c r="P8" s="5"/>
      <c r="Q8" s="6"/>
      <c r="R8" s="5"/>
      <c r="S8" s="6"/>
      <c r="T8" s="6"/>
      <c r="U8" s="6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311.25" customHeight="1">
      <c r="A9" s="57" t="s">
        <v>12</v>
      </c>
      <c r="B9" s="5"/>
      <c r="C9" s="6"/>
      <c r="D9" s="6"/>
      <c r="E9" s="6" t="s">
        <v>858</v>
      </c>
      <c r="F9" s="6" t="s">
        <v>731</v>
      </c>
      <c r="G9" s="6" t="s">
        <v>889</v>
      </c>
      <c r="H9" s="6" t="s">
        <v>926</v>
      </c>
      <c r="I9" s="6"/>
      <c r="J9" s="6" t="s">
        <v>768</v>
      </c>
      <c r="K9" s="6"/>
      <c r="L9" s="6" t="s">
        <v>731</v>
      </c>
      <c r="M9" s="6" t="s">
        <v>741</v>
      </c>
      <c r="N9" s="6" t="s">
        <v>857</v>
      </c>
      <c r="O9" s="6"/>
      <c r="P9" s="6"/>
      <c r="Q9" s="6"/>
      <c r="R9" s="6"/>
      <c r="S9" s="6"/>
      <c r="T9" s="6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20.100000000000001" customHeight="1">
      <c r="A10" s="58" t="s">
        <v>153</v>
      </c>
      <c r="B10" s="27">
        <v>1</v>
      </c>
      <c r="C10" s="28" t="s">
        <v>742</v>
      </c>
      <c r="D10" s="28" t="s">
        <v>743</v>
      </c>
      <c r="E10" s="28">
        <v>1</v>
      </c>
      <c r="F10" s="28">
        <v>1</v>
      </c>
      <c r="G10" s="28">
        <v>2</v>
      </c>
      <c r="H10" s="28">
        <v>0</v>
      </c>
      <c r="I10" s="28" t="b">
        <v>0</v>
      </c>
      <c r="J10" s="28">
        <v>2</v>
      </c>
      <c r="K10" s="27">
        <v>0</v>
      </c>
      <c r="L10" s="27">
        <v>0</v>
      </c>
      <c r="M10" s="27">
        <v>0</v>
      </c>
      <c r="N10" s="27">
        <v>0</v>
      </c>
      <c r="O10" s="6"/>
      <c r="P10" s="5"/>
      <c r="Q10" s="5"/>
      <c r="R10" s="6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8"/>
      <c r="B11" s="29">
        <v>2</v>
      </c>
      <c r="C11" s="28" t="s">
        <v>744</v>
      </c>
      <c r="D11" s="28" t="s">
        <v>756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3</v>
      </c>
      <c r="K11" s="27">
        <v>0</v>
      </c>
      <c r="L11" s="27">
        <v>0</v>
      </c>
      <c r="M11" s="27">
        <v>0</v>
      </c>
      <c r="N11" s="29">
        <v>0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58"/>
      <c r="B12" s="29">
        <v>3</v>
      </c>
      <c r="C12" s="28" t="s">
        <v>769</v>
      </c>
      <c r="D12" s="28" t="s">
        <v>770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4</v>
      </c>
      <c r="K12" s="27">
        <v>0</v>
      </c>
      <c r="L12" s="27">
        <v>0</v>
      </c>
      <c r="M12" s="27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27">
        <v>4</v>
      </c>
      <c r="C13" s="28" t="s">
        <v>745</v>
      </c>
      <c r="D13" s="28" t="s">
        <v>757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5</v>
      </c>
      <c r="K13" s="27">
        <v>0</v>
      </c>
      <c r="L13" s="27">
        <v>0</v>
      </c>
      <c r="M13" s="27">
        <v>0</v>
      </c>
      <c r="N13" s="29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9">
        <v>5</v>
      </c>
      <c r="C14" s="28" t="s">
        <v>746</v>
      </c>
      <c r="D14" s="28" t="s">
        <v>758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7</v>
      </c>
      <c r="K14" s="27">
        <v>0</v>
      </c>
      <c r="L14" s="27">
        <v>0</v>
      </c>
      <c r="M14" s="27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6</v>
      </c>
      <c r="C15" s="28" t="s">
        <v>747</v>
      </c>
      <c r="D15" s="28" t="s">
        <v>759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8</v>
      </c>
      <c r="K15" s="27">
        <v>0</v>
      </c>
      <c r="L15" s="27">
        <v>0</v>
      </c>
      <c r="M15" s="27">
        <v>0</v>
      </c>
      <c r="N15" s="29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7</v>
      </c>
      <c r="C16" s="28" t="s">
        <v>748</v>
      </c>
      <c r="D16" s="28" t="s">
        <v>760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9</v>
      </c>
      <c r="K16" s="27">
        <v>0</v>
      </c>
      <c r="L16" s="27">
        <v>0</v>
      </c>
      <c r="M16" s="27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9">
        <v>8</v>
      </c>
      <c r="C17" s="28" t="s">
        <v>749</v>
      </c>
      <c r="D17" s="28" t="s">
        <v>761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10</v>
      </c>
      <c r="K17" s="27">
        <v>0</v>
      </c>
      <c r="L17" s="27">
        <v>0</v>
      </c>
      <c r="M17" s="27">
        <v>0</v>
      </c>
      <c r="N17" s="29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9</v>
      </c>
      <c r="C18" s="28" t="s">
        <v>750</v>
      </c>
      <c r="D18" s="28" t="s">
        <v>762</v>
      </c>
      <c r="E18" s="28">
        <v>1</v>
      </c>
      <c r="F18" s="28">
        <v>2</v>
      </c>
      <c r="G18" s="28">
        <v>2</v>
      </c>
      <c r="H18" s="28">
        <v>0</v>
      </c>
      <c r="I18" s="28" t="b">
        <v>0</v>
      </c>
      <c r="J18" s="28">
        <v>11</v>
      </c>
      <c r="K18" s="27">
        <v>0</v>
      </c>
      <c r="L18" s="27">
        <v>0</v>
      </c>
      <c r="M18" s="27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10</v>
      </c>
      <c r="C19" s="28" t="s">
        <v>751</v>
      </c>
      <c r="D19" s="28" t="s">
        <v>763</v>
      </c>
      <c r="E19" s="28">
        <v>1</v>
      </c>
      <c r="F19" s="28">
        <v>1</v>
      </c>
      <c r="G19" s="28">
        <v>2</v>
      </c>
      <c r="H19" s="28">
        <v>0</v>
      </c>
      <c r="I19" s="28" t="b">
        <v>0</v>
      </c>
      <c r="J19" s="28">
        <v>12</v>
      </c>
      <c r="K19" s="27">
        <v>0</v>
      </c>
      <c r="L19" s="27">
        <v>0</v>
      </c>
      <c r="M19" s="27">
        <v>0</v>
      </c>
      <c r="N19" s="29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9">
        <v>11</v>
      </c>
      <c r="C20" s="28" t="s">
        <v>771</v>
      </c>
      <c r="D20" s="28" t="s">
        <v>772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13</v>
      </c>
      <c r="K20" s="27">
        <v>0</v>
      </c>
      <c r="L20" s="27">
        <v>0</v>
      </c>
      <c r="M20" s="27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12</v>
      </c>
      <c r="C21" s="28" t="s">
        <v>752</v>
      </c>
      <c r="D21" s="28" t="s">
        <v>764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14</v>
      </c>
      <c r="K21" s="27">
        <v>0</v>
      </c>
      <c r="L21" s="27">
        <v>0</v>
      </c>
      <c r="M21" s="27">
        <v>0</v>
      </c>
      <c r="N21" s="29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13</v>
      </c>
      <c r="C22" s="28" t="s">
        <v>753</v>
      </c>
      <c r="D22" s="28" t="s">
        <v>765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15</v>
      </c>
      <c r="K22" s="27">
        <v>0</v>
      </c>
      <c r="L22" s="27">
        <v>0</v>
      </c>
      <c r="M22" s="27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9">
        <v>14</v>
      </c>
      <c r="C23" s="28" t="s">
        <v>754</v>
      </c>
      <c r="D23" s="28" t="s">
        <v>766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16</v>
      </c>
      <c r="K23" s="27">
        <v>0</v>
      </c>
      <c r="L23" s="27">
        <v>0</v>
      </c>
      <c r="M23" s="27">
        <v>0</v>
      </c>
      <c r="N23" s="29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15</v>
      </c>
      <c r="C24" s="28" t="s">
        <v>755</v>
      </c>
      <c r="D24" s="28" t="s">
        <v>767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17</v>
      </c>
      <c r="K24" s="27">
        <v>0</v>
      </c>
      <c r="L24" s="27">
        <v>0</v>
      </c>
      <c r="M24" s="27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16</v>
      </c>
      <c r="C25" s="28" t="s">
        <v>879</v>
      </c>
      <c r="D25" s="28" t="s">
        <v>787</v>
      </c>
      <c r="E25" s="28">
        <v>2</v>
      </c>
      <c r="F25" s="28">
        <v>2</v>
      </c>
      <c r="G25" s="28">
        <v>2</v>
      </c>
      <c r="H25" s="28">
        <v>0</v>
      </c>
      <c r="I25" s="28" t="b">
        <v>0</v>
      </c>
      <c r="J25" s="28">
        <v>2</v>
      </c>
      <c r="K25" s="27">
        <v>0</v>
      </c>
      <c r="L25" s="27">
        <v>0</v>
      </c>
      <c r="M25" s="27">
        <v>0</v>
      </c>
      <c r="N25" s="29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9">
        <v>17</v>
      </c>
      <c r="C26" s="28" t="s">
        <v>773</v>
      </c>
      <c r="D26" s="28" t="s">
        <v>788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3</v>
      </c>
      <c r="K26" s="27">
        <v>0</v>
      </c>
      <c r="L26" s="27">
        <v>0</v>
      </c>
      <c r="M26" s="27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18</v>
      </c>
      <c r="C27" s="28" t="s">
        <v>774</v>
      </c>
      <c r="D27" s="28" t="s">
        <v>789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4</v>
      </c>
      <c r="K27" s="27">
        <v>0</v>
      </c>
      <c r="L27" s="27">
        <v>0</v>
      </c>
      <c r="M27" s="27">
        <v>0</v>
      </c>
      <c r="N27" s="29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19</v>
      </c>
      <c r="C28" s="28" t="s">
        <v>775</v>
      </c>
      <c r="D28" s="28" t="s">
        <v>790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5</v>
      </c>
      <c r="K28" s="27">
        <v>0</v>
      </c>
      <c r="L28" s="27">
        <v>0</v>
      </c>
      <c r="M28" s="27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9">
        <v>20</v>
      </c>
      <c r="C29" s="28" t="s">
        <v>776</v>
      </c>
      <c r="D29" s="28" t="s">
        <v>791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7</v>
      </c>
      <c r="K29" s="27">
        <v>0</v>
      </c>
      <c r="L29" s="27">
        <v>0</v>
      </c>
      <c r="M29" s="27">
        <v>0</v>
      </c>
      <c r="N29" s="29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21</v>
      </c>
      <c r="C30" s="28" t="s">
        <v>777</v>
      </c>
      <c r="D30" s="28" t="s">
        <v>792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8</v>
      </c>
      <c r="K30" s="27">
        <v>0</v>
      </c>
      <c r="L30" s="27">
        <v>0</v>
      </c>
      <c r="M30" s="27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22</v>
      </c>
      <c r="C31" s="28" t="s">
        <v>778</v>
      </c>
      <c r="D31" s="28" t="s">
        <v>793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9</v>
      </c>
      <c r="K31" s="27">
        <v>0</v>
      </c>
      <c r="L31" s="27">
        <v>0</v>
      </c>
      <c r="M31" s="27">
        <v>0</v>
      </c>
      <c r="N31" s="29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9">
        <v>23</v>
      </c>
      <c r="C32" s="28" t="s">
        <v>779</v>
      </c>
      <c r="D32" s="28" t="s">
        <v>794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10</v>
      </c>
      <c r="K32" s="27">
        <v>0</v>
      </c>
      <c r="L32" s="27">
        <v>0</v>
      </c>
      <c r="M32" s="27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24</v>
      </c>
      <c r="C33" s="28" t="s">
        <v>780</v>
      </c>
      <c r="D33" s="28" t="s">
        <v>795</v>
      </c>
      <c r="E33" s="28">
        <v>2</v>
      </c>
      <c r="F33" s="28">
        <v>1</v>
      </c>
      <c r="G33" s="28">
        <v>2</v>
      </c>
      <c r="H33" s="28">
        <v>0</v>
      </c>
      <c r="I33" s="28" t="b">
        <v>0</v>
      </c>
      <c r="J33" s="28">
        <v>11</v>
      </c>
      <c r="K33" s="27">
        <v>0</v>
      </c>
      <c r="L33" s="27">
        <v>0</v>
      </c>
      <c r="M33" s="27">
        <v>0</v>
      </c>
      <c r="N33" s="29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25</v>
      </c>
      <c r="C34" s="28" t="s">
        <v>781</v>
      </c>
      <c r="D34" s="28" t="s">
        <v>796</v>
      </c>
      <c r="E34" s="28">
        <v>2</v>
      </c>
      <c r="F34" s="28">
        <v>2</v>
      </c>
      <c r="G34" s="28">
        <v>2</v>
      </c>
      <c r="H34" s="28">
        <v>0</v>
      </c>
      <c r="I34" s="28" t="b">
        <v>0</v>
      </c>
      <c r="J34" s="28">
        <v>12</v>
      </c>
      <c r="K34" s="27">
        <v>0</v>
      </c>
      <c r="L34" s="27">
        <v>0</v>
      </c>
      <c r="M34" s="27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9">
        <v>26</v>
      </c>
      <c r="C35" s="28" t="s">
        <v>782</v>
      </c>
      <c r="D35" s="28" t="s">
        <v>797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13</v>
      </c>
      <c r="K35" s="27">
        <v>0</v>
      </c>
      <c r="L35" s="27">
        <v>0</v>
      </c>
      <c r="M35" s="27">
        <v>0</v>
      </c>
      <c r="N35" s="29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27</v>
      </c>
      <c r="C36" s="28" t="s">
        <v>783</v>
      </c>
      <c r="D36" s="28" t="s">
        <v>798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14</v>
      </c>
      <c r="K36" s="27">
        <v>0</v>
      </c>
      <c r="L36" s="27">
        <v>0</v>
      </c>
      <c r="M36" s="27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28</v>
      </c>
      <c r="C37" s="28" t="s">
        <v>784</v>
      </c>
      <c r="D37" s="28" t="s">
        <v>799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15</v>
      </c>
      <c r="K37" s="27">
        <v>0</v>
      </c>
      <c r="L37" s="27">
        <v>0</v>
      </c>
      <c r="M37" s="27">
        <v>0</v>
      </c>
      <c r="N37" s="29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9">
        <v>29</v>
      </c>
      <c r="C38" s="28" t="s">
        <v>785</v>
      </c>
      <c r="D38" s="28" t="s">
        <v>800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16</v>
      </c>
      <c r="K38" s="27">
        <v>0</v>
      </c>
      <c r="L38" s="27">
        <v>0</v>
      </c>
      <c r="M38" s="27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30</v>
      </c>
      <c r="C39" s="28" t="s">
        <v>786</v>
      </c>
      <c r="D39" s="28" t="s">
        <v>801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17</v>
      </c>
      <c r="K39" s="27">
        <v>0</v>
      </c>
      <c r="L39" s="27">
        <v>0</v>
      </c>
      <c r="M39" s="27">
        <v>0</v>
      </c>
      <c r="N39" s="29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31</v>
      </c>
      <c r="C40" s="29" t="s">
        <v>803</v>
      </c>
      <c r="D40" s="29" t="s">
        <v>810</v>
      </c>
      <c r="E40" s="29">
        <v>3</v>
      </c>
      <c r="F40" s="29">
        <v>2</v>
      </c>
      <c r="G40" s="28">
        <v>2</v>
      </c>
      <c r="H40" s="28">
        <v>0</v>
      </c>
      <c r="I40" s="29" t="b">
        <v>0</v>
      </c>
      <c r="J40" s="29">
        <v>0</v>
      </c>
      <c r="K40" s="29">
        <v>0</v>
      </c>
      <c r="L40" s="29">
        <v>0</v>
      </c>
      <c r="M40" s="29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9">
        <v>32</v>
      </c>
      <c r="C41" s="29" t="s">
        <v>802</v>
      </c>
      <c r="D41" s="29" t="s">
        <v>811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804</v>
      </c>
      <c r="D42" s="7" t="s">
        <v>812</v>
      </c>
      <c r="E42" s="7">
        <v>3</v>
      </c>
      <c r="F42" s="7">
        <v>2</v>
      </c>
      <c r="G42" s="28">
        <v>2</v>
      </c>
      <c r="H42" s="28">
        <v>0</v>
      </c>
      <c r="I42" s="7" t="b">
        <v>0</v>
      </c>
      <c r="J42" s="7">
        <v>0</v>
      </c>
      <c r="K42" s="7">
        <v>0</v>
      </c>
      <c r="L42" s="7">
        <v>0</v>
      </c>
      <c r="M42" s="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>
        <v>34</v>
      </c>
      <c r="C43" s="7" t="s">
        <v>805</v>
      </c>
      <c r="D43" s="7" t="s">
        <v>813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9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806</v>
      </c>
      <c r="D44" s="7" t="s">
        <v>814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807</v>
      </c>
      <c r="D45" s="7" t="s">
        <v>815</v>
      </c>
      <c r="E45" s="7">
        <v>4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9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>
        <v>37</v>
      </c>
      <c r="C46" s="7" t="s">
        <v>808</v>
      </c>
      <c r="D46" s="7" t="s">
        <v>816</v>
      </c>
      <c r="E46" s="7">
        <v>5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809</v>
      </c>
      <c r="D47" s="7" t="s">
        <v>817</v>
      </c>
      <c r="E47" s="7">
        <v>6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9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818</v>
      </c>
      <c r="D48" s="7" t="s">
        <v>819</v>
      </c>
      <c r="E48" s="7">
        <v>7</v>
      </c>
      <c r="F48" s="7">
        <v>1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>
        <v>40</v>
      </c>
      <c r="C49" s="7" t="s">
        <v>821</v>
      </c>
      <c r="D49" s="7" t="s">
        <v>820</v>
      </c>
      <c r="E49" s="7">
        <v>8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31</v>
      </c>
      <c r="L49" s="7">
        <v>0</v>
      </c>
      <c r="M49" s="7">
        <v>0</v>
      </c>
      <c r="N49" s="29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>
        <v>41</v>
      </c>
      <c r="C50" s="7" t="s">
        <v>822</v>
      </c>
      <c r="D50" s="7" t="s">
        <v>859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32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7">
        <v>42</v>
      </c>
      <c r="C51" s="7" t="s">
        <v>823</v>
      </c>
      <c r="D51" s="7" t="s">
        <v>860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33</v>
      </c>
      <c r="L51" s="7">
        <v>0</v>
      </c>
      <c r="M51" s="7">
        <v>0</v>
      </c>
      <c r="N51" s="29">
        <v>0</v>
      </c>
      <c r="O51" s="13"/>
    </row>
    <row r="52" spans="1:42" ht="18.75" customHeight="1">
      <c r="B52" s="5">
        <v>43</v>
      </c>
      <c r="C52" s="7" t="s">
        <v>824</v>
      </c>
      <c r="D52" s="7" t="s">
        <v>861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34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7">
        <v>44</v>
      </c>
      <c r="C53" s="7" t="s">
        <v>825</v>
      </c>
      <c r="D53" s="7" t="s">
        <v>862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35</v>
      </c>
      <c r="L53" s="7">
        <v>0</v>
      </c>
      <c r="M53" s="7">
        <v>0</v>
      </c>
      <c r="N53" s="29">
        <v>0</v>
      </c>
      <c r="O53" s="13"/>
    </row>
    <row r="54" spans="1:42" ht="18.75" customHeight="1">
      <c r="B54" s="7">
        <v>45</v>
      </c>
      <c r="C54" s="7" t="s">
        <v>826</v>
      </c>
      <c r="D54" s="7" t="s">
        <v>863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36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5">
        <v>46</v>
      </c>
      <c r="C55" s="7" t="s">
        <v>827</v>
      </c>
      <c r="D55" s="7" t="s">
        <v>864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37</v>
      </c>
      <c r="L55" s="7">
        <v>0</v>
      </c>
      <c r="M55" s="7">
        <v>0</v>
      </c>
      <c r="N55" s="29">
        <v>0</v>
      </c>
      <c r="O55" s="13"/>
    </row>
    <row r="56" spans="1:42" ht="18.75" customHeight="1">
      <c r="B56" s="7">
        <v>47</v>
      </c>
      <c r="C56" s="7" t="s">
        <v>828</v>
      </c>
      <c r="D56" s="7" t="s">
        <v>865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38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48</v>
      </c>
      <c r="C57" s="7" t="s">
        <v>880</v>
      </c>
      <c r="D57" s="7" t="s">
        <v>829</v>
      </c>
      <c r="E57" s="7">
        <v>9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0</v>
      </c>
      <c r="L57" s="7">
        <v>1</v>
      </c>
      <c r="M57" s="7">
        <v>0</v>
      </c>
      <c r="N57" s="29">
        <v>0</v>
      </c>
      <c r="O57" s="13"/>
    </row>
    <row r="58" spans="1:42" ht="18.75" customHeight="1">
      <c r="B58" s="5">
        <v>49</v>
      </c>
      <c r="C58" s="7" t="s">
        <v>881</v>
      </c>
      <c r="D58" s="7" t="s">
        <v>830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2</v>
      </c>
      <c r="M58" s="7">
        <v>0</v>
      </c>
      <c r="N58" s="27">
        <v>0</v>
      </c>
      <c r="O58" s="13"/>
    </row>
    <row r="59" spans="1:42" ht="18.75" customHeight="1">
      <c r="B59" s="7">
        <v>50</v>
      </c>
      <c r="C59" s="7" t="s">
        <v>831</v>
      </c>
      <c r="D59" s="7" t="s">
        <v>839</v>
      </c>
      <c r="E59" s="7">
        <v>11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31</v>
      </c>
      <c r="L59" s="7">
        <v>0</v>
      </c>
      <c r="M59" s="7">
        <v>0</v>
      </c>
      <c r="N59" s="29">
        <v>0</v>
      </c>
      <c r="O59" s="13"/>
    </row>
    <row r="60" spans="1:42" ht="18.75" customHeight="1">
      <c r="B60" s="7">
        <v>51</v>
      </c>
      <c r="C60" s="7" t="s">
        <v>832</v>
      </c>
      <c r="D60" s="7" t="s">
        <v>840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32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5">
        <v>52</v>
      </c>
      <c r="C61" s="7" t="s">
        <v>833</v>
      </c>
      <c r="D61" s="7" t="s">
        <v>841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33</v>
      </c>
      <c r="L61" s="7">
        <v>0</v>
      </c>
      <c r="M61" s="7">
        <v>0</v>
      </c>
      <c r="N61" s="29">
        <v>0</v>
      </c>
      <c r="O61" s="13"/>
    </row>
    <row r="62" spans="1:42" ht="18.75" customHeight="1">
      <c r="B62" s="7">
        <v>53</v>
      </c>
      <c r="C62" s="7" t="s">
        <v>834</v>
      </c>
      <c r="D62" s="7" t="s">
        <v>842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34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54</v>
      </c>
      <c r="C63" s="7" t="s">
        <v>835</v>
      </c>
      <c r="D63" s="7" t="s">
        <v>843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35</v>
      </c>
      <c r="L63" s="7">
        <v>0</v>
      </c>
      <c r="M63" s="7">
        <v>0</v>
      </c>
      <c r="N63" s="29">
        <v>0</v>
      </c>
      <c r="O63" s="13"/>
    </row>
    <row r="64" spans="1:42" ht="18.75" customHeight="1">
      <c r="B64" s="5">
        <v>55</v>
      </c>
      <c r="C64" s="7" t="s">
        <v>836</v>
      </c>
      <c r="D64" s="7" t="s">
        <v>844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36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7">
        <v>56</v>
      </c>
      <c r="C65" s="7" t="s">
        <v>837</v>
      </c>
      <c r="D65" s="7" t="s">
        <v>845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37</v>
      </c>
      <c r="L65" s="7">
        <v>0</v>
      </c>
      <c r="M65" s="7">
        <v>0</v>
      </c>
      <c r="N65" s="29">
        <v>0</v>
      </c>
      <c r="O65" s="13"/>
    </row>
    <row r="66" spans="2:15" ht="18.75" customHeight="1">
      <c r="B66" s="7">
        <v>57</v>
      </c>
      <c r="C66" s="7" t="s">
        <v>838</v>
      </c>
      <c r="D66" s="7" t="s">
        <v>846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38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5">
        <v>58</v>
      </c>
      <c r="C67" s="7" t="s">
        <v>847</v>
      </c>
      <c r="D67" s="7" t="s">
        <v>848</v>
      </c>
      <c r="E67" s="7">
        <v>10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0</v>
      </c>
      <c r="L67" s="7">
        <v>0</v>
      </c>
      <c r="M67" s="7">
        <v>1</v>
      </c>
      <c r="N67" s="29">
        <v>0</v>
      </c>
      <c r="O67" s="13"/>
    </row>
    <row r="68" spans="2:15" ht="18.75" customHeight="1">
      <c r="B68" s="7">
        <v>59</v>
      </c>
      <c r="C68" s="7" t="s">
        <v>849</v>
      </c>
      <c r="D68" s="7" t="s">
        <v>853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2</v>
      </c>
      <c r="N68" s="27">
        <v>0</v>
      </c>
      <c r="O68" s="13"/>
    </row>
    <row r="69" spans="2:15" ht="18.75" customHeight="1">
      <c r="B69" s="7">
        <v>60</v>
      </c>
      <c r="C69" s="7" t="s">
        <v>850</v>
      </c>
      <c r="D69" s="7" t="s">
        <v>854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3</v>
      </c>
      <c r="N69" s="29">
        <v>0</v>
      </c>
      <c r="O69" s="13"/>
    </row>
    <row r="70" spans="2:15" ht="18.75" customHeight="1">
      <c r="B70" s="5">
        <v>61</v>
      </c>
      <c r="C70" s="7" t="s">
        <v>851</v>
      </c>
      <c r="D70" s="7" t="s">
        <v>855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4</v>
      </c>
      <c r="N70" s="27">
        <v>0</v>
      </c>
      <c r="O70" s="13"/>
    </row>
    <row r="71" spans="2:15" ht="18.75" customHeight="1">
      <c r="B71" s="7">
        <v>62</v>
      </c>
      <c r="C71" s="7" t="s">
        <v>852</v>
      </c>
      <c r="D71" s="7" t="s">
        <v>856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5</v>
      </c>
      <c r="N71" s="29">
        <v>0</v>
      </c>
      <c r="O71" s="13"/>
    </row>
    <row r="72" spans="2:15" ht="18.75" customHeight="1">
      <c r="B72" s="7">
        <v>63</v>
      </c>
      <c r="C72" s="7" t="s">
        <v>882</v>
      </c>
      <c r="D72" s="7" t="s">
        <v>886</v>
      </c>
      <c r="E72" s="7">
        <v>14</v>
      </c>
      <c r="F72" s="7">
        <v>2</v>
      </c>
      <c r="G72" s="28">
        <v>2</v>
      </c>
      <c r="H72" s="7">
        <v>3</v>
      </c>
      <c r="I72" s="7" t="b">
        <v>0</v>
      </c>
      <c r="J72" s="7">
        <v>0</v>
      </c>
      <c r="K72" s="7">
        <v>0</v>
      </c>
      <c r="L72" s="7">
        <v>0</v>
      </c>
      <c r="M72" s="7">
        <v>0</v>
      </c>
      <c r="N72" s="27">
        <v>1</v>
      </c>
      <c r="O72" s="13"/>
    </row>
    <row r="73" spans="2:15" ht="18.75" customHeight="1">
      <c r="B73" s="5">
        <v>64</v>
      </c>
      <c r="C73" s="7" t="s">
        <v>883</v>
      </c>
      <c r="D73" s="7" t="s">
        <v>886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9">
        <v>1</v>
      </c>
      <c r="O73" s="13"/>
    </row>
    <row r="74" spans="2:15" ht="18.75" customHeight="1">
      <c r="B74" s="7">
        <v>65</v>
      </c>
      <c r="C74" s="7" t="s">
        <v>884</v>
      </c>
      <c r="D74" s="7" t="s">
        <v>886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66</v>
      </c>
      <c r="C75" s="7" t="s">
        <v>885</v>
      </c>
      <c r="D75" s="7" t="s">
        <v>887</v>
      </c>
      <c r="E75" s="7">
        <v>14</v>
      </c>
      <c r="F75" s="7">
        <v>1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9">
        <v>2</v>
      </c>
      <c r="O75" s="13"/>
    </row>
    <row r="76" spans="2:15" ht="18.75" customHeight="1">
      <c r="B76" s="5">
        <v>67</v>
      </c>
      <c r="C76" s="7" t="s">
        <v>957</v>
      </c>
      <c r="D76" s="7" t="s">
        <v>956</v>
      </c>
      <c r="E76" s="7">
        <v>8</v>
      </c>
      <c r="F76" s="7">
        <v>1</v>
      </c>
      <c r="G76" s="28">
        <v>2</v>
      </c>
      <c r="H76" s="28">
        <v>0</v>
      </c>
      <c r="I76" s="7" t="b">
        <v>0</v>
      </c>
      <c r="J76" s="7">
        <v>0</v>
      </c>
      <c r="K76" s="7">
        <v>63</v>
      </c>
      <c r="L76" s="7">
        <v>0</v>
      </c>
      <c r="M76" s="7">
        <v>0</v>
      </c>
      <c r="N76" s="29">
        <v>0</v>
      </c>
      <c r="O76" s="13"/>
    </row>
    <row r="77" spans="2:15" ht="18.75" customHeight="1">
      <c r="B77" s="7">
        <v>68</v>
      </c>
      <c r="C77" s="7" t="s">
        <v>958</v>
      </c>
      <c r="D77" s="7" t="s">
        <v>961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64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69</v>
      </c>
      <c r="C78" s="7" t="s">
        <v>959</v>
      </c>
      <c r="D78" s="7" t="s">
        <v>962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65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5">
        <v>70</v>
      </c>
      <c r="C79" s="7" t="s">
        <v>960</v>
      </c>
      <c r="D79" s="7" t="s">
        <v>963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66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7">
        <v>71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O80" s="13"/>
    </row>
    <row r="81" spans="2:15" ht="18.75" customHeight="1">
      <c r="B81" s="7">
        <v>72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5">
        <v>73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E8" sqref="E8"/>
      <selection pane="bottomLeft" activeCell="E8" sqref="E8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7" t="s">
        <v>0</v>
      </c>
      <c r="B2" s="7" t="s">
        <v>257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974</v>
      </c>
      <c r="G4" s="3" t="s">
        <v>278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7" t="s">
        <v>5</v>
      </c>
      <c r="B6" s="3"/>
      <c r="C6" s="3"/>
      <c r="D6" s="3"/>
      <c r="E6" s="3"/>
      <c r="F6" s="3"/>
      <c r="G6" s="3" t="s">
        <v>261</v>
      </c>
      <c r="H6" s="3" t="s">
        <v>264</v>
      </c>
      <c r="I6" s="3" t="s">
        <v>950</v>
      </c>
      <c r="J6" s="3" t="s">
        <v>273</v>
      </c>
      <c r="K6" s="3" t="s">
        <v>711</v>
      </c>
      <c r="L6" s="3" t="s">
        <v>259</v>
      </c>
      <c r="M6" s="3" t="s">
        <v>260</v>
      </c>
      <c r="N6" s="3" t="s">
        <v>262</v>
      </c>
      <c r="O6" s="3" t="s">
        <v>713</v>
      </c>
      <c r="P6" s="3" t="s">
        <v>715</v>
      </c>
      <c r="Q6" s="3" t="s">
        <v>717</v>
      </c>
      <c r="R6" s="3" t="s">
        <v>282</v>
      </c>
      <c r="S6" s="3" t="s">
        <v>722</v>
      </c>
      <c r="T6" s="3" t="s">
        <v>263</v>
      </c>
      <c r="U6" s="3" t="s">
        <v>719</v>
      </c>
      <c r="V6" s="3" t="s">
        <v>261</v>
      </c>
      <c r="W6" s="3" t="s">
        <v>264</v>
      </c>
      <c r="X6" s="3" t="s">
        <v>273</v>
      </c>
      <c r="Y6" s="3" t="s">
        <v>711</v>
      </c>
      <c r="Z6" s="3" t="s">
        <v>259</v>
      </c>
      <c r="AA6" s="3" t="s">
        <v>260</v>
      </c>
      <c r="AB6" s="3" t="s">
        <v>262</v>
      </c>
      <c r="AC6" s="3" t="s">
        <v>713</v>
      </c>
      <c r="AD6" s="3" t="s">
        <v>715</v>
      </c>
      <c r="AE6" s="3" t="s">
        <v>717</v>
      </c>
      <c r="AF6" s="3" t="s">
        <v>282</v>
      </c>
      <c r="AG6" s="3" t="s">
        <v>722</v>
      </c>
      <c r="AH6" s="3" t="s">
        <v>263</v>
      </c>
      <c r="AI6" s="3" t="s">
        <v>719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7</v>
      </c>
      <c r="H7" s="4" t="s">
        <v>20</v>
      </c>
      <c r="I7" s="4" t="s">
        <v>951</v>
      </c>
      <c r="J7" s="4" t="s">
        <v>227</v>
      </c>
      <c r="K7" s="4" t="s">
        <v>227</v>
      </c>
      <c r="L7" s="4" t="s">
        <v>7</v>
      </c>
      <c r="M7" s="4" t="s">
        <v>7</v>
      </c>
      <c r="N7" s="4" t="s">
        <v>7</v>
      </c>
      <c r="O7" s="4" t="s">
        <v>9</v>
      </c>
      <c r="P7" s="4" t="s">
        <v>227</v>
      </c>
      <c r="Q7" s="4" t="s">
        <v>227</v>
      </c>
      <c r="R7" s="4" t="s">
        <v>227</v>
      </c>
      <c r="S7" s="4" t="s">
        <v>227</v>
      </c>
      <c r="T7" s="4" t="s">
        <v>7</v>
      </c>
      <c r="U7" s="4" t="s">
        <v>720</v>
      </c>
      <c r="V7" s="4" t="s">
        <v>7</v>
      </c>
      <c r="W7" s="4" t="s">
        <v>20</v>
      </c>
      <c r="X7" s="4" t="s">
        <v>227</v>
      </c>
      <c r="Y7" s="4" t="s">
        <v>227</v>
      </c>
      <c r="Z7" s="4" t="s">
        <v>7</v>
      </c>
      <c r="AA7" s="4" t="s">
        <v>7</v>
      </c>
      <c r="AB7" s="4" t="s">
        <v>7</v>
      </c>
      <c r="AC7" s="4" t="s">
        <v>9</v>
      </c>
      <c r="AD7" s="4" t="s">
        <v>227</v>
      </c>
      <c r="AE7" s="4" t="s">
        <v>227</v>
      </c>
      <c r="AF7" s="4" t="s">
        <v>227</v>
      </c>
      <c r="AG7" s="4" t="s">
        <v>227</v>
      </c>
      <c r="AH7" s="4" t="s">
        <v>7</v>
      </c>
      <c r="AI7" s="4" t="s">
        <v>720</v>
      </c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</row>
    <row r="8" spans="1:46" ht="76.5" customHeight="1">
      <c r="A8" s="57" t="s">
        <v>10</v>
      </c>
      <c r="B8" s="5" t="s">
        <v>1520</v>
      </c>
      <c r="C8" s="5" t="s">
        <v>265</v>
      </c>
      <c r="D8" s="6" t="s">
        <v>266</v>
      </c>
      <c r="E8" s="6" t="s">
        <v>274</v>
      </c>
      <c r="F8" s="6" t="s">
        <v>975</v>
      </c>
      <c r="G8" s="5" t="s">
        <v>270</v>
      </c>
      <c r="H8" s="6" t="s">
        <v>267</v>
      </c>
      <c r="I8" s="6" t="s">
        <v>952</v>
      </c>
      <c r="J8" s="6" t="s">
        <v>274</v>
      </c>
      <c r="K8" s="6" t="s">
        <v>712</v>
      </c>
      <c r="L8" s="6" t="s">
        <v>268</v>
      </c>
      <c r="M8" s="5" t="s">
        <v>269</v>
      </c>
      <c r="N8" s="6" t="s">
        <v>271</v>
      </c>
      <c r="O8" s="6" t="s">
        <v>714</v>
      </c>
      <c r="P8" s="6" t="s">
        <v>716</v>
      </c>
      <c r="Q8" s="6" t="s">
        <v>718</v>
      </c>
      <c r="R8" s="6" t="s">
        <v>283</v>
      </c>
      <c r="S8" s="6" t="s">
        <v>723</v>
      </c>
      <c r="T8" s="6" t="s">
        <v>272</v>
      </c>
      <c r="U8" s="6" t="s">
        <v>721</v>
      </c>
      <c r="V8" s="5" t="s">
        <v>270</v>
      </c>
      <c r="W8" s="6" t="s">
        <v>267</v>
      </c>
      <c r="X8" s="6" t="s">
        <v>274</v>
      </c>
      <c r="Y8" s="6" t="s">
        <v>712</v>
      </c>
      <c r="Z8" s="6" t="s">
        <v>268</v>
      </c>
      <c r="AA8" s="5" t="s">
        <v>269</v>
      </c>
      <c r="AB8" s="6" t="s">
        <v>271</v>
      </c>
      <c r="AC8" s="6" t="s">
        <v>714</v>
      </c>
      <c r="AD8" s="6" t="s">
        <v>716</v>
      </c>
      <c r="AE8" s="6" t="s">
        <v>718</v>
      </c>
      <c r="AF8" s="6" t="s">
        <v>283</v>
      </c>
      <c r="AG8" s="6" t="s">
        <v>723</v>
      </c>
      <c r="AH8" s="6" t="s">
        <v>272</v>
      </c>
      <c r="AI8" s="6" t="s">
        <v>721</v>
      </c>
      <c r="AJ8" s="6"/>
      <c r="AK8" s="6"/>
      <c r="AL8" s="5"/>
      <c r="AM8" s="5"/>
      <c r="AN8" s="5"/>
      <c r="AO8" s="5"/>
      <c r="AP8" s="5"/>
      <c r="AQ8" s="5"/>
      <c r="AR8" s="5"/>
      <c r="AS8" s="5"/>
      <c r="AT8" s="5"/>
    </row>
    <row r="9" spans="1:46" ht="327.75" customHeight="1">
      <c r="A9" s="57" t="s">
        <v>12</v>
      </c>
      <c r="B9" s="6" t="s">
        <v>1379</v>
      </c>
      <c r="C9" s="6"/>
      <c r="D9" s="6"/>
      <c r="E9" s="6" t="s">
        <v>889</v>
      </c>
      <c r="F9" s="6" t="s">
        <v>976</v>
      </c>
      <c r="G9" s="6" t="s">
        <v>857</v>
      </c>
      <c r="H9" s="6" t="s">
        <v>932</v>
      </c>
      <c r="I9" s="6"/>
      <c r="J9" s="6" t="s">
        <v>1369</v>
      </c>
      <c r="K9" s="6"/>
      <c r="L9" s="6" t="s">
        <v>977</v>
      </c>
      <c r="M9" s="6" t="s">
        <v>973</v>
      </c>
      <c r="N9" s="6"/>
      <c r="O9" s="6"/>
      <c r="P9" s="6" t="s">
        <v>973</v>
      </c>
      <c r="Q9" s="6"/>
      <c r="R9" s="5"/>
      <c r="S9" s="5"/>
      <c r="T9" s="6" t="s">
        <v>276</v>
      </c>
      <c r="U9" s="5"/>
      <c r="V9" s="6" t="s">
        <v>857</v>
      </c>
      <c r="W9" s="6" t="s">
        <v>932</v>
      </c>
      <c r="X9" s="6" t="s">
        <v>1369</v>
      </c>
      <c r="Y9" s="6"/>
      <c r="Z9" s="6" t="s">
        <v>888</v>
      </c>
      <c r="AA9" s="6" t="s">
        <v>973</v>
      </c>
      <c r="AB9" s="6"/>
      <c r="AC9" s="6"/>
      <c r="AD9" s="6" t="s">
        <v>973</v>
      </c>
      <c r="AE9" s="6"/>
      <c r="AF9" s="5"/>
      <c r="AG9" s="5"/>
      <c r="AH9" s="6" t="s">
        <v>276</v>
      </c>
      <c r="AI9" s="5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ht="20.100000000000001" customHeight="1">
      <c r="A10" s="58" t="s">
        <v>153</v>
      </c>
      <c r="B10" s="5">
        <v>100010001</v>
      </c>
      <c r="C10" s="6" t="s">
        <v>435</v>
      </c>
      <c r="D10" s="6" t="s">
        <v>504</v>
      </c>
      <c r="E10" s="6">
        <v>2</v>
      </c>
      <c r="F10" s="6">
        <v>0</v>
      </c>
      <c r="G10" s="6">
        <v>1</v>
      </c>
      <c r="H10" s="6">
        <v>25</v>
      </c>
      <c r="I10" s="6">
        <v>0</v>
      </c>
      <c r="J10" s="6">
        <v>2</v>
      </c>
      <c r="K10" s="6">
        <v>30</v>
      </c>
      <c r="L10" s="6">
        <v>14</v>
      </c>
      <c r="M10" s="6">
        <v>2</v>
      </c>
      <c r="N10" s="6">
        <v>67</v>
      </c>
      <c r="O10" s="6" t="b">
        <v>0</v>
      </c>
      <c r="P10" s="6">
        <v>0</v>
      </c>
      <c r="Q10" s="6">
        <v>0</v>
      </c>
      <c r="R10" s="5">
        <v>1</v>
      </c>
      <c r="S10" s="5">
        <v>0</v>
      </c>
      <c r="T10" s="5">
        <v>0</v>
      </c>
      <c r="U10" s="5" t="b">
        <v>1</v>
      </c>
      <c r="V10" s="5"/>
      <c r="W10" s="5"/>
      <c r="X10" s="5"/>
      <c r="Y10" s="5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8"/>
      <c r="B11" s="5">
        <v>100010002</v>
      </c>
      <c r="C11" s="6" t="s">
        <v>1380</v>
      </c>
      <c r="D11" s="6" t="s">
        <v>504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8"/>
      <c r="B12" s="5">
        <v>100010003</v>
      </c>
      <c r="C12" s="6" t="s">
        <v>1381</v>
      </c>
      <c r="D12" s="6" t="s">
        <v>504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18.75" customHeight="1">
      <c r="A13" s="58"/>
      <c r="B13" s="7">
        <v>200010001</v>
      </c>
      <c r="C13" s="6" t="s">
        <v>436</v>
      </c>
      <c r="D13" s="10" t="s">
        <v>890</v>
      </c>
      <c r="E13" s="7">
        <v>4</v>
      </c>
      <c r="F13" s="7">
        <v>1</v>
      </c>
      <c r="G13" s="7">
        <v>3</v>
      </c>
      <c r="H13" s="7">
        <v>6</v>
      </c>
      <c r="I13" s="6">
        <v>0</v>
      </c>
      <c r="J13" s="7">
        <v>4</v>
      </c>
      <c r="K13" s="6">
        <v>100</v>
      </c>
      <c r="L13" s="7">
        <v>1</v>
      </c>
      <c r="M13" s="10">
        <v>0</v>
      </c>
      <c r="N13" s="7">
        <v>64</v>
      </c>
      <c r="O13" s="6" t="b">
        <v>0</v>
      </c>
      <c r="P13" s="6">
        <v>0</v>
      </c>
      <c r="Q13" s="6">
        <v>0</v>
      </c>
      <c r="R13" s="7">
        <v>3</v>
      </c>
      <c r="S13" s="5">
        <v>2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58"/>
      <c r="B14" s="7">
        <v>200010002</v>
      </c>
      <c r="C14" s="6" t="s">
        <v>1382</v>
      </c>
      <c r="D14" s="10" t="s">
        <v>890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8"/>
      <c r="B15" s="7">
        <v>200010003</v>
      </c>
      <c r="C15" s="6" t="s">
        <v>1383</v>
      </c>
      <c r="D15" s="10" t="s">
        <v>890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300010001</v>
      </c>
      <c r="C16" s="6" t="s">
        <v>437</v>
      </c>
      <c r="D16" s="10" t="s">
        <v>505</v>
      </c>
      <c r="E16" s="7">
        <v>2</v>
      </c>
      <c r="F16" s="6">
        <v>0</v>
      </c>
      <c r="G16" s="7">
        <v>3</v>
      </c>
      <c r="H16" s="7">
        <v>24</v>
      </c>
      <c r="I16" s="6">
        <v>0</v>
      </c>
      <c r="J16" s="7">
        <v>2</v>
      </c>
      <c r="K16" s="6">
        <v>100</v>
      </c>
      <c r="L16" s="7">
        <v>30</v>
      </c>
      <c r="M16" s="7">
        <v>0</v>
      </c>
      <c r="N16" s="7">
        <v>5</v>
      </c>
      <c r="O16" s="6" t="b">
        <v>0</v>
      </c>
      <c r="P16" s="6">
        <v>0</v>
      </c>
      <c r="Q16" s="6">
        <v>0</v>
      </c>
      <c r="R16" s="7">
        <v>3</v>
      </c>
      <c r="S16" s="5">
        <v>16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300010002</v>
      </c>
      <c r="C17" s="6" t="s">
        <v>1384</v>
      </c>
      <c r="D17" s="10" t="s">
        <v>505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300010003</v>
      </c>
      <c r="C18" s="6" t="s">
        <v>1452</v>
      </c>
      <c r="D18" s="10" t="s">
        <v>505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400010001</v>
      </c>
      <c r="C19" s="6" t="s">
        <v>438</v>
      </c>
      <c r="D19" s="10" t="s">
        <v>506</v>
      </c>
      <c r="E19" s="7">
        <v>2</v>
      </c>
      <c r="F19" s="7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3</v>
      </c>
      <c r="O19" s="6" t="b">
        <v>0</v>
      </c>
      <c r="P19" s="6">
        <v>0</v>
      </c>
      <c r="Q19" s="6">
        <v>0</v>
      </c>
      <c r="R19" s="7">
        <v>3</v>
      </c>
      <c r="S19" s="5">
        <v>22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400010002</v>
      </c>
      <c r="C20" s="6" t="s">
        <v>1385</v>
      </c>
      <c r="D20" s="10" t="s">
        <v>506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400010003</v>
      </c>
      <c r="C21" s="6" t="s">
        <v>1453</v>
      </c>
      <c r="D21" s="10" t="s">
        <v>506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7">
        <v>500010001</v>
      </c>
      <c r="C22" s="6" t="s">
        <v>439</v>
      </c>
      <c r="D22" s="10" t="s">
        <v>891</v>
      </c>
      <c r="E22" s="7">
        <v>2</v>
      </c>
      <c r="F22" s="6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3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500010002</v>
      </c>
      <c r="C23" s="6" t="s">
        <v>1386</v>
      </c>
      <c r="D23" s="10" t="s">
        <v>891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500010003</v>
      </c>
      <c r="C24" s="6" t="s">
        <v>1454</v>
      </c>
      <c r="D24" s="10" t="s">
        <v>891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600010001</v>
      </c>
      <c r="C25" s="6" t="s">
        <v>440</v>
      </c>
      <c r="D25" s="10" t="s">
        <v>896</v>
      </c>
      <c r="E25" s="6">
        <v>2</v>
      </c>
      <c r="F25" s="7">
        <v>0</v>
      </c>
      <c r="G25" s="6">
        <v>3</v>
      </c>
      <c r="H25" s="6">
        <v>16</v>
      </c>
      <c r="I25" s="6">
        <v>0</v>
      </c>
      <c r="J25" s="6">
        <v>2</v>
      </c>
      <c r="K25" s="6">
        <v>100</v>
      </c>
      <c r="L25" s="6">
        <v>30</v>
      </c>
      <c r="M25" s="6">
        <v>2</v>
      </c>
      <c r="N25" s="6">
        <v>18</v>
      </c>
      <c r="O25" s="6" t="b">
        <v>0</v>
      </c>
      <c r="P25" s="6">
        <v>0</v>
      </c>
      <c r="Q25" s="6">
        <v>0</v>
      </c>
      <c r="R25" s="5">
        <v>3</v>
      </c>
      <c r="S25" s="5">
        <v>63</v>
      </c>
      <c r="T25" s="5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600010002</v>
      </c>
      <c r="C26" s="6" t="s">
        <v>1387</v>
      </c>
      <c r="D26" s="10" t="s">
        <v>896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600010003</v>
      </c>
      <c r="C27" s="6" t="s">
        <v>1455</v>
      </c>
      <c r="D27" s="10" t="s">
        <v>896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700010001</v>
      </c>
      <c r="C28" s="6" t="s">
        <v>441</v>
      </c>
      <c r="D28" s="10" t="s">
        <v>897</v>
      </c>
      <c r="E28" s="7">
        <v>2</v>
      </c>
      <c r="F28" s="6">
        <v>0</v>
      </c>
      <c r="G28" s="7">
        <v>2</v>
      </c>
      <c r="H28" s="7">
        <v>24</v>
      </c>
      <c r="I28" s="6">
        <v>0</v>
      </c>
      <c r="J28" s="7">
        <v>5</v>
      </c>
      <c r="K28" s="6">
        <v>100</v>
      </c>
      <c r="L28" s="7">
        <v>1</v>
      </c>
      <c r="M28" s="7">
        <v>4</v>
      </c>
      <c r="N28" s="7">
        <v>25</v>
      </c>
      <c r="O28" s="6" t="b">
        <v>0</v>
      </c>
      <c r="P28" s="6">
        <v>0</v>
      </c>
      <c r="Q28" s="6">
        <v>0</v>
      </c>
      <c r="R28" s="7">
        <v>49</v>
      </c>
      <c r="S28" s="5">
        <v>0</v>
      </c>
      <c r="T28" s="7">
        <v>0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700010002</v>
      </c>
      <c r="C29" s="6" t="s">
        <v>1388</v>
      </c>
      <c r="D29" s="10" t="s">
        <v>897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700010003</v>
      </c>
      <c r="C30" s="6" t="s">
        <v>1456</v>
      </c>
      <c r="D30" s="10" t="s">
        <v>897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7">
        <v>800010001</v>
      </c>
      <c r="C31" s="6" t="s">
        <v>442</v>
      </c>
      <c r="D31" s="6" t="s">
        <v>504</v>
      </c>
      <c r="E31" s="7">
        <v>2</v>
      </c>
      <c r="F31" s="7">
        <v>0</v>
      </c>
      <c r="G31" s="7">
        <v>1</v>
      </c>
      <c r="H31" s="7">
        <v>25</v>
      </c>
      <c r="I31" s="6">
        <v>0</v>
      </c>
      <c r="J31" s="7">
        <v>2</v>
      </c>
      <c r="K31" s="6">
        <v>100</v>
      </c>
      <c r="L31" s="7">
        <v>14</v>
      </c>
      <c r="M31" s="7">
        <v>2</v>
      </c>
      <c r="N31" s="7">
        <v>67</v>
      </c>
      <c r="O31" s="6" t="b">
        <v>0</v>
      </c>
      <c r="P31" s="6">
        <v>0</v>
      </c>
      <c r="Q31" s="6">
        <v>0</v>
      </c>
      <c r="R31" s="7">
        <v>1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5">
        <v>800010002</v>
      </c>
      <c r="C32" s="6" t="s">
        <v>1389</v>
      </c>
      <c r="D32" s="6" t="s">
        <v>504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800010003</v>
      </c>
      <c r="C33" s="6" t="s">
        <v>1457</v>
      </c>
      <c r="D33" s="6" t="s">
        <v>504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900010001</v>
      </c>
      <c r="C34" s="6" t="s">
        <v>443</v>
      </c>
      <c r="D34" s="10" t="s">
        <v>917</v>
      </c>
      <c r="E34" s="7">
        <v>4</v>
      </c>
      <c r="F34" s="6">
        <v>1</v>
      </c>
      <c r="G34" s="7">
        <v>3</v>
      </c>
      <c r="H34" s="7">
        <v>6</v>
      </c>
      <c r="I34" s="6">
        <v>0</v>
      </c>
      <c r="J34" s="7">
        <v>4</v>
      </c>
      <c r="K34" s="6">
        <v>100</v>
      </c>
      <c r="L34" s="7">
        <v>1</v>
      </c>
      <c r="M34" s="7">
        <v>0</v>
      </c>
      <c r="N34" s="7">
        <v>64</v>
      </c>
      <c r="O34" s="6" t="b">
        <v>0</v>
      </c>
      <c r="P34" s="6">
        <v>0</v>
      </c>
      <c r="Q34" s="6">
        <v>0</v>
      </c>
      <c r="R34" s="7">
        <v>3</v>
      </c>
      <c r="S34" s="5">
        <v>1</v>
      </c>
      <c r="T34" s="7">
        <v>3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900010002</v>
      </c>
      <c r="C35" s="6" t="s">
        <v>1390</v>
      </c>
      <c r="D35" s="10" t="s">
        <v>917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900010003</v>
      </c>
      <c r="C36" s="6" t="s">
        <v>1458</v>
      </c>
      <c r="D36" s="10" t="s">
        <v>917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1000010001</v>
      </c>
      <c r="C37" s="6" t="s">
        <v>444</v>
      </c>
      <c r="D37" s="10" t="s">
        <v>505</v>
      </c>
      <c r="E37" s="7">
        <v>2</v>
      </c>
      <c r="F37" s="7">
        <v>0</v>
      </c>
      <c r="G37" s="7">
        <v>3</v>
      </c>
      <c r="H37" s="7">
        <v>24</v>
      </c>
      <c r="I37" s="6">
        <v>0</v>
      </c>
      <c r="J37" s="7">
        <v>2</v>
      </c>
      <c r="K37" s="6">
        <v>100</v>
      </c>
      <c r="L37" s="7">
        <v>30</v>
      </c>
      <c r="M37" s="7">
        <v>0</v>
      </c>
      <c r="N37" s="7">
        <v>5</v>
      </c>
      <c r="O37" s="6" t="b">
        <v>0</v>
      </c>
      <c r="P37" s="6">
        <v>0</v>
      </c>
      <c r="Q37" s="6">
        <v>0</v>
      </c>
      <c r="R37" s="7">
        <v>3</v>
      </c>
      <c r="S37" s="5">
        <v>16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1000010002</v>
      </c>
      <c r="C38" s="6" t="s">
        <v>1391</v>
      </c>
      <c r="D38" s="10" t="s">
        <v>505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1000010003</v>
      </c>
      <c r="C39" s="6" t="s">
        <v>1459</v>
      </c>
      <c r="D39" s="10" t="s">
        <v>505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7">
        <v>1100010001</v>
      </c>
      <c r="C40" s="6" t="s">
        <v>445</v>
      </c>
      <c r="D40" s="10" t="s">
        <v>506</v>
      </c>
      <c r="E40" s="6">
        <v>2</v>
      </c>
      <c r="F40" s="6">
        <v>0</v>
      </c>
      <c r="G40" s="6">
        <v>3</v>
      </c>
      <c r="H40" s="6">
        <v>24</v>
      </c>
      <c r="I40" s="6">
        <v>0</v>
      </c>
      <c r="J40" s="6">
        <v>2</v>
      </c>
      <c r="K40" s="6">
        <v>100</v>
      </c>
      <c r="L40" s="6">
        <v>30</v>
      </c>
      <c r="M40" s="6">
        <v>0</v>
      </c>
      <c r="N40" s="6">
        <v>5</v>
      </c>
      <c r="O40" s="6" t="b">
        <v>0</v>
      </c>
      <c r="P40" s="6">
        <v>0</v>
      </c>
      <c r="Q40" s="6">
        <v>0</v>
      </c>
      <c r="R40" s="5">
        <v>3</v>
      </c>
      <c r="S40" s="5">
        <v>22</v>
      </c>
      <c r="T40" s="5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5">
        <v>1100010002</v>
      </c>
      <c r="C41" s="6" t="s">
        <v>1392</v>
      </c>
      <c r="D41" s="10" t="s">
        <v>506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1100010003</v>
      </c>
      <c r="C42" s="6" t="s">
        <v>1460</v>
      </c>
      <c r="D42" s="10" t="s">
        <v>506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1200010001</v>
      </c>
      <c r="C43" s="6" t="s">
        <v>446</v>
      </c>
      <c r="D43" s="10" t="s">
        <v>508</v>
      </c>
      <c r="E43" s="7">
        <v>2</v>
      </c>
      <c r="F43" s="7">
        <v>0</v>
      </c>
      <c r="G43" s="7">
        <v>3</v>
      </c>
      <c r="H43" s="7">
        <v>25</v>
      </c>
      <c r="I43" s="6">
        <v>0</v>
      </c>
      <c r="J43" s="7">
        <v>2</v>
      </c>
      <c r="K43" s="6">
        <v>30</v>
      </c>
      <c r="L43" s="7">
        <v>14</v>
      </c>
      <c r="M43" s="7">
        <v>2</v>
      </c>
      <c r="N43" s="7">
        <v>20</v>
      </c>
      <c r="O43" s="6" t="b">
        <v>0</v>
      </c>
      <c r="P43" s="6">
        <v>0</v>
      </c>
      <c r="Q43" s="6">
        <v>0</v>
      </c>
      <c r="R43" s="7">
        <v>1</v>
      </c>
      <c r="S43" s="5">
        <v>64</v>
      </c>
      <c r="T43" s="7">
        <v>2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1200010002</v>
      </c>
      <c r="C44" s="6" t="s">
        <v>1393</v>
      </c>
      <c r="D44" s="10" t="s">
        <v>508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1200010003</v>
      </c>
      <c r="C45" s="6" t="s">
        <v>1461</v>
      </c>
      <c r="D45" s="10" t="s">
        <v>508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1300010001</v>
      </c>
      <c r="C46" s="6" t="s">
        <v>447</v>
      </c>
      <c r="D46" s="10" t="s">
        <v>507</v>
      </c>
      <c r="E46" s="7">
        <v>2</v>
      </c>
      <c r="F46" s="6">
        <v>0</v>
      </c>
      <c r="G46" s="7">
        <v>3</v>
      </c>
      <c r="H46" s="7">
        <v>16</v>
      </c>
      <c r="I46" s="6">
        <v>0</v>
      </c>
      <c r="J46" s="7">
        <v>2</v>
      </c>
      <c r="K46" s="6">
        <v>100</v>
      </c>
      <c r="L46" s="7">
        <v>30</v>
      </c>
      <c r="M46" s="7">
        <v>2</v>
      </c>
      <c r="N46" s="7">
        <v>18</v>
      </c>
      <c r="O46" s="6" t="b">
        <v>0</v>
      </c>
      <c r="P46" s="6">
        <v>0</v>
      </c>
      <c r="Q46" s="6">
        <v>0</v>
      </c>
      <c r="R46" s="7">
        <v>1</v>
      </c>
      <c r="S46" s="5">
        <v>65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1300010002</v>
      </c>
      <c r="C47" s="6" t="s">
        <v>1394</v>
      </c>
      <c r="D47" s="10" t="s">
        <v>507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1300010003</v>
      </c>
      <c r="C48" s="6" t="s">
        <v>1462</v>
      </c>
      <c r="D48" s="10" t="s">
        <v>507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7">
        <v>1400010001</v>
      </c>
      <c r="C49" s="6" t="s">
        <v>448</v>
      </c>
      <c r="D49" s="10" t="s">
        <v>898</v>
      </c>
      <c r="E49" s="7">
        <v>2</v>
      </c>
      <c r="F49" s="7">
        <v>0</v>
      </c>
      <c r="G49" s="7">
        <v>2</v>
      </c>
      <c r="H49" s="7">
        <v>24</v>
      </c>
      <c r="I49" s="6">
        <v>0</v>
      </c>
      <c r="J49" s="7">
        <v>5</v>
      </c>
      <c r="K49" s="6">
        <v>100</v>
      </c>
      <c r="L49" s="7">
        <v>1</v>
      </c>
      <c r="M49" s="7">
        <v>4</v>
      </c>
      <c r="N49" s="7">
        <v>25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1400010002</v>
      </c>
      <c r="C50" s="6" t="s">
        <v>1395</v>
      </c>
      <c r="D50" s="10" t="s">
        <v>898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1400010003</v>
      </c>
      <c r="C51" s="6" t="s">
        <v>1463</v>
      </c>
      <c r="D51" s="10" t="s">
        <v>898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53.25" customHeight="1">
      <c r="A52" s="8"/>
      <c r="B52" s="5">
        <v>1500010001</v>
      </c>
      <c r="C52" s="6" t="s">
        <v>449</v>
      </c>
      <c r="D52" s="10" t="s">
        <v>509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10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36" customHeight="1">
      <c r="A53" s="8"/>
      <c r="B53" s="5">
        <v>1500010002</v>
      </c>
      <c r="C53" s="6" t="s">
        <v>1396</v>
      </c>
      <c r="D53" s="10" t="s">
        <v>509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B54" s="5">
        <v>1500010003</v>
      </c>
      <c r="C54" s="6" t="s">
        <v>1464</v>
      </c>
      <c r="D54" s="10" t="s">
        <v>509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spans="1:46" ht="18.75" customHeight="1">
      <c r="B55" s="5">
        <v>1600010001</v>
      </c>
      <c r="C55" s="7" t="s">
        <v>450</v>
      </c>
      <c r="D55" s="10" t="s">
        <v>899</v>
      </c>
      <c r="E55" s="6">
        <v>2</v>
      </c>
      <c r="F55" s="7">
        <v>0</v>
      </c>
      <c r="G55" s="6">
        <v>2</v>
      </c>
      <c r="H55" s="6">
        <v>22</v>
      </c>
      <c r="I55" s="6">
        <v>0</v>
      </c>
      <c r="J55" s="6">
        <v>5</v>
      </c>
      <c r="K55" s="6">
        <v>100</v>
      </c>
      <c r="L55" s="6">
        <v>1</v>
      </c>
      <c r="M55" s="6">
        <v>4</v>
      </c>
      <c r="N55" s="6">
        <v>25</v>
      </c>
      <c r="O55" s="6" t="b">
        <v>0</v>
      </c>
      <c r="P55" s="6">
        <v>0</v>
      </c>
      <c r="Q55" s="6">
        <v>0</v>
      </c>
      <c r="R55" s="5">
        <v>49</v>
      </c>
      <c r="S55" s="5">
        <v>0</v>
      </c>
      <c r="T55" s="5">
        <v>0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1600010002</v>
      </c>
      <c r="C56" s="7" t="s">
        <v>1397</v>
      </c>
      <c r="D56" s="10" t="s">
        <v>899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1600010003</v>
      </c>
      <c r="C57" s="7" t="s">
        <v>1465</v>
      </c>
      <c r="D57" s="10" t="s">
        <v>899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7">
        <v>1700010001</v>
      </c>
      <c r="C58" s="7" t="s">
        <v>451</v>
      </c>
      <c r="D58" s="10" t="s">
        <v>510</v>
      </c>
      <c r="E58" s="7">
        <v>2</v>
      </c>
      <c r="F58" s="6">
        <v>0</v>
      </c>
      <c r="G58" s="7">
        <v>3</v>
      </c>
      <c r="H58" s="7">
        <v>18</v>
      </c>
      <c r="I58" s="6">
        <v>0</v>
      </c>
      <c r="J58" s="7">
        <v>2</v>
      </c>
      <c r="K58" s="6">
        <v>100</v>
      </c>
      <c r="L58" s="7">
        <v>1</v>
      </c>
      <c r="M58" s="7">
        <v>0</v>
      </c>
      <c r="N58" s="7">
        <v>15</v>
      </c>
      <c r="O58" s="6" t="b">
        <v>0</v>
      </c>
      <c r="P58" s="6">
        <v>0</v>
      </c>
      <c r="Q58" s="6">
        <v>0</v>
      </c>
      <c r="R58" s="7">
        <v>3</v>
      </c>
      <c r="S58" s="5">
        <v>7</v>
      </c>
      <c r="T58" s="7">
        <v>3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5">
        <v>1700010002</v>
      </c>
      <c r="C59" s="7" t="s">
        <v>1398</v>
      </c>
      <c r="D59" s="10" t="s">
        <v>510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1700010003</v>
      </c>
      <c r="C60" s="7" t="s">
        <v>1466</v>
      </c>
      <c r="D60" s="10" t="s">
        <v>510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1800010001</v>
      </c>
      <c r="C61" s="7" t="s">
        <v>452</v>
      </c>
      <c r="D61" s="10" t="s">
        <v>511</v>
      </c>
      <c r="E61" s="7">
        <v>4</v>
      </c>
      <c r="F61" s="7">
        <v>1</v>
      </c>
      <c r="G61" s="7">
        <v>3</v>
      </c>
      <c r="H61" s="7">
        <v>6</v>
      </c>
      <c r="I61" s="6">
        <v>0</v>
      </c>
      <c r="J61" s="7">
        <v>4</v>
      </c>
      <c r="K61" s="6">
        <v>100</v>
      </c>
      <c r="L61" s="7">
        <v>1</v>
      </c>
      <c r="M61" s="7">
        <v>0</v>
      </c>
      <c r="N61" s="7">
        <v>50</v>
      </c>
      <c r="O61" s="6" t="b">
        <v>0</v>
      </c>
      <c r="P61" s="6">
        <v>0</v>
      </c>
      <c r="Q61" s="6">
        <v>0</v>
      </c>
      <c r="R61" s="7">
        <v>3</v>
      </c>
      <c r="S61" s="5">
        <v>1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1800010002</v>
      </c>
      <c r="C62" s="7" t="s">
        <v>1399</v>
      </c>
      <c r="D62" s="10" t="s">
        <v>511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1800010003</v>
      </c>
      <c r="C63" s="7" t="s">
        <v>1467</v>
      </c>
      <c r="D63" s="10" t="s">
        <v>511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A64" s="56"/>
      <c r="B64" s="5">
        <v>1900010001</v>
      </c>
      <c r="C64" s="7" t="s">
        <v>929</v>
      </c>
      <c r="D64" s="10" t="s">
        <v>927</v>
      </c>
      <c r="E64" s="7">
        <v>2</v>
      </c>
      <c r="F64" s="6">
        <v>0</v>
      </c>
      <c r="G64" s="7">
        <v>3</v>
      </c>
      <c r="H64" s="7">
        <v>24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8</v>
      </c>
      <c r="O64" s="6" t="b">
        <v>0</v>
      </c>
      <c r="P64" s="6">
        <v>0</v>
      </c>
      <c r="Q64" s="6">
        <v>0</v>
      </c>
      <c r="R64" s="7">
        <v>3</v>
      </c>
      <c r="S64" s="5">
        <v>7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2:35" ht="18.75" customHeight="1">
      <c r="B65" s="5">
        <v>1900010002</v>
      </c>
      <c r="C65" s="7" t="s">
        <v>1400</v>
      </c>
      <c r="D65" s="10" t="s">
        <v>927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2:35" ht="18.75" customHeight="1">
      <c r="B66" s="5">
        <v>1900010003</v>
      </c>
      <c r="C66" s="7" t="s">
        <v>1468</v>
      </c>
      <c r="D66" s="10" t="s">
        <v>927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2:35" ht="18.75" customHeight="1">
      <c r="B67" s="7">
        <v>2000010001</v>
      </c>
      <c r="C67" s="7" t="s">
        <v>453</v>
      </c>
      <c r="D67" s="10" t="s">
        <v>928</v>
      </c>
      <c r="E67" s="7">
        <v>2</v>
      </c>
      <c r="F67" s="7">
        <v>0</v>
      </c>
      <c r="G67" s="7">
        <v>3</v>
      </c>
      <c r="H67" s="7">
        <v>25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2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2:35" ht="18.75" customHeight="1">
      <c r="B68" s="5">
        <v>2000010002</v>
      </c>
      <c r="C68" s="7" t="s">
        <v>1401</v>
      </c>
      <c r="D68" s="10" t="s">
        <v>928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2:35" ht="18.75" customHeight="1">
      <c r="B69" s="5">
        <v>2000010003</v>
      </c>
      <c r="C69" s="7" t="s">
        <v>1469</v>
      </c>
      <c r="D69" s="10" t="s">
        <v>928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2:35" ht="18.75" customHeight="1">
      <c r="B70" s="5">
        <v>2100010001</v>
      </c>
      <c r="C70" s="7" t="s">
        <v>454</v>
      </c>
      <c r="D70" s="10" t="s">
        <v>930</v>
      </c>
      <c r="E70" s="6">
        <v>2</v>
      </c>
      <c r="F70" s="6">
        <v>0</v>
      </c>
      <c r="G70" s="6">
        <v>3</v>
      </c>
      <c r="H70" s="6">
        <v>25</v>
      </c>
      <c r="I70" s="6">
        <v>0</v>
      </c>
      <c r="J70" s="6">
        <v>2</v>
      </c>
      <c r="K70" s="6">
        <v>100</v>
      </c>
      <c r="L70" s="6">
        <v>14</v>
      </c>
      <c r="M70" s="6">
        <v>2</v>
      </c>
      <c r="N70" s="6">
        <v>10</v>
      </c>
      <c r="O70" s="6" t="b">
        <v>0</v>
      </c>
      <c r="P70" s="6">
        <v>0</v>
      </c>
      <c r="Q70" s="6">
        <v>0</v>
      </c>
      <c r="R70" s="5">
        <v>1</v>
      </c>
      <c r="S70" s="5">
        <v>63</v>
      </c>
      <c r="T70" s="5">
        <v>15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2:35" ht="18.75" customHeight="1">
      <c r="B71" s="5">
        <v>2100010002</v>
      </c>
      <c r="C71" s="7" t="s">
        <v>1402</v>
      </c>
      <c r="D71" s="10" t="s">
        <v>930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2:35" ht="18.75" customHeight="1">
      <c r="B72" s="5">
        <v>2100010003</v>
      </c>
      <c r="C72" s="7" t="s">
        <v>1470</v>
      </c>
      <c r="D72" s="10" t="s">
        <v>930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2:35" ht="18.75" customHeight="1">
      <c r="B73" s="5">
        <v>2200010001</v>
      </c>
      <c r="C73" s="7" t="s">
        <v>455</v>
      </c>
      <c r="D73" s="10" t="s">
        <v>931</v>
      </c>
      <c r="E73" s="7">
        <v>2</v>
      </c>
      <c r="F73" s="7">
        <v>0</v>
      </c>
      <c r="G73" s="7">
        <v>3</v>
      </c>
      <c r="H73" s="7">
        <v>24</v>
      </c>
      <c r="I73" s="6">
        <v>0</v>
      </c>
      <c r="J73" s="7">
        <v>2</v>
      </c>
      <c r="K73" s="6">
        <v>100</v>
      </c>
      <c r="L73" s="7">
        <v>30</v>
      </c>
      <c r="M73" s="7">
        <v>2</v>
      </c>
      <c r="N73" s="7">
        <v>10</v>
      </c>
      <c r="O73" s="6" t="b">
        <v>0</v>
      </c>
      <c r="P73" s="6">
        <v>0</v>
      </c>
      <c r="Q73" s="6">
        <v>0</v>
      </c>
      <c r="R73" s="7">
        <v>1</v>
      </c>
      <c r="S73" s="5">
        <v>65</v>
      </c>
      <c r="T73" s="7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2:35" ht="18.75" customHeight="1">
      <c r="B74" s="5">
        <v>2200010002</v>
      </c>
      <c r="C74" s="7" t="s">
        <v>1403</v>
      </c>
      <c r="D74" s="10" t="s">
        <v>931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2:35" ht="18.75" customHeight="1">
      <c r="B75" s="5">
        <v>2200010003</v>
      </c>
      <c r="C75" s="7" t="s">
        <v>1471</v>
      </c>
      <c r="D75" s="10" t="s">
        <v>931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2:35" ht="18.75" customHeight="1">
      <c r="B76" s="7">
        <v>2300010001</v>
      </c>
      <c r="C76" s="7" t="s">
        <v>456</v>
      </c>
      <c r="D76" s="10" t="s">
        <v>505</v>
      </c>
      <c r="E76" s="7">
        <v>2</v>
      </c>
      <c r="F76" s="6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0</v>
      </c>
      <c r="N76" s="7">
        <v>5</v>
      </c>
      <c r="O76" s="6" t="b">
        <v>0</v>
      </c>
      <c r="P76" s="6">
        <v>0</v>
      </c>
      <c r="Q76" s="6">
        <v>0</v>
      </c>
      <c r="R76" s="7">
        <v>3</v>
      </c>
      <c r="S76" s="5">
        <v>17</v>
      </c>
      <c r="T76" s="7">
        <v>3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2:35" ht="18.75" customHeight="1">
      <c r="B77" s="5">
        <v>2300010002</v>
      </c>
      <c r="C77" s="7" t="s">
        <v>1404</v>
      </c>
      <c r="D77" s="10" t="s">
        <v>505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2:35" ht="18.75" customHeight="1">
      <c r="B78" s="5">
        <v>2300010003</v>
      </c>
      <c r="C78" s="7" t="s">
        <v>1472</v>
      </c>
      <c r="D78" s="10" t="s">
        <v>505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2:35" ht="18.75" customHeight="1">
      <c r="B79" s="5">
        <v>2400010001</v>
      </c>
      <c r="C79" s="7" t="s">
        <v>457</v>
      </c>
      <c r="D79" s="10" t="s">
        <v>512</v>
      </c>
      <c r="E79" s="7">
        <v>2</v>
      </c>
      <c r="F79" s="7">
        <v>0</v>
      </c>
      <c r="G79" s="7">
        <v>1</v>
      </c>
      <c r="H79" s="7">
        <v>25</v>
      </c>
      <c r="I79" s="6">
        <v>0</v>
      </c>
      <c r="J79" s="7">
        <v>2</v>
      </c>
      <c r="K79" s="6">
        <v>40</v>
      </c>
      <c r="L79" s="7">
        <v>14</v>
      </c>
      <c r="M79" s="7">
        <v>2</v>
      </c>
      <c r="N79" s="7">
        <v>63</v>
      </c>
      <c r="O79" s="6" t="b">
        <v>0</v>
      </c>
      <c r="P79" s="6">
        <v>0</v>
      </c>
      <c r="Q79" s="6">
        <v>0</v>
      </c>
      <c r="R79" s="7">
        <v>1</v>
      </c>
      <c r="S79" s="5">
        <v>0</v>
      </c>
      <c r="T79" s="7">
        <v>0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2:35" ht="18.75" customHeight="1">
      <c r="B80" s="5">
        <v>2400010002</v>
      </c>
      <c r="C80" s="7" t="s">
        <v>1405</v>
      </c>
      <c r="D80" s="10" t="s">
        <v>512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2400010003</v>
      </c>
      <c r="C81" s="7" t="s">
        <v>1473</v>
      </c>
      <c r="D81" s="10" t="s">
        <v>512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2500010001</v>
      </c>
      <c r="C82" s="7" t="s">
        <v>458</v>
      </c>
      <c r="D82" s="10" t="s">
        <v>513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1</v>
      </c>
      <c r="K82" s="6">
        <v>100</v>
      </c>
      <c r="L82" s="7">
        <v>1</v>
      </c>
      <c r="M82" s="7">
        <v>0</v>
      </c>
      <c r="N82" s="7">
        <v>60</v>
      </c>
      <c r="O82" s="6" t="b">
        <v>0</v>
      </c>
      <c r="P82" s="6">
        <v>0</v>
      </c>
      <c r="Q82" s="6">
        <v>0</v>
      </c>
      <c r="R82" s="7">
        <v>3</v>
      </c>
      <c r="S82" s="5">
        <v>2</v>
      </c>
      <c r="T82" s="7">
        <v>3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2500010002</v>
      </c>
      <c r="C83" s="7" t="s">
        <v>1406</v>
      </c>
      <c r="D83" s="10" t="s">
        <v>513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A84" s="8"/>
      <c r="B84" s="5">
        <v>2500010003</v>
      </c>
      <c r="C84" s="7" t="s">
        <v>1474</v>
      </c>
      <c r="D84" s="10" t="s">
        <v>513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1:46" ht="18.75" customHeight="1">
      <c r="A85" s="8"/>
      <c r="B85" s="7">
        <v>2600010001</v>
      </c>
      <c r="C85" s="7" t="s">
        <v>459</v>
      </c>
      <c r="D85" s="10" t="s">
        <v>514</v>
      </c>
      <c r="E85" s="6">
        <v>2</v>
      </c>
      <c r="F85" s="7">
        <v>0</v>
      </c>
      <c r="G85" s="6">
        <v>3</v>
      </c>
      <c r="H85" s="6">
        <v>24</v>
      </c>
      <c r="I85" s="6">
        <v>0</v>
      </c>
      <c r="J85" s="6">
        <v>2</v>
      </c>
      <c r="K85" s="6">
        <v>100</v>
      </c>
      <c r="L85" s="6">
        <v>1</v>
      </c>
      <c r="M85" s="6">
        <v>0</v>
      </c>
      <c r="N85" s="6">
        <v>10</v>
      </c>
      <c r="O85" s="6" t="b">
        <v>0</v>
      </c>
      <c r="P85" s="6">
        <v>0</v>
      </c>
      <c r="Q85" s="6">
        <v>0</v>
      </c>
      <c r="R85" s="5">
        <v>49</v>
      </c>
      <c r="S85" s="5">
        <v>1</v>
      </c>
      <c r="T85" s="5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5">
        <v>2600010002</v>
      </c>
      <c r="C86" s="7" t="s">
        <v>1407</v>
      </c>
      <c r="D86" s="10" t="s">
        <v>514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2600010003</v>
      </c>
      <c r="C87" s="7" t="s">
        <v>1475</v>
      </c>
      <c r="D87" s="10" t="s">
        <v>514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2700010001</v>
      </c>
      <c r="C88" s="7" t="s">
        <v>460</v>
      </c>
      <c r="D88" s="10" t="s">
        <v>900</v>
      </c>
      <c r="E88" s="7">
        <v>3</v>
      </c>
      <c r="F88" s="6">
        <v>0</v>
      </c>
      <c r="G88" s="7">
        <v>2</v>
      </c>
      <c r="H88" s="7">
        <v>7</v>
      </c>
      <c r="I88" s="6">
        <v>0</v>
      </c>
      <c r="J88" s="7">
        <v>5</v>
      </c>
      <c r="K88" s="6">
        <v>100</v>
      </c>
      <c r="L88" s="7">
        <v>2</v>
      </c>
      <c r="M88" s="7">
        <v>4</v>
      </c>
      <c r="N88" s="7">
        <v>70</v>
      </c>
      <c r="O88" s="6" t="b">
        <v>0</v>
      </c>
      <c r="P88" s="6">
        <v>0</v>
      </c>
      <c r="Q88" s="6">
        <v>0</v>
      </c>
      <c r="R88" s="7">
        <v>49</v>
      </c>
      <c r="S88" s="5">
        <v>0</v>
      </c>
      <c r="T88" s="7">
        <v>0</v>
      </c>
      <c r="U88" s="5" t="b">
        <v>1</v>
      </c>
      <c r="V88" s="7">
        <v>3</v>
      </c>
      <c r="W88" s="7">
        <v>7</v>
      </c>
      <c r="X88" s="7">
        <v>3</v>
      </c>
      <c r="Y88" s="7">
        <v>100</v>
      </c>
      <c r="Z88" s="7">
        <v>2</v>
      </c>
      <c r="AA88" s="7">
        <v>0</v>
      </c>
      <c r="AB88" s="7">
        <v>50</v>
      </c>
      <c r="AC88" s="7" t="b">
        <v>0</v>
      </c>
      <c r="AD88" s="7">
        <v>0</v>
      </c>
      <c r="AE88" s="7">
        <v>0</v>
      </c>
      <c r="AF88" s="7">
        <v>3</v>
      </c>
      <c r="AG88" s="7">
        <v>7</v>
      </c>
      <c r="AH88" s="7">
        <v>3</v>
      </c>
      <c r="AI88" s="7" t="b">
        <v>1</v>
      </c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2700010002</v>
      </c>
      <c r="C89" s="7" t="s">
        <v>1408</v>
      </c>
      <c r="D89" s="10" t="s">
        <v>900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2700010003</v>
      </c>
      <c r="C90" s="7" t="s">
        <v>1476</v>
      </c>
      <c r="D90" s="10" t="s">
        <v>900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2800010001</v>
      </c>
      <c r="C91" s="7" t="s">
        <v>461</v>
      </c>
      <c r="D91" s="10" t="s">
        <v>901</v>
      </c>
      <c r="E91" s="7">
        <v>2</v>
      </c>
      <c r="F91" s="7">
        <v>0</v>
      </c>
      <c r="G91" s="7">
        <v>2</v>
      </c>
      <c r="H91" s="7">
        <v>25</v>
      </c>
      <c r="I91" s="6">
        <v>0</v>
      </c>
      <c r="J91" s="7">
        <v>5</v>
      </c>
      <c r="K91" s="6">
        <v>50</v>
      </c>
      <c r="L91" s="7">
        <v>1</v>
      </c>
      <c r="M91" s="7">
        <v>4</v>
      </c>
      <c r="N91" s="7">
        <v>35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2800010002</v>
      </c>
      <c r="C92" s="7" t="s">
        <v>1409</v>
      </c>
      <c r="D92" s="10" t="s">
        <v>901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2800010003</v>
      </c>
      <c r="C93" s="7" t="s">
        <v>1477</v>
      </c>
      <c r="D93" s="10" t="s">
        <v>901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7">
        <v>2900010001</v>
      </c>
      <c r="C94" s="7" t="s">
        <v>462</v>
      </c>
      <c r="D94" s="10" t="s">
        <v>515</v>
      </c>
      <c r="E94" s="7">
        <v>2</v>
      </c>
      <c r="F94" s="6">
        <v>0</v>
      </c>
      <c r="G94" s="7">
        <v>3</v>
      </c>
      <c r="H94" s="7">
        <v>25</v>
      </c>
      <c r="I94" s="6">
        <v>0</v>
      </c>
      <c r="J94" s="7">
        <v>2</v>
      </c>
      <c r="K94" s="6">
        <v>100</v>
      </c>
      <c r="L94" s="7">
        <v>1</v>
      </c>
      <c r="M94" s="7">
        <v>0</v>
      </c>
      <c r="N94" s="7">
        <v>22</v>
      </c>
      <c r="O94" s="6" t="b">
        <v>0</v>
      </c>
      <c r="P94" s="6">
        <v>0</v>
      </c>
      <c r="Q94" s="6">
        <v>0</v>
      </c>
      <c r="R94" s="7">
        <v>3</v>
      </c>
      <c r="S94" s="5">
        <v>5</v>
      </c>
      <c r="T94" s="7">
        <v>2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5">
        <v>2900010002</v>
      </c>
      <c r="C95" s="7" t="s">
        <v>1410</v>
      </c>
      <c r="D95" s="10" t="s">
        <v>515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2900010003</v>
      </c>
      <c r="C96" s="7" t="s">
        <v>1478</v>
      </c>
      <c r="D96" s="10" t="s">
        <v>515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3000010001</v>
      </c>
      <c r="C97" s="7" t="s">
        <v>463</v>
      </c>
      <c r="D97" s="10" t="s">
        <v>902</v>
      </c>
      <c r="E97" s="7">
        <v>2</v>
      </c>
      <c r="F97" s="7">
        <v>0</v>
      </c>
      <c r="G97" s="7">
        <v>3</v>
      </c>
      <c r="H97" s="7">
        <v>7</v>
      </c>
      <c r="I97" s="6">
        <v>0</v>
      </c>
      <c r="J97" s="7">
        <v>2</v>
      </c>
      <c r="K97" s="6">
        <v>100</v>
      </c>
      <c r="L97" s="7">
        <v>2</v>
      </c>
      <c r="M97" s="7">
        <v>2</v>
      </c>
      <c r="N97" s="7">
        <v>400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4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3000010002</v>
      </c>
      <c r="C98" s="7" t="s">
        <v>1411</v>
      </c>
      <c r="D98" s="10" t="s">
        <v>902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3000010003</v>
      </c>
      <c r="C99" s="7" t="s">
        <v>1479</v>
      </c>
      <c r="D99" s="10" t="s">
        <v>902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3100010001</v>
      </c>
      <c r="C100" s="7" t="s">
        <v>464</v>
      </c>
      <c r="D100" s="10" t="s">
        <v>903</v>
      </c>
      <c r="E100" s="6">
        <v>2</v>
      </c>
      <c r="F100" s="6">
        <v>0</v>
      </c>
      <c r="G100" s="6">
        <v>2</v>
      </c>
      <c r="H100" s="6">
        <v>21</v>
      </c>
      <c r="I100" s="6">
        <v>31</v>
      </c>
      <c r="J100" s="6">
        <v>5</v>
      </c>
      <c r="K100" s="6">
        <v>100</v>
      </c>
      <c r="L100" s="6">
        <v>22</v>
      </c>
      <c r="M100" s="6">
        <v>4</v>
      </c>
      <c r="N100" s="6">
        <v>100</v>
      </c>
      <c r="O100" s="6" t="b">
        <v>0</v>
      </c>
      <c r="P100" s="6">
        <v>0</v>
      </c>
      <c r="Q100" s="6">
        <v>0</v>
      </c>
      <c r="R100" s="5">
        <v>49</v>
      </c>
      <c r="S100" s="5">
        <v>0</v>
      </c>
      <c r="T100" s="5">
        <v>0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3100010002</v>
      </c>
      <c r="C101" s="7" t="s">
        <v>1412</v>
      </c>
      <c r="D101" s="10" t="s">
        <v>903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3100010003</v>
      </c>
      <c r="C102" s="7" t="s">
        <v>1480</v>
      </c>
      <c r="D102" s="10" t="s">
        <v>903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7">
        <v>3200010001</v>
      </c>
      <c r="C103" s="7" t="s">
        <v>465</v>
      </c>
      <c r="D103" s="10" t="s">
        <v>953</v>
      </c>
      <c r="E103" s="7">
        <v>2</v>
      </c>
      <c r="F103" s="7">
        <v>0</v>
      </c>
      <c r="G103" s="7">
        <v>3</v>
      </c>
      <c r="H103" s="7">
        <v>2</v>
      </c>
      <c r="I103" s="6">
        <v>0</v>
      </c>
      <c r="J103" s="7">
        <v>2</v>
      </c>
      <c r="K103" s="6">
        <v>100</v>
      </c>
      <c r="L103" s="7">
        <v>1</v>
      </c>
      <c r="M103" s="7">
        <v>0</v>
      </c>
      <c r="N103" s="7">
        <v>60</v>
      </c>
      <c r="O103" s="6" t="b">
        <v>0</v>
      </c>
      <c r="P103" s="6">
        <v>0</v>
      </c>
      <c r="Q103" s="6">
        <v>0</v>
      </c>
      <c r="R103" s="7">
        <v>3</v>
      </c>
      <c r="S103" s="5">
        <v>68</v>
      </c>
      <c r="T103" s="7">
        <v>-1</v>
      </c>
      <c r="U103" s="5" t="b">
        <v>0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5">
        <v>3200010002</v>
      </c>
      <c r="C104" s="7" t="s">
        <v>1413</v>
      </c>
      <c r="D104" s="10" t="s">
        <v>953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3200010003</v>
      </c>
      <c r="C105" s="7" t="s">
        <v>1481</v>
      </c>
      <c r="D105" s="10" t="s">
        <v>953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3300010001</v>
      </c>
      <c r="C106" s="7" t="s">
        <v>466</v>
      </c>
      <c r="D106" s="10" t="s">
        <v>954</v>
      </c>
      <c r="E106" s="7">
        <v>2</v>
      </c>
      <c r="F106" s="6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56</v>
      </c>
      <c r="O106" s="6" t="b">
        <v>0</v>
      </c>
      <c r="P106" s="6">
        <v>0</v>
      </c>
      <c r="Q106" s="6">
        <v>0</v>
      </c>
      <c r="R106" s="7">
        <v>3</v>
      </c>
      <c r="S106" s="5">
        <v>42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3300010002</v>
      </c>
      <c r="C107" s="7" t="s">
        <v>1414</v>
      </c>
      <c r="D107" s="10" t="s">
        <v>954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3300010003</v>
      </c>
      <c r="C108" s="7" t="s">
        <v>1482</v>
      </c>
      <c r="D108" s="10" t="s">
        <v>954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3400010001</v>
      </c>
      <c r="C109" s="7" t="s">
        <v>467</v>
      </c>
      <c r="D109" s="10" t="s">
        <v>964</v>
      </c>
      <c r="E109" s="7">
        <v>1</v>
      </c>
      <c r="F109" s="7">
        <v>1</v>
      </c>
      <c r="G109" s="7">
        <v>3</v>
      </c>
      <c r="H109" s="7">
        <v>6</v>
      </c>
      <c r="I109" s="6">
        <v>0</v>
      </c>
      <c r="J109" s="7">
        <v>1</v>
      </c>
      <c r="K109" s="6">
        <v>100</v>
      </c>
      <c r="L109" s="7">
        <v>1</v>
      </c>
      <c r="M109" s="7">
        <v>4</v>
      </c>
      <c r="N109" s="7">
        <v>240</v>
      </c>
      <c r="O109" s="6" t="b">
        <v>0</v>
      </c>
      <c r="P109" s="6">
        <v>0</v>
      </c>
      <c r="Q109" s="6">
        <v>0</v>
      </c>
      <c r="R109" s="7">
        <v>49</v>
      </c>
      <c r="S109" s="5">
        <v>66</v>
      </c>
      <c r="T109" s="7">
        <v>3</v>
      </c>
      <c r="U109" s="5" t="b">
        <v>1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3400010002</v>
      </c>
      <c r="C110" s="7" t="s">
        <v>1415</v>
      </c>
      <c r="D110" s="10" t="s">
        <v>964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3400010003</v>
      </c>
      <c r="C111" s="7" t="s">
        <v>1483</v>
      </c>
      <c r="D111" s="10" t="s">
        <v>964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7">
        <v>3500010001</v>
      </c>
      <c r="C112" s="7" t="s">
        <v>468</v>
      </c>
      <c r="D112" s="10" t="s">
        <v>904</v>
      </c>
      <c r="E112" s="7">
        <v>2</v>
      </c>
      <c r="F112" s="6">
        <v>0</v>
      </c>
      <c r="G112" s="7">
        <v>3</v>
      </c>
      <c r="H112" s="7">
        <v>18</v>
      </c>
      <c r="I112" s="6">
        <v>0</v>
      </c>
      <c r="J112" s="7">
        <v>2</v>
      </c>
      <c r="K112" s="6">
        <v>100</v>
      </c>
      <c r="L112" s="7">
        <v>1</v>
      </c>
      <c r="M112" s="7">
        <v>0</v>
      </c>
      <c r="N112" s="7">
        <v>10</v>
      </c>
      <c r="O112" s="6" t="b">
        <v>0</v>
      </c>
      <c r="P112" s="6">
        <v>0</v>
      </c>
      <c r="Q112" s="6">
        <v>0</v>
      </c>
      <c r="R112" s="7">
        <v>3</v>
      </c>
      <c r="S112" s="5">
        <v>11</v>
      </c>
      <c r="T112" s="7">
        <v>1</v>
      </c>
      <c r="U112" s="5" t="b">
        <v>1</v>
      </c>
      <c r="V112" s="7">
        <v>2</v>
      </c>
      <c r="W112" s="7">
        <v>18</v>
      </c>
      <c r="X112" s="7">
        <v>5</v>
      </c>
      <c r="Y112" s="7">
        <v>100</v>
      </c>
      <c r="Z112" s="7">
        <v>1</v>
      </c>
      <c r="AA112" s="7">
        <v>4</v>
      </c>
      <c r="AB112" s="7">
        <v>100</v>
      </c>
      <c r="AC112" s="7" t="b">
        <v>0</v>
      </c>
      <c r="AD112" s="7">
        <v>0</v>
      </c>
      <c r="AE112" s="7">
        <v>0</v>
      </c>
      <c r="AF112" s="7">
        <v>2</v>
      </c>
      <c r="AG112" s="7">
        <v>0</v>
      </c>
      <c r="AH112" s="7">
        <v>0</v>
      </c>
      <c r="AI112" s="7" t="b">
        <v>1</v>
      </c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5">
        <v>3500010002</v>
      </c>
      <c r="C113" s="7" t="s">
        <v>1416</v>
      </c>
      <c r="D113" s="10" t="s">
        <v>904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3500010003</v>
      </c>
      <c r="C114" s="7" t="s">
        <v>1484</v>
      </c>
      <c r="D114" s="10" t="s">
        <v>904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3600010001</v>
      </c>
      <c r="C115" s="7" t="s">
        <v>469</v>
      </c>
      <c r="D115" s="10" t="s">
        <v>955</v>
      </c>
      <c r="E115" s="6">
        <v>2</v>
      </c>
      <c r="F115" s="7">
        <v>0</v>
      </c>
      <c r="G115" s="6">
        <v>3</v>
      </c>
      <c r="H115" s="6">
        <v>2</v>
      </c>
      <c r="I115" s="6">
        <v>0</v>
      </c>
      <c r="J115" s="6">
        <v>2</v>
      </c>
      <c r="K115" s="6">
        <v>100</v>
      </c>
      <c r="L115" s="6">
        <v>1</v>
      </c>
      <c r="M115" s="6">
        <v>0</v>
      </c>
      <c r="N115" s="6">
        <v>80</v>
      </c>
      <c r="O115" s="6" t="b">
        <v>0</v>
      </c>
      <c r="P115" s="6">
        <v>0</v>
      </c>
      <c r="Q115" s="6">
        <v>0</v>
      </c>
      <c r="R115" s="5">
        <v>3</v>
      </c>
      <c r="S115" s="5">
        <v>44</v>
      </c>
      <c r="T115" s="5">
        <v>-1</v>
      </c>
      <c r="U115" s="5" t="b">
        <v>0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3600010002</v>
      </c>
      <c r="C116" s="7" t="s">
        <v>1417</v>
      </c>
      <c r="D116" s="10" t="s">
        <v>955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3600010003</v>
      </c>
      <c r="C117" s="7" t="s">
        <v>1485</v>
      </c>
      <c r="D117" s="10" t="s">
        <v>955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3700010001</v>
      </c>
      <c r="C118" s="7" t="s">
        <v>470</v>
      </c>
      <c r="D118" s="10" t="s">
        <v>606</v>
      </c>
      <c r="E118" s="7">
        <v>1</v>
      </c>
      <c r="F118" s="6">
        <v>1</v>
      </c>
      <c r="G118" s="7">
        <v>3</v>
      </c>
      <c r="H118" s="7">
        <v>6</v>
      </c>
      <c r="I118" s="6">
        <v>0</v>
      </c>
      <c r="J118" s="7">
        <v>2</v>
      </c>
      <c r="K118" s="6">
        <v>100</v>
      </c>
      <c r="L118" s="7">
        <v>39</v>
      </c>
      <c r="M118" s="7">
        <v>2</v>
      </c>
      <c r="N118" s="7">
        <v>100</v>
      </c>
      <c r="O118" s="6" t="b">
        <v>0</v>
      </c>
      <c r="P118" s="6">
        <v>0</v>
      </c>
      <c r="Q118" s="6">
        <v>0</v>
      </c>
      <c r="R118" s="7">
        <v>1</v>
      </c>
      <c r="S118" s="5">
        <v>64</v>
      </c>
      <c r="T118" s="7">
        <v>4</v>
      </c>
      <c r="U118" s="5" t="b">
        <v>1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3700010002</v>
      </c>
      <c r="C119" s="7" t="s">
        <v>1418</v>
      </c>
      <c r="D119" s="10" t="s">
        <v>606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53.25" customHeight="1">
      <c r="A120" s="8"/>
      <c r="B120" s="5">
        <v>3700010003</v>
      </c>
      <c r="C120" s="7" t="s">
        <v>1486</v>
      </c>
      <c r="D120" s="10" t="s">
        <v>606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36" customHeight="1">
      <c r="A121" s="8"/>
      <c r="B121" s="7">
        <v>3800010001</v>
      </c>
      <c r="C121" s="7" t="s">
        <v>471</v>
      </c>
      <c r="D121" s="10" t="s">
        <v>905</v>
      </c>
      <c r="E121" s="7">
        <v>2</v>
      </c>
      <c r="F121" s="7">
        <v>0</v>
      </c>
      <c r="G121" s="7">
        <v>2</v>
      </c>
      <c r="H121" s="7">
        <v>27</v>
      </c>
      <c r="I121" s="6">
        <v>0</v>
      </c>
      <c r="J121" s="7">
        <v>5</v>
      </c>
      <c r="K121" s="6">
        <v>100</v>
      </c>
      <c r="L121" s="7">
        <v>1</v>
      </c>
      <c r="M121" s="7">
        <v>4</v>
      </c>
      <c r="N121" s="7">
        <v>45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B122" s="5">
        <v>3800010002</v>
      </c>
      <c r="C122" s="7" t="s">
        <v>1419</v>
      </c>
      <c r="D122" s="10" t="s">
        <v>905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</row>
    <row r="123" spans="1:46" ht="18.75" customHeight="1">
      <c r="B123" s="5">
        <v>3800010003</v>
      </c>
      <c r="C123" s="7" t="s">
        <v>1487</v>
      </c>
      <c r="D123" s="10" t="s">
        <v>905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3900010001</v>
      </c>
      <c r="C124" s="7" t="s">
        <v>472</v>
      </c>
      <c r="D124" s="10" t="s">
        <v>678</v>
      </c>
      <c r="E124" s="7">
        <v>1</v>
      </c>
      <c r="F124" s="6">
        <v>1</v>
      </c>
      <c r="G124" s="7">
        <v>3</v>
      </c>
      <c r="H124" s="7">
        <v>6</v>
      </c>
      <c r="I124" s="6">
        <v>0</v>
      </c>
      <c r="J124" s="7">
        <v>2</v>
      </c>
      <c r="K124" s="6">
        <v>100</v>
      </c>
      <c r="L124" s="7">
        <v>2</v>
      </c>
      <c r="M124" s="7">
        <v>0</v>
      </c>
      <c r="N124" s="7">
        <v>15</v>
      </c>
      <c r="O124" s="6" t="b">
        <v>0</v>
      </c>
      <c r="P124" s="6">
        <v>0</v>
      </c>
      <c r="Q124" s="6">
        <v>0</v>
      </c>
      <c r="R124" s="7">
        <v>3</v>
      </c>
      <c r="S124" s="5">
        <v>1</v>
      </c>
      <c r="T124" s="7">
        <v>3</v>
      </c>
      <c r="U124" s="5" t="b">
        <v>1</v>
      </c>
      <c r="V124" s="30">
        <v>3</v>
      </c>
      <c r="W124" s="30">
        <v>6</v>
      </c>
      <c r="X124" s="30">
        <v>2</v>
      </c>
      <c r="Y124" s="30">
        <v>100</v>
      </c>
      <c r="Z124" s="30">
        <v>3</v>
      </c>
      <c r="AA124" s="30">
        <v>0</v>
      </c>
      <c r="AB124" s="30">
        <v>15</v>
      </c>
      <c r="AC124" s="30" t="b">
        <v>0</v>
      </c>
      <c r="AD124" s="30">
        <v>0</v>
      </c>
      <c r="AE124" s="30">
        <v>0</v>
      </c>
      <c r="AF124" s="30">
        <v>3</v>
      </c>
      <c r="AG124" s="30">
        <v>17</v>
      </c>
      <c r="AH124" s="30">
        <v>3</v>
      </c>
      <c r="AI124" s="30" t="b">
        <v>1</v>
      </c>
    </row>
    <row r="125" spans="1:46" ht="18.75" customHeight="1">
      <c r="B125" s="5">
        <v>3900010002</v>
      </c>
      <c r="C125" s="7" t="s">
        <v>1420</v>
      </c>
      <c r="D125" s="10" t="s">
        <v>678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3900010003</v>
      </c>
      <c r="C126" s="7" t="s">
        <v>1488</v>
      </c>
      <c r="D126" s="10" t="s">
        <v>678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4000010001</v>
      </c>
      <c r="C127" s="7" t="s">
        <v>473</v>
      </c>
      <c r="D127" s="10" t="s">
        <v>906</v>
      </c>
      <c r="E127" s="7">
        <v>1</v>
      </c>
      <c r="F127" s="7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15</v>
      </c>
      <c r="T127" s="7">
        <v>3</v>
      </c>
      <c r="U127" s="5" t="b">
        <v>1</v>
      </c>
      <c r="V127" s="30">
        <v>2</v>
      </c>
      <c r="W127" s="30">
        <v>6</v>
      </c>
      <c r="X127" s="30">
        <v>5</v>
      </c>
      <c r="Y127" s="30">
        <v>100</v>
      </c>
      <c r="Z127" s="30">
        <v>1</v>
      </c>
      <c r="AA127" s="30">
        <v>4</v>
      </c>
      <c r="AB127" s="30">
        <v>100</v>
      </c>
      <c r="AC127" s="30" t="b">
        <v>0</v>
      </c>
      <c r="AD127" s="30">
        <v>0</v>
      </c>
      <c r="AE127" s="30">
        <v>0</v>
      </c>
      <c r="AF127" s="30">
        <v>2</v>
      </c>
      <c r="AG127" s="30">
        <v>0</v>
      </c>
      <c r="AH127" s="30">
        <v>0</v>
      </c>
      <c r="AI127" s="30" t="b">
        <v>1</v>
      </c>
    </row>
    <row r="128" spans="1:46" ht="18.75" customHeight="1">
      <c r="B128" s="5">
        <v>4000010002</v>
      </c>
      <c r="C128" s="7" t="s">
        <v>1421</v>
      </c>
      <c r="D128" s="10" t="s">
        <v>906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4000010003</v>
      </c>
      <c r="C129" s="7" t="s">
        <v>1489</v>
      </c>
      <c r="D129" s="10" t="s">
        <v>906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7">
        <v>4100010001</v>
      </c>
      <c r="C130" s="7" t="s">
        <v>474</v>
      </c>
      <c r="D130" s="10" t="s">
        <v>681</v>
      </c>
      <c r="E130" s="6">
        <v>2</v>
      </c>
      <c r="F130" s="6">
        <v>0</v>
      </c>
      <c r="G130" s="6">
        <v>2</v>
      </c>
      <c r="H130" s="6">
        <v>3</v>
      </c>
      <c r="I130" s="6">
        <v>0</v>
      </c>
      <c r="J130" s="6">
        <v>5</v>
      </c>
      <c r="K130" s="6">
        <v>100</v>
      </c>
      <c r="L130" s="6">
        <v>1</v>
      </c>
      <c r="M130" s="6">
        <v>2</v>
      </c>
      <c r="N130" s="6">
        <v>120</v>
      </c>
      <c r="O130" s="6" t="b">
        <v>0</v>
      </c>
      <c r="P130" s="6">
        <v>0</v>
      </c>
      <c r="Q130" s="6">
        <v>0</v>
      </c>
      <c r="R130" s="5">
        <v>49</v>
      </c>
      <c r="S130" s="5">
        <v>0</v>
      </c>
      <c r="T130" s="5">
        <v>0</v>
      </c>
      <c r="U130" s="5" t="b">
        <v>1</v>
      </c>
    </row>
    <row r="131" spans="1:35" ht="18.75" customHeight="1">
      <c r="B131" s="5">
        <v>4100010002</v>
      </c>
      <c r="C131" s="7" t="s">
        <v>1422</v>
      </c>
      <c r="D131" s="10" t="s">
        <v>681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A132" s="56"/>
      <c r="B132" s="5">
        <v>4100010003</v>
      </c>
      <c r="C132" s="7" t="s">
        <v>1490</v>
      </c>
      <c r="D132" s="10" t="s">
        <v>681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6"/>
      <c r="B133" s="5">
        <v>4200010001</v>
      </c>
      <c r="C133" s="7" t="s">
        <v>475</v>
      </c>
      <c r="D133" s="10" t="s">
        <v>682</v>
      </c>
      <c r="E133" s="7">
        <v>2</v>
      </c>
      <c r="F133" s="7">
        <v>0</v>
      </c>
      <c r="G133" s="7">
        <v>2</v>
      </c>
      <c r="H133" s="7">
        <v>4</v>
      </c>
      <c r="I133" s="6">
        <v>0</v>
      </c>
      <c r="J133" s="7">
        <v>5</v>
      </c>
      <c r="K133" s="6">
        <v>100</v>
      </c>
      <c r="L133" s="7">
        <v>1</v>
      </c>
      <c r="M133" s="7">
        <v>2</v>
      </c>
      <c r="N133" s="7">
        <v>150</v>
      </c>
      <c r="O133" s="6" t="b">
        <v>0</v>
      </c>
      <c r="P133" s="6">
        <v>0</v>
      </c>
      <c r="Q133" s="6">
        <v>0</v>
      </c>
      <c r="R133" s="7">
        <v>49</v>
      </c>
      <c r="S133" s="5">
        <v>0</v>
      </c>
      <c r="T133" s="7">
        <v>0</v>
      </c>
      <c r="U133" s="5" t="b">
        <v>1</v>
      </c>
    </row>
    <row r="134" spans="1:35" ht="18.75" customHeight="1">
      <c r="A134" s="56"/>
      <c r="B134" s="5">
        <v>4200010002</v>
      </c>
      <c r="C134" s="7" t="s">
        <v>1423</v>
      </c>
      <c r="D134" s="10" t="s">
        <v>682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6"/>
      <c r="B135" s="5">
        <v>4200010003</v>
      </c>
      <c r="C135" s="7" t="s">
        <v>1491</v>
      </c>
      <c r="D135" s="10" t="s">
        <v>682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6"/>
      <c r="B136" s="5">
        <v>4300010001</v>
      </c>
      <c r="C136" s="7" t="s">
        <v>476</v>
      </c>
      <c r="D136" s="10" t="s">
        <v>683</v>
      </c>
      <c r="E136" s="7">
        <v>2</v>
      </c>
      <c r="F136" s="6">
        <v>0</v>
      </c>
      <c r="G136" s="7">
        <v>1</v>
      </c>
      <c r="H136" s="7">
        <v>6</v>
      </c>
      <c r="I136" s="6">
        <v>0</v>
      </c>
      <c r="J136" s="7">
        <v>2</v>
      </c>
      <c r="K136" s="6">
        <v>100</v>
      </c>
      <c r="L136" s="7">
        <v>14</v>
      </c>
      <c r="M136" s="7">
        <v>2</v>
      </c>
      <c r="N136" s="7">
        <v>200</v>
      </c>
      <c r="O136" s="6" t="b">
        <v>0</v>
      </c>
      <c r="P136" s="6">
        <v>0</v>
      </c>
      <c r="Q136" s="6">
        <v>0</v>
      </c>
      <c r="R136" s="7">
        <v>1</v>
      </c>
      <c r="S136" s="5">
        <v>0</v>
      </c>
      <c r="T136" s="7">
        <v>0</v>
      </c>
      <c r="U136" s="5" t="b">
        <v>1</v>
      </c>
    </row>
    <row r="137" spans="1:35" ht="18.75" customHeight="1">
      <c r="A137" s="56"/>
      <c r="B137" s="5">
        <v>4300010002</v>
      </c>
      <c r="C137" s="7" t="s">
        <v>1424</v>
      </c>
      <c r="D137" s="10" t="s">
        <v>683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6"/>
      <c r="B138" s="5">
        <v>4300010003</v>
      </c>
      <c r="C138" s="7" t="s">
        <v>1492</v>
      </c>
      <c r="D138" s="10" t="s">
        <v>683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6"/>
      <c r="B139" s="7">
        <v>4400010001</v>
      </c>
      <c r="C139" s="7" t="s">
        <v>477</v>
      </c>
      <c r="D139" s="10" t="s">
        <v>684</v>
      </c>
      <c r="E139" s="7">
        <v>1</v>
      </c>
      <c r="F139" s="7">
        <v>1</v>
      </c>
      <c r="G139" s="7">
        <v>3</v>
      </c>
      <c r="H139" s="7">
        <v>1</v>
      </c>
      <c r="I139" s="6">
        <v>0</v>
      </c>
      <c r="J139" s="7">
        <v>1</v>
      </c>
      <c r="K139" s="6">
        <v>100</v>
      </c>
      <c r="L139" s="7">
        <v>1</v>
      </c>
      <c r="M139" s="7">
        <v>0</v>
      </c>
      <c r="N139" s="7">
        <v>25</v>
      </c>
      <c r="O139" s="6" t="b">
        <v>0</v>
      </c>
      <c r="P139" s="6">
        <v>0</v>
      </c>
      <c r="Q139" s="6">
        <v>0</v>
      </c>
      <c r="R139" s="7">
        <v>3</v>
      </c>
      <c r="S139" s="5">
        <v>0</v>
      </c>
      <c r="T139" s="7">
        <v>-1</v>
      </c>
      <c r="U139" s="5" t="b">
        <v>1</v>
      </c>
    </row>
    <row r="140" spans="1:35" ht="18.75" customHeight="1">
      <c r="A140" s="56"/>
      <c r="B140" s="5">
        <v>4400010002</v>
      </c>
      <c r="C140" s="7" t="s">
        <v>1425</v>
      </c>
      <c r="D140" s="10" t="s">
        <v>684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6"/>
      <c r="B141" s="5">
        <v>4400010003</v>
      </c>
      <c r="C141" s="7" t="s">
        <v>1493</v>
      </c>
      <c r="D141" s="10" t="s">
        <v>684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6"/>
      <c r="B142" s="5">
        <v>4500010001</v>
      </c>
      <c r="C142" s="7" t="s">
        <v>478</v>
      </c>
      <c r="D142" s="10" t="s">
        <v>685</v>
      </c>
      <c r="E142" s="7">
        <v>3</v>
      </c>
      <c r="F142" s="6">
        <v>0</v>
      </c>
      <c r="G142" s="7">
        <v>3</v>
      </c>
      <c r="H142" s="7">
        <v>7</v>
      </c>
      <c r="I142" s="6">
        <v>0</v>
      </c>
      <c r="J142" s="7">
        <v>2</v>
      </c>
      <c r="K142" s="6">
        <v>100</v>
      </c>
      <c r="L142" s="7">
        <v>2</v>
      </c>
      <c r="M142" s="7">
        <v>2</v>
      </c>
      <c r="N142" s="7">
        <v>400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4</v>
      </c>
      <c r="U142" s="5" t="b">
        <v>1</v>
      </c>
    </row>
    <row r="143" spans="1:35" ht="18.75" customHeight="1">
      <c r="A143" s="56"/>
      <c r="B143" s="5">
        <v>4500010002</v>
      </c>
      <c r="C143" s="7" t="s">
        <v>1426</v>
      </c>
      <c r="D143" s="10" t="s">
        <v>685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6"/>
      <c r="B144" s="5">
        <v>4500010003</v>
      </c>
      <c r="C144" s="7" t="s">
        <v>1494</v>
      </c>
      <c r="D144" s="10" t="s">
        <v>685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B145" s="5">
        <v>4600010001</v>
      </c>
      <c r="C145" s="7" t="s">
        <v>479</v>
      </c>
      <c r="D145" s="10" t="s">
        <v>686</v>
      </c>
      <c r="E145" s="6">
        <v>2</v>
      </c>
      <c r="F145" s="7">
        <v>0</v>
      </c>
      <c r="G145" s="6">
        <v>2</v>
      </c>
      <c r="H145" s="6">
        <v>3</v>
      </c>
      <c r="I145" s="6">
        <v>0</v>
      </c>
      <c r="J145" s="6">
        <v>2</v>
      </c>
      <c r="K145" s="6">
        <v>100</v>
      </c>
      <c r="L145" s="6">
        <v>1</v>
      </c>
      <c r="M145" s="6">
        <v>2</v>
      </c>
      <c r="N145" s="6">
        <v>120</v>
      </c>
      <c r="O145" s="6" t="b">
        <v>0</v>
      </c>
      <c r="P145" s="6">
        <v>0</v>
      </c>
      <c r="Q145" s="6">
        <v>0</v>
      </c>
      <c r="R145" s="5">
        <v>49</v>
      </c>
      <c r="S145" s="5">
        <v>0</v>
      </c>
      <c r="T145" s="5">
        <v>0</v>
      </c>
      <c r="U145" s="5" t="b">
        <v>1</v>
      </c>
    </row>
    <row r="146" spans="1:46" ht="18.75" customHeight="1">
      <c r="B146" s="5">
        <v>4600010002</v>
      </c>
      <c r="C146" s="7" t="s">
        <v>1427</v>
      </c>
      <c r="D146" s="10" t="s">
        <v>686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4600010003</v>
      </c>
      <c r="C147" s="7" t="s">
        <v>1495</v>
      </c>
      <c r="D147" s="10" t="s">
        <v>686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7">
        <v>4700010001</v>
      </c>
      <c r="C148" s="7" t="s">
        <v>480</v>
      </c>
      <c r="D148" s="10" t="s">
        <v>687</v>
      </c>
      <c r="E148" s="7">
        <v>2</v>
      </c>
      <c r="F148" s="6">
        <v>0</v>
      </c>
      <c r="G148" s="7">
        <v>2</v>
      </c>
      <c r="H148" s="7">
        <v>4</v>
      </c>
      <c r="I148" s="6">
        <v>0</v>
      </c>
      <c r="J148" s="7">
        <v>2</v>
      </c>
      <c r="K148" s="6">
        <v>100</v>
      </c>
      <c r="L148" s="7">
        <v>1</v>
      </c>
      <c r="M148" s="7">
        <v>2</v>
      </c>
      <c r="N148" s="7">
        <v>150</v>
      </c>
      <c r="O148" s="6" t="b">
        <v>0</v>
      </c>
      <c r="P148" s="6">
        <v>0</v>
      </c>
      <c r="Q148" s="6">
        <v>0</v>
      </c>
      <c r="R148" s="7">
        <v>49</v>
      </c>
      <c r="S148" s="5">
        <v>0</v>
      </c>
      <c r="T148" s="7">
        <v>0</v>
      </c>
      <c r="U148" s="5" t="b">
        <v>1</v>
      </c>
    </row>
    <row r="149" spans="1:46" ht="18.75" customHeight="1">
      <c r="B149" s="5">
        <v>4700010002</v>
      </c>
      <c r="C149" s="7" t="s">
        <v>1428</v>
      </c>
      <c r="D149" s="10" t="s">
        <v>687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4700010003</v>
      </c>
      <c r="C150" s="7" t="s">
        <v>1496</v>
      </c>
      <c r="D150" s="10" t="s">
        <v>687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4800010001</v>
      </c>
      <c r="C151" s="7" t="s">
        <v>481</v>
      </c>
      <c r="D151" s="10" t="s">
        <v>688</v>
      </c>
      <c r="E151" s="7">
        <v>2</v>
      </c>
      <c r="F151" s="7">
        <v>0</v>
      </c>
      <c r="G151" s="7">
        <v>1</v>
      </c>
      <c r="H151" s="7">
        <v>6</v>
      </c>
      <c r="I151" s="6">
        <v>0</v>
      </c>
      <c r="J151" s="7">
        <v>2</v>
      </c>
      <c r="K151" s="6">
        <v>100</v>
      </c>
      <c r="L151" s="7">
        <v>14</v>
      </c>
      <c r="M151" s="7">
        <v>2</v>
      </c>
      <c r="N151" s="7">
        <v>200</v>
      </c>
      <c r="O151" s="6" t="b">
        <v>0</v>
      </c>
      <c r="P151" s="6">
        <v>0</v>
      </c>
      <c r="Q151" s="6">
        <v>0</v>
      </c>
      <c r="R151" s="7">
        <v>1</v>
      </c>
      <c r="S151" s="5">
        <v>0</v>
      </c>
      <c r="T151" s="7">
        <v>0</v>
      </c>
      <c r="U151" s="5" t="b">
        <v>1</v>
      </c>
    </row>
    <row r="152" spans="1:46" ht="18.75" customHeight="1">
      <c r="A152" s="8"/>
      <c r="B152" s="5">
        <v>4800010002</v>
      </c>
      <c r="C152" s="7" t="s">
        <v>1429</v>
      </c>
      <c r="D152" s="10" t="s">
        <v>688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</row>
    <row r="153" spans="1:46" ht="18.75" customHeight="1">
      <c r="A153" s="8"/>
      <c r="B153" s="5">
        <v>4800010003</v>
      </c>
      <c r="C153" s="7" t="s">
        <v>1497</v>
      </c>
      <c r="D153" s="10" t="s">
        <v>688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4900010001</v>
      </c>
      <c r="C154" s="7" t="s">
        <v>482</v>
      </c>
      <c r="D154" s="10" t="s">
        <v>689</v>
      </c>
      <c r="E154" s="7">
        <v>1</v>
      </c>
      <c r="F154" s="6">
        <v>0</v>
      </c>
      <c r="G154" s="7">
        <v>3</v>
      </c>
      <c r="H154" s="7">
        <v>1</v>
      </c>
      <c r="I154" s="6">
        <v>0</v>
      </c>
      <c r="J154" s="7">
        <v>1</v>
      </c>
      <c r="K154" s="6">
        <v>100</v>
      </c>
      <c r="L154" s="7">
        <v>1</v>
      </c>
      <c r="M154" s="7">
        <v>0</v>
      </c>
      <c r="N154" s="7">
        <v>25</v>
      </c>
      <c r="O154" s="6" t="b">
        <v>0</v>
      </c>
      <c r="P154" s="6">
        <v>0</v>
      </c>
      <c r="Q154" s="6">
        <v>0</v>
      </c>
      <c r="R154" s="7">
        <v>3</v>
      </c>
      <c r="S154" s="5">
        <v>0</v>
      </c>
      <c r="T154" s="7">
        <v>-1</v>
      </c>
      <c r="U154" s="5" t="b">
        <v>1</v>
      </c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4900010002</v>
      </c>
      <c r="C155" s="7" t="s">
        <v>1430</v>
      </c>
      <c r="D155" s="10" t="s">
        <v>689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4900010003</v>
      </c>
      <c r="C156" s="7" t="s">
        <v>1498</v>
      </c>
      <c r="D156" s="10" t="s">
        <v>689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7">
        <v>5000010001</v>
      </c>
      <c r="C157" s="7" t="s">
        <v>483</v>
      </c>
      <c r="D157" s="10" t="s">
        <v>690</v>
      </c>
      <c r="E157" s="7">
        <v>3</v>
      </c>
      <c r="F157" s="7">
        <v>0</v>
      </c>
      <c r="G157" s="7">
        <v>3</v>
      </c>
      <c r="H157" s="7">
        <v>7</v>
      </c>
      <c r="I157" s="6">
        <v>0</v>
      </c>
      <c r="J157" s="7">
        <v>2</v>
      </c>
      <c r="K157" s="6">
        <v>100</v>
      </c>
      <c r="L157" s="7">
        <v>2</v>
      </c>
      <c r="M157" s="7">
        <v>2</v>
      </c>
      <c r="N157" s="7">
        <v>400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4</v>
      </c>
      <c r="U157" s="5" t="b">
        <v>1</v>
      </c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5">
        <v>5000010002</v>
      </c>
      <c r="C158" s="7" t="s">
        <v>1431</v>
      </c>
      <c r="D158" s="10" t="s">
        <v>690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5000010003</v>
      </c>
      <c r="C159" s="7" t="s">
        <v>1499</v>
      </c>
      <c r="D159" s="10" t="s">
        <v>690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5100010001</v>
      </c>
      <c r="C160" s="7" t="s">
        <v>484</v>
      </c>
      <c r="D160" s="10" t="s">
        <v>691</v>
      </c>
      <c r="E160" s="6">
        <v>2</v>
      </c>
      <c r="F160" s="6">
        <v>0</v>
      </c>
      <c r="G160" s="6">
        <v>2</v>
      </c>
      <c r="H160" s="6">
        <v>3</v>
      </c>
      <c r="I160" s="6">
        <v>0</v>
      </c>
      <c r="J160" s="6">
        <v>2</v>
      </c>
      <c r="K160" s="6">
        <v>100</v>
      </c>
      <c r="L160" s="6">
        <v>1</v>
      </c>
      <c r="M160" s="6">
        <v>2</v>
      </c>
      <c r="N160" s="6">
        <v>120</v>
      </c>
      <c r="O160" s="6" t="b">
        <v>0</v>
      </c>
      <c r="P160" s="6">
        <v>0</v>
      </c>
      <c r="Q160" s="6">
        <v>0</v>
      </c>
      <c r="R160" s="5">
        <v>49</v>
      </c>
      <c r="S160" s="5">
        <v>0</v>
      </c>
      <c r="T160" s="5">
        <v>0</v>
      </c>
      <c r="U160" s="5" t="b">
        <v>1</v>
      </c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5100010002</v>
      </c>
      <c r="C161" s="7" t="s">
        <v>1432</v>
      </c>
      <c r="D161" s="10" t="s">
        <v>691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5100010003</v>
      </c>
      <c r="C162" s="7" t="s">
        <v>1500</v>
      </c>
      <c r="D162" s="10" t="s">
        <v>691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5200010001</v>
      </c>
      <c r="C163" s="7" t="s">
        <v>485</v>
      </c>
      <c r="D163" s="10" t="s">
        <v>692</v>
      </c>
      <c r="E163" s="7">
        <v>2</v>
      </c>
      <c r="F163" s="7">
        <v>0</v>
      </c>
      <c r="G163" s="7">
        <v>2</v>
      </c>
      <c r="H163" s="7">
        <v>4</v>
      </c>
      <c r="I163" s="6">
        <v>0</v>
      </c>
      <c r="J163" s="7">
        <v>2</v>
      </c>
      <c r="K163" s="6">
        <v>100</v>
      </c>
      <c r="L163" s="7">
        <v>1</v>
      </c>
      <c r="M163" s="7">
        <v>2</v>
      </c>
      <c r="N163" s="7">
        <v>150</v>
      </c>
      <c r="O163" s="6" t="b">
        <v>0</v>
      </c>
      <c r="P163" s="6">
        <v>0</v>
      </c>
      <c r="Q163" s="6">
        <v>0</v>
      </c>
      <c r="R163" s="7">
        <v>49</v>
      </c>
      <c r="S163" s="5">
        <v>0</v>
      </c>
      <c r="T163" s="7">
        <v>0</v>
      </c>
      <c r="U163" s="5" t="b">
        <v>1</v>
      </c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5200010002</v>
      </c>
      <c r="C164" s="7" t="s">
        <v>1433</v>
      </c>
      <c r="D164" s="10" t="s">
        <v>692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5200010003</v>
      </c>
      <c r="C165" s="7" t="s">
        <v>1501</v>
      </c>
      <c r="D165" s="10" t="s">
        <v>692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7">
        <v>5300010001</v>
      </c>
      <c r="C166" s="7" t="s">
        <v>486</v>
      </c>
      <c r="D166" s="10" t="s">
        <v>693</v>
      </c>
      <c r="E166" s="7">
        <v>2</v>
      </c>
      <c r="F166" s="6">
        <v>0</v>
      </c>
      <c r="G166" s="7">
        <v>1</v>
      </c>
      <c r="H166" s="7">
        <v>6</v>
      </c>
      <c r="I166" s="6">
        <v>0</v>
      </c>
      <c r="J166" s="7">
        <v>2</v>
      </c>
      <c r="K166" s="6">
        <v>100</v>
      </c>
      <c r="L166" s="7">
        <v>14</v>
      </c>
      <c r="M166" s="7">
        <v>2</v>
      </c>
      <c r="N166" s="7">
        <v>200</v>
      </c>
      <c r="O166" s="6" t="b">
        <v>0</v>
      </c>
      <c r="P166" s="6">
        <v>0</v>
      </c>
      <c r="Q166" s="6">
        <v>0</v>
      </c>
      <c r="R166" s="7">
        <v>1</v>
      </c>
      <c r="S166" s="5">
        <v>0</v>
      </c>
      <c r="T166" s="7">
        <v>0</v>
      </c>
      <c r="U166" s="5" t="b">
        <v>1</v>
      </c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5">
        <v>5300010002</v>
      </c>
      <c r="C167" s="7" t="s">
        <v>1434</v>
      </c>
      <c r="D167" s="10" t="s">
        <v>693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5300010003</v>
      </c>
      <c r="C168" s="7" t="s">
        <v>1502</v>
      </c>
      <c r="D168" s="10" t="s">
        <v>693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5400010001</v>
      </c>
      <c r="C169" s="7" t="s">
        <v>487</v>
      </c>
      <c r="D169" s="10" t="s">
        <v>694</v>
      </c>
      <c r="E169" s="7">
        <v>1</v>
      </c>
      <c r="F169" s="7">
        <v>0</v>
      </c>
      <c r="G169" s="7">
        <v>3</v>
      </c>
      <c r="H169" s="7">
        <v>1</v>
      </c>
      <c r="I169" s="6">
        <v>0</v>
      </c>
      <c r="J169" s="7">
        <v>1</v>
      </c>
      <c r="K169" s="6">
        <v>100</v>
      </c>
      <c r="L169" s="7">
        <v>1</v>
      </c>
      <c r="M169" s="7">
        <v>0</v>
      </c>
      <c r="N169" s="7">
        <v>25</v>
      </c>
      <c r="O169" s="6" t="b">
        <v>0</v>
      </c>
      <c r="P169" s="6">
        <v>0</v>
      </c>
      <c r="Q169" s="6">
        <v>0</v>
      </c>
      <c r="R169" s="7">
        <v>3</v>
      </c>
      <c r="S169" s="5">
        <v>0</v>
      </c>
      <c r="T169" s="7">
        <v>-1</v>
      </c>
      <c r="U169" s="5" t="b">
        <v>1</v>
      </c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5400010002</v>
      </c>
      <c r="C170" s="7" t="s">
        <v>1435</v>
      </c>
      <c r="D170" s="10" t="s">
        <v>694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5400010003</v>
      </c>
      <c r="C171" s="7" t="s">
        <v>1503</v>
      </c>
      <c r="D171" s="10" t="s">
        <v>694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5500010001</v>
      </c>
      <c r="C172" s="7" t="s">
        <v>488</v>
      </c>
      <c r="D172" s="10" t="s">
        <v>695</v>
      </c>
      <c r="E172" s="7">
        <v>3</v>
      </c>
      <c r="F172" s="6">
        <v>0</v>
      </c>
      <c r="G172" s="7">
        <v>3</v>
      </c>
      <c r="H172" s="7">
        <v>7</v>
      </c>
      <c r="I172" s="6">
        <v>0</v>
      </c>
      <c r="J172" s="7">
        <v>2</v>
      </c>
      <c r="K172" s="6">
        <v>100</v>
      </c>
      <c r="L172" s="7">
        <v>2</v>
      </c>
      <c r="M172" s="7">
        <v>2</v>
      </c>
      <c r="N172" s="7">
        <v>400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4</v>
      </c>
      <c r="U172" s="5" t="b">
        <v>1</v>
      </c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5500010002</v>
      </c>
      <c r="C173" s="7" t="s">
        <v>1436</v>
      </c>
      <c r="D173" s="10" t="s">
        <v>695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5500010003</v>
      </c>
      <c r="C174" s="7" t="s">
        <v>1504</v>
      </c>
      <c r="D174" s="10" t="s">
        <v>695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7">
        <v>5600010001</v>
      </c>
      <c r="C175" s="7" t="s">
        <v>489</v>
      </c>
      <c r="D175" s="10" t="s">
        <v>696</v>
      </c>
      <c r="E175" s="6">
        <v>2</v>
      </c>
      <c r="F175" s="7">
        <v>0</v>
      </c>
      <c r="G175" s="6">
        <v>2</v>
      </c>
      <c r="H175" s="6">
        <v>3</v>
      </c>
      <c r="I175" s="6">
        <v>0</v>
      </c>
      <c r="J175" s="6">
        <v>2</v>
      </c>
      <c r="K175" s="6">
        <v>100</v>
      </c>
      <c r="L175" s="6">
        <v>1</v>
      </c>
      <c r="M175" s="6">
        <v>2</v>
      </c>
      <c r="N175" s="6">
        <v>120</v>
      </c>
      <c r="O175" s="6" t="b">
        <v>0</v>
      </c>
      <c r="P175" s="6">
        <v>0</v>
      </c>
      <c r="Q175" s="6">
        <v>0</v>
      </c>
      <c r="R175" s="5">
        <v>49</v>
      </c>
      <c r="S175" s="5">
        <v>0</v>
      </c>
      <c r="T175" s="5">
        <v>0</v>
      </c>
      <c r="U175" s="5" t="b">
        <v>1</v>
      </c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5">
        <v>5600010002</v>
      </c>
      <c r="C176" s="7" t="s">
        <v>1437</v>
      </c>
      <c r="D176" s="10" t="s">
        <v>696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5600010003</v>
      </c>
      <c r="C177" s="7" t="s">
        <v>1505</v>
      </c>
      <c r="D177" s="10" t="s">
        <v>696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5700010001</v>
      </c>
      <c r="C178" s="7" t="s">
        <v>490</v>
      </c>
      <c r="D178" s="10" t="s">
        <v>697</v>
      </c>
      <c r="E178" s="7">
        <v>2</v>
      </c>
      <c r="F178" s="6">
        <v>0</v>
      </c>
      <c r="G178" s="7">
        <v>2</v>
      </c>
      <c r="H178" s="7">
        <v>4</v>
      </c>
      <c r="I178" s="6">
        <v>0</v>
      </c>
      <c r="J178" s="7">
        <v>2</v>
      </c>
      <c r="K178" s="6">
        <v>100</v>
      </c>
      <c r="L178" s="7">
        <v>1</v>
      </c>
      <c r="M178" s="7">
        <v>2</v>
      </c>
      <c r="N178" s="7">
        <v>150</v>
      </c>
      <c r="O178" s="6" t="b">
        <v>0</v>
      </c>
      <c r="P178" s="6">
        <v>0</v>
      </c>
      <c r="Q178" s="6">
        <v>0</v>
      </c>
      <c r="R178" s="7">
        <v>49</v>
      </c>
      <c r="S178" s="5">
        <v>0</v>
      </c>
      <c r="T178" s="7">
        <v>0</v>
      </c>
      <c r="U178" s="5" t="b">
        <v>1</v>
      </c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5700010002</v>
      </c>
      <c r="C179" s="7" t="s">
        <v>1438</v>
      </c>
      <c r="D179" s="10" t="s">
        <v>697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5700010003</v>
      </c>
      <c r="C180" s="7" t="s">
        <v>1506</v>
      </c>
      <c r="D180" s="10" t="s">
        <v>697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5800010001</v>
      </c>
      <c r="C181" s="7" t="s">
        <v>491</v>
      </c>
      <c r="D181" s="10" t="s">
        <v>698</v>
      </c>
      <c r="E181" s="7">
        <v>2</v>
      </c>
      <c r="F181" s="7">
        <v>0</v>
      </c>
      <c r="G181" s="7">
        <v>1</v>
      </c>
      <c r="H181" s="7">
        <v>6</v>
      </c>
      <c r="I181" s="6">
        <v>0</v>
      </c>
      <c r="J181" s="7">
        <v>2</v>
      </c>
      <c r="K181" s="6">
        <v>100</v>
      </c>
      <c r="L181" s="7">
        <v>14</v>
      </c>
      <c r="M181" s="7">
        <v>2</v>
      </c>
      <c r="N181" s="7">
        <v>200</v>
      </c>
      <c r="O181" s="6" t="b">
        <v>0</v>
      </c>
      <c r="P181" s="6">
        <v>0</v>
      </c>
      <c r="Q181" s="6">
        <v>0</v>
      </c>
      <c r="R181" s="7">
        <v>1</v>
      </c>
      <c r="S181" s="5">
        <v>0</v>
      </c>
      <c r="T181" s="7">
        <v>0</v>
      </c>
      <c r="U181" s="5" t="b">
        <v>1</v>
      </c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5800010002</v>
      </c>
      <c r="C182" s="7" t="s">
        <v>1439</v>
      </c>
      <c r="D182" s="10" t="s">
        <v>698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5800010003</v>
      </c>
      <c r="C183" s="7" t="s">
        <v>1507</v>
      </c>
      <c r="D183" s="10" t="s">
        <v>698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7">
        <v>5900010001</v>
      </c>
      <c r="C184" s="7" t="s">
        <v>492</v>
      </c>
      <c r="D184" s="10" t="s">
        <v>699</v>
      </c>
      <c r="E184" s="7">
        <v>1</v>
      </c>
      <c r="F184" s="6">
        <v>0</v>
      </c>
      <c r="G184" s="7">
        <v>3</v>
      </c>
      <c r="H184" s="7">
        <v>1</v>
      </c>
      <c r="I184" s="6">
        <v>0</v>
      </c>
      <c r="J184" s="7">
        <v>1</v>
      </c>
      <c r="K184" s="6">
        <v>100</v>
      </c>
      <c r="L184" s="7">
        <v>1</v>
      </c>
      <c r="M184" s="7">
        <v>0</v>
      </c>
      <c r="N184" s="7">
        <v>25</v>
      </c>
      <c r="O184" s="6" t="b">
        <v>0</v>
      </c>
      <c r="P184" s="6">
        <v>0</v>
      </c>
      <c r="Q184" s="6">
        <v>0</v>
      </c>
      <c r="R184" s="7">
        <v>3</v>
      </c>
      <c r="S184" s="5">
        <v>0</v>
      </c>
      <c r="T184" s="7">
        <v>-1</v>
      </c>
      <c r="U184" s="5" t="b">
        <v>1</v>
      </c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5">
        <v>5900010002</v>
      </c>
      <c r="C185" s="7" t="s">
        <v>1440</v>
      </c>
      <c r="D185" s="10" t="s">
        <v>699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5900010003</v>
      </c>
      <c r="C186" s="7" t="s">
        <v>1508</v>
      </c>
      <c r="D186" s="10" t="s">
        <v>699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6000010001</v>
      </c>
      <c r="C187" s="7" t="s">
        <v>493</v>
      </c>
      <c r="D187" s="10" t="s">
        <v>700</v>
      </c>
      <c r="E187" s="7">
        <v>3</v>
      </c>
      <c r="F187" s="7">
        <v>0</v>
      </c>
      <c r="G187" s="7">
        <v>3</v>
      </c>
      <c r="H187" s="7">
        <v>7</v>
      </c>
      <c r="I187" s="6">
        <v>0</v>
      </c>
      <c r="J187" s="7">
        <v>2</v>
      </c>
      <c r="K187" s="6">
        <v>100</v>
      </c>
      <c r="L187" s="7">
        <v>2</v>
      </c>
      <c r="M187" s="7">
        <v>2</v>
      </c>
      <c r="N187" s="7">
        <v>400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4</v>
      </c>
      <c r="U187" s="5" t="b">
        <v>1</v>
      </c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53.25" customHeight="1">
      <c r="A188" s="8"/>
      <c r="B188" s="5">
        <v>6000010002</v>
      </c>
      <c r="C188" s="7" t="s">
        <v>1441</v>
      </c>
      <c r="D188" s="10" t="s">
        <v>700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36" customHeight="1">
      <c r="A189" s="8"/>
      <c r="B189" s="5">
        <v>6000010003</v>
      </c>
      <c r="C189" s="7" t="s">
        <v>1509</v>
      </c>
      <c r="D189" s="10" t="s">
        <v>700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18.75" customHeight="1">
      <c r="B190" s="5">
        <v>6100010001</v>
      </c>
      <c r="C190" s="7" t="s">
        <v>494</v>
      </c>
      <c r="D190" s="10" t="s">
        <v>701</v>
      </c>
      <c r="E190" s="6">
        <v>2</v>
      </c>
      <c r="F190" s="6">
        <v>0</v>
      </c>
      <c r="G190" s="6">
        <v>2</v>
      </c>
      <c r="H190" s="6">
        <v>3</v>
      </c>
      <c r="I190" s="6">
        <v>0</v>
      </c>
      <c r="J190" s="6">
        <v>2</v>
      </c>
      <c r="K190" s="6">
        <v>100</v>
      </c>
      <c r="L190" s="6">
        <v>1</v>
      </c>
      <c r="M190" s="6">
        <v>2</v>
      </c>
      <c r="N190" s="6">
        <v>120</v>
      </c>
      <c r="O190" s="6" t="b">
        <v>0</v>
      </c>
      <c r="P190" s="6">
        <v>0</v>
      </c>
      <c r="Q190" s="6">
        <v>0</v>
      </c>
      <c r="R190" s="5">
        <v>49</v>
      </c>
      <c r="S190" s="5">
        <v>0</v>
      </c>
      <c r="T190" s="5">
        <v>0</v>
      </c>
      <c r="U190" s="5" t="b">
        <v>1</v>
      </c>
    </row>
    <row r="191" spans="1:46" ht="18.75" customHeight="1">
      <c r="B191" s="5">
        <v>6100010002</v>
      </c>
      <c r="C191" s="7" t="s">
        <v>1442</v>
      </c>
      <c r="D191" s="10" t="s">
        <v>701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</row>
    <row r="192" spans="1:46" ht="18.75" customHeight="1">
      <c r="B192" s="5">
        <v>6100010003</v>
      </c>
      <c r="C192" s="7" t="s">
        <v>1510</v>
      </c>
      <c r="D192" s="10" t="s">
        <v>701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</row>
    <row r="193" spans="1:35" ht="18.75" customHeight="1">
      <c r="B193" s="7">
        <v>6200010001</v>
      </c>
      <c r="C193" s="7" t="s">
        <v>495</v>
      </c>
      <c r="D193" s="10" t="s">
        <v>702</v>
      </c>
      <c r="E193" s="7">
        <v>2</v>
      </c>
      <c r="F193" s="7">
        <v>0</v>
      </c>
      <c r="G193" s="7">
        <v>2</v>
      </c>
      <c r="H193" s="7">
        <v>4</v>
      </c>
      <c r="I193" s="6">
        <v>0</v>
      </c>
      <c r="J193" s="7">
        <v>2</v>
      </c>
      <c r="K193" s="6">
        <v>100</v>
      </c>
      <c r="L193" s="7">
        <v>1</v>
      </c>
      <c r="M193" s="7">
        <v>2</v>
      </c>
      <c r="N193" s="7">
        <v>150</v>
      </c>
      <c r="O193" s="6" t="b">
        <v>0</v>
      </c>
      <c r="P193" s="6">
        <v>0</v>
      </c>
      <c r="Q193" s="6">
        <v>0</v>
      </c>
      <c r="R193" s="7">
        <v>49</v>
      </c>
      <c r="S193" s="5">
        <v>0</v>
      </c>
      <c r="T193" s="7">
        <v>0</v>
      </c>
      <c r="U193" s="5" t="b">
        <v>1</v>
      </c>
    </row>
    <row r="194" spans="1:35" ht="18.75" customHeight="1">
      <c r="B194" s="5">
        <v>6200010002</v>
      </c>
      <c r="C194" s="7" t="s">
        <v>1443</v>
      </c>
      <c r="D194" s="10" t="s">
        <v>702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</row>
    <row r="195" spans="1:35" ht="18.75" customHeight="1">
      <c r="B195" s="5">
        <v>6200010003</v>
      </c>
      <c r="C195" s="7" t="s">
        <v>1511</v>
      </c>
      <c r="D195" s="10" t="s">
        <v>702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</row>
    <row r="196" spans="1:35" ht="18.75" customHeight="1">
      <c r="B196" s="5">
        <v>6300010001</v>
      </c>
      <c r="C196" s="7" t="s">
        <v>496</v>
      </c>
      <c r="D196" s="10" t="s">
        <v>703</v>
      </c>
      <c r="E196" s="7">
        <v>2</v>
      </c>
      <c r="F196" s="6">
        <v>0</v>
      </c>
      <c r="G196" s="7">
        <v>1</v>
      </c>
      <c r="H196" s="7">
        <v>6</v>
      </c>
      <c r="I196" s="6">
        <v>0</v>
      </c>
      <c r="J196" s="7">
        <v>2</v>
      </c>
      <c r="K196" s="6">
        <v>100</v>
      </c>
      <c r="L196" s="7">
        <v>14</v>
      </c>
      <c r="M196" s="7">
        <v>2</v>
      </c>
      <c r="N196" s="7">
        <v>200</v>
      </c>
      <c r="O196" s="6" t="b">
        <v>0</v>
      </c>
      <c r="P196" s="6">
        <v>0</v>
      </c>
      <c r="Q196" s="6">
        <v>0</v>
      </c>
      <c r="R196" s="7">
        <v>1</v>
      </c>
      <c r="S196" s="5">
        <v>0</v>
      </c>
      <c r="T196" s="7">
        <v>0</v>
      </c>
      <c r="U196" s="5" t="b">
        <v>1</v>
      </c>
    </row>
    <row r="197" spans="1:35" ht="18.75" customHeight="1">
      <c r="B197" s="5">
        <v>6300010002</v>
      </c>
      <c r="C197" s="7" t="s">
        <v>1444</v>
      </c>
      <c r="D197" s="10" t="s">
        <v>703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</row>
    <row r="198" spans="1:35" ht="18.75" customHeight="1">
      <c r="B198" s="5">
        <v>6300010003</v>
      </c>
      <c r="C198" s="7" t="s">
        <v>1512</v>
      </c>
      <c r="D198" s="10" t="s">
        <v>703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</row>
    <row r="199" spans="1:35" ht="18.75" customHeight="1">
      <c r="B199" s="5">
        <v>6400010001</v>
      </c>
      <c r="C199" s="7" t="s">
        <v>497</v>
      </c>
      <c r="D199" s="10" t="s">
        <v>704</v>
      </c>
      <c r="E199" s="7">
        <v>1</v>
      </c>
      <c r="F199" s="7">
        <v>0</v>
      </c>
      <c r="G199" s="7">
        <v>3</v>
      </c>
      <c r="H199" s="7">
        <v>1</v>
      </c>
      <c r="I199" s="6">
        <v>0</v>
      </c>
      <c r="J199" s="7">
        <v>1</v>
      </c>
      <c r="K199" s="6">
        <v>100</v>
      </c>
      <c r="L199" s="7">
        <v>1</v>
      </c>
      <c r="M199" s="7">
        <v>0</v>
      </c>
      <c r="N199" s="7">
        <v>25</v>
      </c>
      <c r="O199" s="6" t="b">
        <v>0</v>
      </c>
      <c r="P199" s="6">
        <v>0</v>
      </c>
      <c r="Q199" s="6">
        <v>0</v>
      </c>
      <c r="R199" s="7">
        <v>3</v>
      </c>
      <c r="S199" s="5">
        <v>0</v>
      </c>
      <c r="T199" s="7">
        <v>-1</v>
      </c>
      <c r="U199" s="5" t="b">
        <v>1</v>
      </c>
    </row>
    <row r="200" spans="1:35" ht="18.75" customHeight="1">
      <c r="A200" s="56"/>
      <c r="B200" s="5">
        <v>6400010002</v>
      </c>
      <c r="C200" s="7" t="s">
        <v>1445</v>
      </c>
      <c r="D200" s="10" t="s">
        <v>704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6"/>
      <c r="B201" s="5">
        <v>6400010003</v>
      </c>
      <c r="C201" s="7" t="s">
        <v>1513</v>
      </c>
      <c r="D201" s="10" t="s">
        <v>704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6"/>
      <c r="B202" s="7">
        <v>6500010001</v>
      </c>
      <c r="C202" s="7" t="s">
        <v>498</v>
      </c>
      <c r="D202" s="10" t="s">
        <v>705</v>
      </c>
      <c r="E202" s="7">
        <v>3</v>
      </c>
      <c r="F202" s="6">
        <v>0</v>
      </c>
      <c r="G202" s="7">
        <v>3</v>
      </c>
      <c r="H202" s="7">
        <v>7</v>
      </c>
      <c r="I202" s="6">
        <v>0</v>
      </c>
      <c r="J202" s="7">
        <v>2</v>
      </c>
      <c r="K202" s="6">
        <v>100</v>
      </c>
      <c r="L202" s="7">
        <v>2</v>
      </c>
      <c r="M202" s="7">
        <v>2</v>
      </c>
      <c r="N202" s="7">
        <v>400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4</v>
      </c>
      <c r="U202" s="5" t="b">
        <v>1</v>
      </c>
    </row>
    <row r="203" spans="1:35" ht="18.75" customHeight="1">
      <c r="A203" s="56"/>
      <c r="B203" s="5">
        <v>6500010002</v>
      </c>
      <c r="C203" s="7" t="s">
        <v>1446</v>
      </c>
      <c r="D203" s="10" t="s">
        <v>705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6"/>
      <c r="B204" s="5">
        <v>6500010003</v>
      </c>
      <c r="C204" s="7" t="s">
        <v>1514</v>
      </c>
      <c r="D204" s="10" t="s">
        <v>705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6"/>
      <c r="B205" s="5">
        <v>6600010001</v>
      </c>
      <c r="C205" s="7" t="s">
        <v>499</v>
      </c>
      <c r="D205" s="10" t="s">
        <v>706</v>
      </c>
      <c r="E205" s="6">
        <v>2</v>
      </c>
      <c r="F205" s="7">
        <v>0</v>
      </c>
      <c r="G205" s="6">
        <v>2</v>
      </c>
      <c r="H205" s="6">
        <v>3</v>
      </c>
      <c r="I205" s="6">
        <v>0</v>
      </c>
      <c r="J205" s="6">
        <v>2</v>
      </c>
      <c r="K205" s="6">
        <v>100</v>
      </c>
      <c r="L205" s="6">
        <v>1</v>
      </c>
      <c r="M205" s="6">
        <v>2</v>
      </c>
      <c r="N205" s="6">
        <v>120</v>
      </c>
      <c r="O205" s="6" t="b">
        <v>0</v>
      </c>
      <c r="P205" s="6">
        <v>0</v>
      </c>
      <c r="Q205" s="6">
        <v>0</v>
      </c>
      <c r="R205" s="5">
        <v>49</v>
      </c>
      <c r="S205" s="5">
        <v>0</v>
      </c>
      <c r="T205" s="5">
        <v>0</v>
      </c>
      <c r="U205" s="5" t="b">
        <v>1</v>
      </c>
    </row>
    <row r="206" spans="1:35" ht="18.75" customHeight="1">
      <c r="A206" s="56"/>
      <c r="B206" s="5">
        <v>6600010002</v>
      </c>
      <c r="C206" s="7" t="s">
        <v>1447</v>
      </c>
      <c r="D206" s="10" t="s">
        <v>706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6"/>
      <c r="B207" s="5">
        <v>6600010003</v>
      </c>
      <c r="C207" s="7" t="s">
        <v>1515</v>
      </c>
      <c r="D207" s="10" t="s">
        <v>706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6"/>
      <c r="B208" s="5">
        <v>6700010001</v>
      </c>
      <c r="C208" s="7" t="s">
        <v>500</v>
      </c>
      <c r="D208" s="10" t="s">
        <v>707</v>
      </c>
      <c r="E208" s="7">
        <v>2</v>
      </c>
      <c r="F208" s="6">
        <v>0</v>
      </c>
      <c r="G208" s="7">
        <v>2</v>
      </c>
      <c r="H208" s="7">
        <v>4</v>
      </c>
      <c r="I208" s="6">
        <v>0</v>
      </c>
      <c r="J208" s="7">
        <v>2</v>
      </c>
      <c r="K208" s="6">
        <v>100</v>
      </c>
      <c r="L208" s="7">
        <v>1</v>
      </c>
      <c r="M208" s="7">
        <v>2</v>
      </c>
      <c r="N208" s="7">
        <v>150</v>
      </c>
      <c r="O208" s="6" t="b">
        <v>0</v>
      </c>
      <c r="P208" s="6">
        <v>0</v>
      </c>
      <c r="Q208" s="6">
        <v>0</v>
      </c>
      <c r="R208" s="7">
        <v>49</v>
      </c>
      <c r="S208" s="5">
        <v>0</v>
      </c>
      <c r="T208" s="7">
        <v>0</v>
      </c>
      <c r="U208" s="5" t="b">
        <v>1</v>
      </c>
    </row>
    <row r="209" spans="1:21" ht="18.75" customHeight="1">
      <c r="A209" s="56"/>
      <c r="B209" s="5">
        <v>6700010002</v>
      </c>
      <c r="C209" s="7" t="s">
        <v>1448</v>
      </c>
      <c r="D209" s="10" t="s">
        <v>707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6"/>
      <c r="B210" s="5">
        <v>6700010003</v>
      </c>
      <c r="C210" s="7" t="s">
        <v>1516</v>
      </c>
      <c r="D210" s="10" t="s">
        <v>707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6"/>
      <c r="B211" s="7">
        <v>6800010001</v>
      </c>
      <c r="C211" s="7" t="s">
        <v>501</v>
      </c>
      <c r="D211" s="10" t="s">
        <v>708</v>
      </c>
      <c r="E211" s="7">
        <v>2</v>
      </c>
      <c r="F211" s="7">
        <v>0</v>
      </c>
      <c r="G211" s="7">
        <v>1</v>
      </c>
      <c r="H211" s="7">
        <v>6</v>
      </c>
      <c r="I211" s="6">
        <v>0</v>
      </c>
      <c r="J211" s="7">
        <v>2</v>
      </c>
      <c r="K211" s="6">
        <v>100</v>
      </c>
      <c r="L211" s="7">
        <v>14</v>
      </c>
      <c r="M211" s="7">
        <v>2</v>
      </c>
      <c r="N211" s="7">
        <v>200</v>
      </c>
      <c r="O211" s="6" t="b">
        <v>0</v>
      </c>
      <c r="P211" s="6">
        <v>0</v>
      </c>
      <c r="Q211" s="6">
        <v>0</v>
      </c>
      <c r="R211" s="7">
        <v>1</v>
      </c>
      <c r="S211" s="5">
        <v>0</v>
      </c>
      <c r="T211" s="7">
        <v>0</v>
      </c>
      <c r="U211" s="5" t="b">
        <v>1</v>
      </c>
    </row>
    <row r="212" spans="1:21" ht="18.75" customHeight="1">
      <c r="B212" s="5">
        <v>6800010002</v>
      </c>
      <c r="C212" s="7" t="s">
        <v>1449</v>
      </c>
      <c r="D212" s="10" t="s">
        <v>708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6800010003</v>
      </c>
      <c r="C213" s="7" t="s">
        <v>1517</v>
      </c>
      <c r="D213" s="10" t="s">
        <v>708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6900010001</v>
      </c>
      <c r="C214" s="7" t="s">
        <v>502</v>
      </c>
      <c r="D214" s="10" t="s">
        <v>709</v>
      </c>
      <c r="E214" s="7">
        <v>1</v>
      </c>
      <c r="F214" s="6">
        <v>0</v>
      </c>
      <c r="G214" s="7">
        <v>3</v>
      </c>
      <c r="H214" s="7">
        <v>1</v>
      </c>
      <c r="I214" s="6">
        <v>0</v>
      </c>
      <c r="J214" s="7">
        <v>1</v>
      </c>
      <c r="K214" s="6">
        <v>100</v>
      </c>
      <c r="L214" s="7">
        <v>1</v>
      </c>
      <c r="M214" s="7">
        <v>0</v>
      </c>
      <c r="N214" s="7">
        <v>25</v>
      </c>
      <c r="O214" s="6" t="b">
        <v>0</v>
      </c>
      <c r="P214" s="6">
        <v>0</v>
      </c>
      <c r="Q214" s="6">
        <v>0</v>
      </c>
      <c r="R214" s="7">
        <v>3</v>
      </c>
      <c r="S214" s="5">
        <v>0</v>
      </c>
      <c r="T214" s="7">
        <v>-1</v>
      </c>
      <c r="U214" s="5" t="b">
        <v>1</v>
      </c>
    </row>
    <row r="215" spans="1:21" ht="18.75" customHeight="1">
      <c r="B215" s="5">
        <v>6900010002</v>
      </c>
      <c r="C215" s="7" t="s">
        <v>1450</v>
      </c>
      <c r="D215" s="10" t="s">
        <v>709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6900010003</v>
      </c>
      <c r="C216" s="7" t="s">
        <v>1518</v>
      </c>
      <c r="D216" s="10" t="s">
        <v>709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7000010001</v>
      </c>
      <c r="C217" s="7" t="s">
        <v>503</v>
      </c>
      <c r="D217" s="10" t="s">
        <v>710</v>
      </c>
      <c r="E217" s="7">
        <v>3</v>
      </c>
      <c r="F217" s="7">
        <v>0</v>
      </c>
      <c r="G217" s="7">
        <v>3</v>
      </c>
      <c r="H217" s="7">
        <v>7</v>
      </c>
      <c r="I217" s="6">
        <v>0</v>
      </c>
      <c r="J217" s="7">
        <v>2</v>
      </c>
      <c r="K217" s="6">
        <v>100</v>
      </c>
      <c r="L217" s="7">
        <v>2</v>
      </c>
      <c r="M217" s="7">
        <v>2</v>
      </c>
      <c r="N217" s="7">
        <v>400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4</v>
      </c>
      <c r="U217" s="5" t="b">
        <v>1</v>
      </c>
    </row>
    <row r="218" spans="1:21" ht="18.75" customHeight="1">
      <c r="B218" s="5">
        <v>7000010002</v>
      </c>
      <c r="C218" s="7" t="s">
        <v>1451</v>
      </c>
      <c r="D218" s="10" t="s">
        <v>710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7000010003</v>
      </c>
      <c r="C219" s="7" t="s">
        <v>1519</v>
      </c>
      <c r="D219" s="10" t="s">
        <v>710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/>
      <c r="C220" s="7"/>
      <c r="D220" s="10"/>
      <c r="E220" s="13"/>
      <c r="F220" s="13"/>
      <c r="H220" s="7"/>
      <c r="I220" s="13"/>
      <c r="J220" s="13"/>
      <c r="K220" s="13"/>
      <c r="L220" s="13"/>
    </row>
    <row r="221" spans="1:21" ht="18.75" customHeight="1">
      <c r="B221" s="7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5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7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5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7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5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7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5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7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5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7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5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7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5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7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5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43.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9.5" customHeight="1">
      <c r="B241" s="7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57" customHeight="1">
      <c r="B242" s="5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60" customHeight="1">
      <c r="B243" s="7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18.75" customHeight="1">
      <c r="B244" s="5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7"/>
      <c r="C245" s="7"/>
      <c r="D245" s="7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5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7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5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7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3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E8" sqref="E8"/>
      <selection pane="topRight" activeCell="E8" sqref="E8"/>
      <selection pane="bottomLeft" activeCell="E8" sqref="E8"/>
      <selection pane="bottomRight" activeCell="E8" sqref="E8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277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7.25" customHeight="1">
      <c r="A9" s="57" t="s">
        <v>12</v>
      </c>
      <c r="B9" s="6" t="s">
        <v>1521</v>
      </c>
      <c r="C9" s="6"/>
      <c r="D9" s="6"/>
      <c r="E9" s="6" t="s">
        <v>281</v>
      </c>
      <c r="F9" s="6" t="s">
        <v>275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5"/>
      <c r="AP9" s="5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362</v>
      </c>
      <c r="D10" s="6" t="s">
        <v>599</v>
      </c>
      <c r="E10" s="6">
        <v>2</v>
      </c>
      <c r="F10" s="6">
        <v>1</v>
      </c>
      <c r="G10" s="6">
        <v>2</v>
      </c>
      <c r="H10" s="6">
        <v>100</v>
      </c>
      <c r="I10" s="6">
        <v>21</v>
      </c>
      <c r="J10" s="6">
        <v>2</v>
      </c>
      <c r="K10" s="6">
        <v>100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25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49</v>
      </c>
      <c r="AC10" s="5">
        <v>31</v>
      </c>
      <c r="AD10" s="5">
        <v>1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1522</v>
      </c>
      <c r="D11" s="6" t="s">
        <v>599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1592</v>
      </c>
      <c r="D12" s="6" t="s">
        <v>599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363</v>
      </c>
      <c r="D13" s="7" t="s">
        <v>978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1523</v>
      </c>
      <c r="D14" s="7" t="s">
        <v>978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1593</v>
      </c>
      <c r="D15" s="7" t="s">
        <v>978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364</v>
      </c>
      <c r="D16" s="7" t="s">
        <v>358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1524</v>
      </c>
      <c r="D17" s="7" t="s">
        <v>358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1594</v>
      </c>
      <c r="D18" s="7" t="s">
        <v>358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365</v>
      </c>
      <c r="D19" s="7" t="s">
        <v>894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7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36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1525</v>
      </c>
      <c r="D20" s="7" t="s">
        <v>894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1595</v>
      </c>
      <c r="D21" s="7" t="s">
        <v>894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366</v>
      </c>
      <c r="D22" s="7" t="s">
        <v>600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6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6">
        <v>3</v>
      </c>
      <c r="T22" s="6">
        <v>2</v>
      </c>
      <c r="U22" s="6">
        <v>10</v>
      </c>
      <c r="V22" s="5">
        <v>30</v>
      </c>
      <c r="W22" s="5">
        <v>0</v>
      </c>
      <c r="X22" s="5">
        <v>0</v>
      </c>
      <c r="Y22" s="6" t="b">
        <v>0</v>
      </c>
      <c r="Z22" s="6">
        <v>0</v>
      </c>
      <c r="AA22" s="6">
        <v>0</v>
      </c>
      <c r="AB22" s="5">
        <v>49</v>
      </c>
      <c r="AC22" s="5">
        <v>35</v>
      </c>
      <c r="AD22" s="5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1526</v>
      </c>
      <c r="D23" s="7" t="s">
        <v>600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1596</v>
      </c>
      <c r="D24" s="7" t="s">
        <v>600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60001</v>
      </c>
      <c r="C25" s="6" t="s">
        <v>367</v>
      </c>
      <c r="D25" s="7" t="s">
        <v>918</v>
      </c>
      <c r="E25" s="6">
        <v>2</v>
      </c>
      <c r="F25" s="6">
        <v>1</v>
      </c>
      <c r="G25" s="6">
        <v>2</v>
      </c>
      <c r="H25" s="6">
        <v>100</v>
      </c>
      <c r="I25" s="6">
        <v>21</v>
      </c>
      <c r="J25" s="6">
        <v>2</v>
      </c>
      <c r="K25" s="7">
        <v>100</v>
      </c>
      <c r="L25" s="6" t="b">
        <v>0</v>
      </c>
      <c r="M25" s="6">
        <v>0</v>
      </c>
      <c r="N25" s="6">
        <v>0</v>
      </c>
      <c r="O25" s="5">
        <v>1</v>
      </c>
      <c r="P25" s="5">
        <v>0</v>
      </c>
      <c r="Q25" s="5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</v>
      </c>
      <c r="W25" s="7">
        <v>4</v>
      </c>
      <c r="X25" s="7">
        <v>20</v>
      </c>
      <c r="Y25" s="6" t="b">
        <v>0</v>
      </c>
      <c r="Z25" s="6">
        <v>0</v>
      </c>
      <c r="AA25" s="6">
        <v>0</v>
      </c>
      <c r="AB25" s="7">
        <v>49</v>
      </c>
      <c r="AC25" s="5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1527</v>
      </c>
      <c r="D26" s="7" t="s">
        <v>918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1597</v>
      </c>
      <c r="D27" s="7" t="s">
        <v>918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368</v>
      </c>
      <c r="D28" s="7" t="s">
        <v>919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50</v>
      </c>
      <c r="V28" s="7">
        <v>30</v>
      </c>
      <c r="W28" s="7">
        <v>2</v>
      </c>
      <c r="X28" s="7">
        <v>24</v>
      </c>
      <c r="Y28" s="6" t="b">
        <v>0</v>
      </c>
      <c r="Z28" s="6">
        <v>0</v>
      </c>
      <c r="AA28" s="6">
        <v>0</v>
      </c>
      <c r="AB28" s="7">
        <v>49</v>
      </c>
      <c r="AC28" s="5">
        <v>64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9.5" customHeight="1">
      <c r="A29" s="8"/>
      <c r="B29" s="5">
        <v>70002</v>
      </c>
      <c r="C29" s="6" t="s">
        <v>1528</v>
      </c>
      <c r="D29" s="7" t="s">
        <v>919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1598</v>
      </c>
      <c r="D30" s="7" t="s">
        <v>919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42" customHeight="1">
      <c r="A31" s="8"/>
      <c r="B31" s="7">
        <v>80001</v>
      </c>
      <c r="C31" s="6" t="s">
        <v>369</v>
      </c>
      <c r="D31" s="6" t="s">
        <v>920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25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5">
        <v>33</v>
      </c>
      <c r="AD31" s="7">
        <v>1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80002</v>
      </c>
      <c r="C32" s="6" t="s">
        <v>1529</v>
      </c>
      <c r="D32" s="6" t="s">
        <v>920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80003</v>
      </c>
      <c r="C33" s="6" t="s">
        <v>1599</v>
      </c>
      <c r="D33" s="6" t="s">
        <v>920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5">
        <v>90001</v>
      </c>
      <c r="C34" s="6" t="s">
        <v>370</v>
      </c>
      <c r="D34" s="7" t="s">
        <v>921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6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6">
        <v>3</v>
      </c>
      <c r="T34" s="6">
        <v>2</v>
      </c>
      <c r="U34" s="6">
        <v>20</v>
      </c>
      <c r="V34" s="5">
        <v>30</v>
      </c>
      <c r="W34" s="5">
        <v>0</v>
      </c>
      <c r="X34" s="5">
        <v>0</v>
      </c>
      <c r="Y34" s="6" t="b">
        <v>0</v>
      </c>
      <c r="Z34" s="6">
        <v>0</v>
      </c>
      <c r="AA34" s="6">
        <v>0</v>
      </c>
      <c r="AB34" s="5">
        <v>49</v>
      </c>
      <c r="AC34" s="5">
        <v>34</v>
      </c>
      <c r="AD34" s="5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1530</v>
      </c>
      <c r="D35" s="7" t="s">
        <v>921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1600</v>
      </c>
      <c r="D36" s="7" t="s">
        <v>921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371</v>
      </c>
      <c r="D37" s="7" t="s">
        <v>358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30</v>
      </c>
      <c r="V37" s="7">
        <v>30</v>
      </c>
      <c r="W37" s="7">
        <v>0</v>
      </c>
      <c r="X37" s="7">
        <v>0</v>
      </c>
      <c r="Y37" s="6" t="b">
        <v>0</v>
      </c>
      <c r="Z37" s="6">
        <v>0</v>
      </c>
      <c r="AA37" s="6">
        <v>0</v>
      </c>
      <c r="AB37" s="7">
        <v>49</v>
      </c>
      <c r="AC37" s="5">
        <v>37</v>
      </c>
      <c r="AD37" s="7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30.75" customHeight="1">
      <c r="A38" s="8"/>
      <c r="B38" s="7">
        <v>100002</v>
      </c>
      <c r="C38" s="6" t="s">
        <v>1531</v>
      </c>
      <c r="D38" s="7" t="s">
        <v>358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100003</v>
      </c>
      <c r="C39" s="6" t="s">
        <v>1601</v>
      </c>
      <c r="D39" s="7" t="s">
        <v>358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5">
        <v>110001</v>
      </c>
      <c r="C40" s="6" t="s">
        <v>372</v>
      </c>
      <c r="D40" s="7" t="s">
        <v>359</v>
      </c>
      <c r="E40" s="6">
        <v>2</v>
      </c>
      <c r="F40" s="6">
        <v>1</v>
      </c>
      <c r="G40" s="6">
        <v>2</v>
      </c>
      <c r="H40" s="6">
        <v>100</v>
      </c>
      <c r="I40" s="7">
        <v>21</v>
      </c>
      <c r="J40" s="6">
        <v>2</v>
      </c>
      <c r="K40" s="6">
        <v>100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7">
        <v>3</v>
      </c>
      <c r="T40" s="7">
        <v>2</v>
      </c>
      <c r="U40" s="6">
        <v>35</v>
      </c>
      <c r="V40" s="7">
        <v>30</v>
      </c>
      <c r="W40" s="7">
        <v>0</v>
      </c>
      <c r="X40" s="7">
        <v>20</v>
      </c>
      <c r="Y40" s="6" t="b">
        <v>0</v>
      </c>
      <c r="Z40" s="6">
        <v>0</v>
      </c>
      <c r="AA40" s="6">
        <v>0</v>
      </c>
      <c r="AB40" s="7">
        <v>3</v>
      </c>
      <c r="AC40" s="5">
        <v>21</v>
      </c>
      <c r="AD40" s="7">
        <v>3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110002</v>
      </c>
      <c r="C41" s="6" t="s">
        <v>1532</v>
      </c>
      <c r="D41" s="7" t="s">
        <v>359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1602</v>
      </c>
      <c r="D42" s="7" t="s">
        <v>359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120001</v>
      </c>
      <c r="C43" s="6" t="s">
        <v>373</v>
      </c>
      <c r="D43" s="7" t="s">
        <v>600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7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</v>
      </c>
      <c r="V43" s="7">
        <v>30</v>
      </c>
      <c r="W43" s="7">
        <v>0</v>
      </c>
      <c r="X43" s="7">
        <v>0</v>
      </c>
      <c r="Y43" s="6" t="b">
        <v>0</v>
      </c>
      <c r="Z43" s="6">
        <v>0</v>
      </c>
      <c r="AA43" s="6">
        <v>0</v>
      </c>
      <c r="AB43" s="7">
        <v>3</v>
      </c>
      <c r="AC43" s="5">
        <v>32</v>
      </c>
      <c r="AD43" s="7">
        <v>1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1533</v>
      </c>
      <c r="D44" s="7" t="s">
        <v>600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120003</v>
      </c>
      <c r="C45" s="6" t="s">
        <v>1603</v>
      </c>
      <c r="D45" s="7" t="s">
        <v>600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5">
        <v>130001</v>
      </c>
      <c r="C46" s="6" t="s">
        <v>374</v>
      </c>
      <c r="D46" s="7" t="s">
        <v>360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6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6">
        <v>2</v>
      </c>
      <c r="T46" s="6">
        <v>5</v>
      </c>
      <c r="U46" s="6">
        <v>100</v>
      </c>
      <c r="V46" s="5">
        <v>1</v>
      </c>
      <c r="W46" s="5">
        <v>4</v>
      </c>
      <c r="X46" s="5">
        <v>20</v>
      </c>
      <c r="Y46" s="6" t="b">
        <v>0</v>
      </c>
      <c r="Z46" s="6">
        <v>0</v>
      </c>
      <c r="AA46" s="6">
        <v>0</v>
      </c>
      <c r="AB46" s="5">
        <v>49</v>
      </c>
      <c r="AC46" s="5">
        <v>0</v>
      </c>
      <c r="AD46" s="5">
        <v>0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1534</v>
      </c>
      <c r="D47" s="7" t="s">
        <v>360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1604</v>
      </c>
      <c r="D48" s="7" t="s">
        <v>360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375</v>
      </c>
      <c r="D49" s="7" t="s">
        <v>361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24</v>
      </c>
      <c r="Y49" s="6" t="b">
        <v>0</v>
      </c>
      <c r="Z49" s="6">
        <v>0</v>
      </c>
      <c r="AA49" s="6">
        <v>0</v>
      </c>
      <c r="AB49" s="7">
        <v>1</v>
      </c>
      <c r="AC49" s="5">
        <v>65</v>
      </c>
      <c r="AD49" s="7">
        <v>2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1535</v>
      </c>
      <c r="D50" s="7" t="s">
        <v>361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1605</v>
      </c>
      <c r="D51" s="7" t="s">
        <v>361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376</v>
      </c>
      <c r="D52" s="7" t="s">
        <v>432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6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25</v>
      </c>
      <c r="V52" s="7">
        <v>30</v>
      </c>
      <c r="W52" s="7">
        <v>0</v>
      </c>
      <c r="X52" s="7">
        <v>10</v>
      </c>
      <c r="Y52" s="6" t="b">
        <v>0</v>
      </c>
      <c r="Z52" s="6">
        <v>0</v>
      </c>
      <c r="AA52" s="6">
        <v>0</v>
      </c>
      <c r="AB52" s="7">
        <v>3</v>
      </c>
      <c r="AC52" s="5">
        <v>17</v>
      </c>
      <c r="AD52" s="7">
        <v>3</v>
      </c>
      <c r="AE52" s="5" t="b">
        <v>1</v>
      </c>
      <c r="AF52" s="30">
        <v>3</v>
      </c>
      <c r="AG52" s="30">
        <v>2</v>
      </c>
      <c r="AH52" s="30">
        <v>100</v>
      </c>
      <c r="AI52" s="30">
        <v>1</v>
      </c>
      <c r="AJ52" s="30">
        <v>0</v>
      </c>
      <c r="AK52" s="30">
        <v>10</v>
      </c>
      <c r="AL52" s="30" t="b">
        <v>0</v>
      </c>
      <c r="AM52" s="30">
        <v>0</v>
      </c>
      <c r="AN52" s="30">
        <v>0</v>
      </c>
      <c r="AO52" s="30">
        <v>3</v>
      </c>
      <c r="AP52" s="30">
        <v>2</v>
      </c>
      <c r="AQ52" s="30">
        <v>3</v>
      </c>
      <c r="AR52" s="30" t="b">
        <v>1</v>
      </c>
    </row>
    <row r="53" spans="1:52" ht="18.75" customHeight="1">
      <c r="B53" s="5">
        <v>150002</v>
      </c>
      <c r="C53" s="6" t="s">
        <v>1536</v>
      </c>
      <c r="D53" s="7" t="s">
        <v>432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150003</v>
      </c>
      <c r="C54" s="6" t="s">
        <v>1606</v>
      </c>
      <c r="D54" s="7" t="s">
        <v>432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7">
        <v>160001</v>
      </c>
      <c r="C55" s="7" t="s">
        <v>377</v>
      </c>
      <c r="D55" s="7" t="s">
        <v>933</v>
      </c>
      <c r="E55" s="6">
        <v>2</v>
      </c>
      <c r="F55" s="6">
        <v>1</v>
      </c>
      <c r="G55" s="6">
        <v>2</v>
      </c>
      <c r="H55" s="6">
        <v>100</v>
      </c>
      <c r="I55" s="7">
        <v>21</v>
      </c>
      <c r="J55" s="6">
        <v>2</v>
      </c>
      <c r="K55" s="7">
        <v>100</v>
      </c>
      <c r="L55" s="6" t="b">
        <v>0</v>
      </c>
      <c r="M55" s="6">
        <v>0</v>
      </c>
      <c r="N55" s="6">
        <v>0</v>
      </c>
      <c r="O55" s="5">
        <v>1</v>
      </c>
      <c r="P55" s="5">
        <v>0</v>
      </c>
      <c r="Q55" s="5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40</v>
      </c>
      <c r="Y55" s="6" t="b">
        <v>0</v>
      </c>
      <c r="Z55" s="6">
        <v>0</v>
      </c>
      <c r="AA55" s="6">
        <v>0</v>
      </c>
      <c r="AB55" s="7">
        <v>1</v>
      </c>
      <c r="AC55" s="5">
        <v>63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160002</v>
      </c>
      <c r="C56" s="7" t="s">
        <v>1537</v>
      </c>
      <c r="D56" s="7" t="s">
        <v>933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160003</v>
      </c>
      <c r="C57" s="7" t="s">
        <v>1607</v>
      </c>
      <c r="D57" s="7" t="s">
        <v>933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5">
        <v>170001</v>
      </c>
      <c r="C58" s="7" t="s">
        <v>378</v>
      </c>
      <c r="D58" s="7" t="s">
        <v>934</v>
      </c>
      <c r="E58" s="7">
        <v>2</v>
      </c>
      <c r="F58" s="7">
        <v>1</v>
      </c>
      <c r="G58" s="7">
        <v>2</v>
      </c>
      <c r="H58" s="6">
        <v>100</v>
      </c>
      <c r="I58" s="7">
        <v>21</v>
      </c>
      <c r="J58" s="7">
        <v>2</v>
      </c>
      <c r="K58" s="6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6">
        <v>2</v>
      </c>
      <c r="T58" s="6">
        <v>5</v>
      </c>
      <c r="U58" s="6">
        <v>100</v>
      </c>
      <c r="V58" s="5">
        <v>1</v>
      </c>
      <c r="W58" s="5">
        <v>4</v>
      </c>
      <c r="X58" s="5">
        <v>25</v>
      </c>
      <c r="Y58" s="6" t="b">
        <v>0</v>
      </c>
      <c r="Z58" s="6">
        <v>0</v>
      </c>
      <c r="AA58" s="6">
        <v>0</v>
      </c>
      <c r="AB58" s="5">
        <v>49</v>
      </c>
      <c r="AC58" s="5">
        <v>0</v>
      </c>
      <c r="AD58" s="5">
        <v>0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1538</v>
      </c>
      <c r="D59" s="7" t="s">
        <v>934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1608</v>
      </c>
      <c r="D60" s="7" t="s">
        <v>934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379</v>
      </c>
      <c r="D61" s="7" t="s">
        <v>935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7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15</v>
      </c>
      <c r="V61" s="7">
        <v>30</v>
      </c>
      <c r="W61" s="7">
        <v>0</v>
      </c>
      <c r="X61" s="7">
        <v>0</v>
      </c>
      <c r="Y61" s="6" t="b">
        <v>0</v>
      </c>
      <c r="Z61" s="6">
        <v>0</v>
      </c>
      <c r="AA61" s="6">
        <v>0</v>
      </c>
      <c r="AB61" s="7">
        <v>3</v>
      </c>
      <c r="AC61" s="5">
        <v>33</v>
      </c>
      <c r="AD61" s="7">
        <v>1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1539</v>
      </c>
      <c r="D62" s="7" t="s">
        <v>935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1609</v>
      </c>
      <c r="D63" s="7" t="s">
        <v>935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380</v>
      </c>
      <c r="D64" s="7" t="s">
        <v>433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20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37</v>
      </c>
      <c r="AD64" s="7">
        <v>2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1540</v>
      </c>
      <c r="D65" s="7" t="s">
        <v>433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1610</v>
      </c>
      <c r="D66" s="7" t="s">
        <v>433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381</v>
      </c>
      <c r="D67" s="7" t="s">
        <v>936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50</v>
      </c>
      <c r="V67" s="7">
        <v>30</v>
      </c>
      <c r="W67" s="7">
        <v>2</v>
      </c>
      <c r="X67" s="7">
        <v>30</v>
      </c>
      <c r="Y67" s="6" t="b">
        <v>0</v>
      </c>
      <c r="Z67" s="6">
        <v>0</v>
      </c>
      <c r="AA67" s="6">
        <v>0</v>
      </c>
      <c r="AB67" s="7">
        <v>1</v>
      </c>
      <c r="AC67" s="5">
        <v>64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1541</v>
      </c>
      <c r="D68" s="7" t="s">
        <v>936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1611</v>
      </c>
      <c r="D69" s="7" t="s">
        <v>936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382</v>
      </c>
      <c r="D70" s="7" t="s">
        <v>937</v>
      </c>
      <c r="E70" s="6">
        <v>2</v>
      </c>
      <c r="F70" s="6">
        <v>1</v>
      </c>
      <c r="G70" s="6">
        <v>2</v>
      </c>
      <c r="H70" s="6">
        <v>100</v>
      </c>
      <c r="I70" s="7">
        <v>21</v>
      </c>
      <c r="J70" s="6">
        <v>2</v>
      </c>
      <c r="K70" s="6">
        <v>100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40</v>
      </c>
      <c r="V70" s="5">
        <v>30</v>
      </c>
      <c r="W70" s="5">
        <v>2</v>
      </c>
      <c r="X70" s="5">
        <v>22</v>
      </c>
      <c r="Y70" s="6" t="b">
        <v>0</v>
      </c>
      <c r="Z70" s="6">
        <v>0</v>
      </c>
      <c r="AA70" s="6">
        <v>0</v>
      </c>
      <c r="AB70" s="5">
        <v>1</v>
      </c>
      <c r="AC70" s="5">
        <v>64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1542</v>
      </c>
      <c r="D71" s="7" t="s">
        <v>937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1612</v>
      </c>
      <c r="D72" s="7" t="s">
        <v>937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383</v>
      </c>
      <c r="D73" s="10" t="s">
        <v>434</v>
      </c>
      <c r="E73" s="7">
        <v>2</v>
      </c>
      <c r="F73" s="7">
        <v>1</v>
      </c>
      <c r="G73" s="7">
        <v>2</v>
      </c>
      <c r="H73" s="6">
        <v>100</v>
      </c>
      <c r="I73" s="7">
        <v>21</v>
      </c>
      <c r="J73" s="7">
        <v>2</v>
      </c>
      <c r="K73" s="7">
        <v>100</v>
      </c>
      <c r="L73" s="6" t="b">
        <v>0</v>
      </c>
      <c r="M73" s="6">
        <v>0</v>
      </c>
      <c r="N73" s="6">
        <v>0</v>
      </c>
      <c r="O73" s="7">
        <v>1</v>
      </c>
      <c r="P73" s="5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0</v>
      </c>
      <c r="X73" s="7">
        <v>15</v>
      </c>
      <c r="Y73" s="6" t="b">
        <v>0</v>
      </c>
      <c r="Z73" s="6">
        <v>0</v>
      </c>
      <c r="AA73" s="6">
        <v>0</v>
      </c>
      <c r="AB73" s="7">
        <v>3</v>
      </c>
      <c r="AC73" s="5">
        <v>20</v>
      </c>
      <c r="AD73" s="7">
        <v>3</v>
      </c>
      <c r="AE73" s="5" t="b">
        <v>1</v>
      </c>
      <c r="AF73" s="30">
        <v>3</v>
      </c>
      <c r="AG73" s="30">
        <v>2</v>
      </c>
      <c r="AH73" s="30">
        <v>100</v>
      </c>
      <c r="AI73" s="30">
        <v>1</v>
      </c>
      <c r="AJ73" s="30">
        <v>0</v>
      </c>
      <c r="AK73" s="30">
        <v>15</v>
      </c>
      <c r="AL73" s="30" t="b">
        <v>0</v>
      </c>
      <c r="AM73" s="30">
        <v>0</v>
      </c>
      <c r="AN73" s="30">
        <v>0</v>
      </c>
      <c r="AO73" s="30">
        <v>3</v>
      </c>
      <c r="AP73" s="30">
        <v>5</v>
      </c>
      <c r="AQ73" s="30">
        <v>3</v>
      </c>
      <c r="AR73" s="30" t="b">
        <v>1</v>
      </c>
    </row>
    <row r="74" spans="1:52" ht="18.75" customHeight="1">
      <c r="B74" s="7">
        <v>220002</v>
      </c>
      <c r="C74" s="7" t="s">
        <v>1543</v>
      </c>
      <c r="D74" s="10" t="s">
        <v>434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1:52" ht="18.75" customHeight="1">
      <c r="B75" s="7">
        <v>220003</v>
      </c>
      <c r="C75" s="7" t="s">
        <v>1613</v>
      </c>
      <c r="D75" s="10" t="s">
        <v>434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1:52" ht="18.75" customHeight="1">
      <c r="B76" s="5">
        <v>230001</v>
      </c>
      <c r="C76" s="7" t="s">
        <v>384</v>
      </c>
      <c r="D76" s="10" t="s">
        <v>938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6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50</v>
      </c>
      <c r="V76" s="7">
        <v>30</v>
      </c>
      <c r="W76" s="7">
        <v>2</v>
      </c>
      <c r="X76" s="7">
        <v>24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1544</v>
      </c>
      <c r="D77" s="10" t="s">
        <v>938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1614</v>
      </c>
      <c r="D78" s="10" t="s">
        <v>938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385</v>
      </c>
      <c r="D79" s="10" t="s">
        <v>939</v>
      </c>
      <c r="E79" s="7">
        <v>2</v>
      </c>
      <c r="F79" s="7">
        <v>1</v>
      </c>
      <c r="G79" s="7">
        <v>2</v>
      </c>
      <c r="H79" s="6">
        <v>100</v>
      </c>
      <c r="I79" s="7">
        <v>38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100</v>
      </c>
      <c r="V79" s="7">
        <v>1</v>
      </c>
      <c r="W79" s="7">
        <v>0</v>
      </c>
      <c r="X79" s="7">
        <v>20</v>
      </c>
      <c r="Y79" s="6" t="b">
        <v>0</v>
      </c>
      <c r="Z79" s="6">
        <v>0</v>
      </c>
      <c r="AA79" s="6">
        <v>0</v>
      </c>
      <c r="AB79" s="7">
        <v>3</v>
      </c>
      <c r="AC79" s="5">
        <v>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1545</v>
      </c>
      <c r="D80" s="10" t="s">
        <v>939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1615</v>
      </c>
      <c r="D81" s="10" t="s">
        <v>939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386</v>
      </c>
      <c r="D82" s="10" t="s">
        <v>940</v>
      </c>
      <c r="E82" s="7">
        <v>2</v>
      </c>
      <c r="F82" s="7">
        <v>1</v>
      </c>
      <c r="G82" s="7">
        <v>2</v>
      </c>
      <c r="H82" s="6">
        <v>100</v>
      </c>
      <c r="I82" s="7">
        <v>21</v>
      </c>
      <c r="J82" s="7">
        <v>2</v>
      </c>
      <c r="K82" s="6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6">
        <v>2</v>
      </c>
      <c r="T82" s="6">
        <v>5</v>
      </c>
      <c r="U82" s="6">
        <v>100</v>
      </c>
      <c r="V82" s="5">
        <v>31</v>
      </c>
      <c r="W82" s="5">
        <v>4</v>
      </c>
      <c r="X82" s="5">
        <v>35</v>
      </c>
      <c r="Y82" s="6" t="b">
        <v>0</v>
      </c>
      <c r="Z82" s="6">
        <v>0</v>
      </c>
      <c r="AA82" s="6">
        <v>0</v>
      </c>
      <c r="AB82" s="5">
        <v>49</v>
      </c>
      <c r="AC82" s="5">
        <v>0</v>
      </c>
      <c r="AD82" s="5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1546</v>
      </c>
      <c r="D83" s="10" t="s">
        <v>940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1616</v>
      </c>
      <c r="D84" s="10" t="s">
        <v>940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387</v>
      </c>
      <c r="D85" s="10" t="s">
        <v>934</v>
      </c>
      <c r="E85" s="6">
        <v>2</v>
      </c>
      <c r="F85" s="6">
        <v>1</v>
      </c>
      <c r="G85" s="6">
        <v>2</v>
      </c>
      <c r="H85" s="6">
        <v>100</v>
      </c>
      <c r="I85" s="7">
        <v>21</v>
      </c>
      <c r="J85" s="6">
        <v>2</v>
      </c>
      <c r="K85" s="7">
        <v>100</v>
      </c>
      <c r="L85" s="6" t="b">
        <v>0</v>
      </c>
      <c r="M85" s="6">
        <v>0</v>
      </c>
      <c r="N85" s="6">
        <v>0</v>
      </c>
      <c r="O85" s="5">
        <v>1</v>
      </c>
      <c r="P85" s="5">
        <v>0</v>
      </c>
      <c r="Q85" s="5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25</v>
      </c>
      <c r="Y85" s="6" t="b">
        <v>0</v>
      </c>
      <c r="Z85" s="6">
        <v>0</v>
      </c>
      <c r="AA85" s="6">
        <v>0</v>
      </c>
      <c r="AB85" s="7">
        <v>49</v>
      </c>
      <c r="AC85" s="5">
        <v>0</v>
      </c>
      <c r="AD85" s="7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1547</v>
      </c>
      <c r="D86" s="10" t="s">
        <v>934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1617</v>
      </c>
      <c r="D87" s="10" t="s">
        <v>934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388</v>
      </c>
      <c r="D88" s="10" t="s">
        <v>941</v>
      </c>
      <c r="E88" s="7">
        <v>2</v>
      </c>
      <c r="F88" s="7">
        <v>1</v>
      </c>
      <c r="G88" s="7">
        <v>2</v>
      </c>
      <c r="H88" s="6">
        <v>100</v>
      </c>
      <c r="I88" s="7">
        <v>21</v>
      </c>
      <c r="J88" s="7">
        <v>2</v>
      </c>
      <c r="K88" s="6">
        <v>100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3</v>
      </c>
      <c r="T88" s="7">
        <v>2</v>
      </c>
      <c r="U88" s="6">
        <v>15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32</v>
      </c>
      <c r="AD88" s="7">
        <v>1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1548</v>
      </c>
      <c r="D89" s="10" t="s">
        <v>941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1618</v>
      </c>
      <c r="D90" s="10" t="s">
        <v>941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389</v>
      </c>
      <c r="D91" s="10" t="s">
        <v>433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7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20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37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1549</v>
      </c>
      <c r="D92" s="10" t="s">
        <v>433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1619</v>
      </c>
      <c r="D93" s="10" t="s">
        <v>433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390</v>
      </c>
      <c r="D94" s="10" t="s">
        <v>942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6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6">
        <v>3</v>
      </c>
      <c r="T94" s="6">
        <v>2</v>
      </c>
      <c r="U94" s="6">
        <v>50</v>
      </c>
      <c r="V94" s="5">
        <v>30</v>
      </c>
      <c r="W94" s="5">
        <v>2</v>
      </c>
      <c r="X94" s="5">
        <v>30</v>
      </c>
      <c r="Y94" s="6" t="b">
        <v>0</v>
      </c>
      <c r="Z94" s="6">
        <v>0</v>
      </c>
      <c r="AA94" s="6">
        <v>0</v>
      </c>
      <c r="AB94" s="5">
        <v>1</v>
      </c>
      <c r="AC94" s="5">
        <v>63</v>
      </c>
      <c r="AD94" s="5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290002</v>
      </c>
      <c r="C95" s="7" t="s">
        <v>1550</v>
      </c>
      <c r="D95" s="10" t="s">
        <v>942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1620</v>
      </c>
      <c r="D96" s="10" t="s">
        <v>942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391</v>
      </c>
      <c r="D97" s="10" t="s">
        <v>943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40</v>
      </c>
      <c r="V97" s="7">
        <v>30</v>
      </c>
      <c r="W97" s="7">
        <v>2</v>
      </c>
      <c r="X97" s="7">
        <v>22</v>
      </c>
      <c r="Y97" s="6" t="b">
        <v>0</v>
      </c>
      <c r="Z97" s="6">
        <v>0</v>
      </c>
      <c r="AA97" s="6">
        <v>0</v>
      </c>
      <c r="AB97" s="7">
        <v>1</v>
      </c>
      <c r="AC97" s="5">
        <v>65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1551</v>
      </c>
      <c r="D98" s="10" t="s">
        <v>943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9.5" customHeight="1">
      <c r="A99" s="8"/>
      <c r="B99" s="7">
        <v>300003</v>
      </c>
      <c r="C99" s="7" t="s">
        <v>1621</v>
      </c>
      <c r="D99" s="10" t="s">
        <v>943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392</v>
      </c>
      <c r="D100" s="10" t="s">
        <v>602</v>
      </c>
      <c r="E100" s="6">
        <v>2</v>
      </c>
      <c r="F100" s="6">
        <v>1</v>
      </c>
      <c r="G100" s="6">
        <v>2</v>
      </c>
      <c r="H100" s="6">
        <v>100</v>
      </c>
      <c r="I100" s="7">
        <v>21</v>
      </c>
      <c r="J100" s="6">
        <v>2</v>
      </c>
      <c r="K100" s="6">
        <v>100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7">
        <v>3</v>
      </c>
      <c r="T100" s="7">
        <v>2</v>
      </c>
      <c r="U100" s="6">
        <v>15</v>
      </c>
      <c r="V100" s="7">
        <v>30</v>
      </c>
      <c r="W100" s="7">
        <v>0</v>
      </c>
      <c r="X100" s="7">
        <v>0</v>
      </c>
      <c r="Y100" s="6" t="b">
        <v>0</v>
      </c>
      <c r="Z100" s="6">
        <v>0</v>
      </c>
      <c r="AA100" s="6">
        <v>0</v>
      </c>
      <c r="AB100" s="7">
        <v>3</v>
      </c>
      <c r="AC100" s="5">
        <v>31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42" customHeight="1">
      <c r="A101" s="8"/>
      <c r="B101" s="5">
        <v>310002</v>
      </c>
      <c r="C101" s="7" t="s">
        <v>1552</v>
      </c>
      <c r="D101" s="10" t="s">
        <v>602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310003</v>
      </c>
      <c r="C102" s="7" t="s">
        <v>1622</v>
      </c>
      <c r="D102" s="10" t="s">
        <v>602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7">
        <v>320001</v>
      </c>
      <c r="C103" s="7" t="s">
        <v>393</v>
      </c>
      <c r="D103" s="10" t="s">
        <v>965</v>
      </c>
      <c r="E103" s="7">
        <v>2</v>
      </c>
      <c r="F103" s="7">
        <v>1</v>
      </c>
      <c r="G103" s="7">
        <v>2</v>
      </c>
      <c r="H103" s="6">
        <v>100</v>
      </c>
      <c r="I103" s="7">
        <v>21</v>
      </c>
      <c r="J103" s="7">
        <v>2</v>
      </c>
      <c r="K103" s="7">
        <v>100</v>
      </c>
      <c r="L103" s="6" t="b">
        <v>0</v>
      </c>
      <c r="M103" s="6">
        <v>0</v>
      </c>
      <c r="N103" s="6">
        <v>0</v>
      </c>
      <c r="O103" s="7">
        <v>1</v>
      </c>
      <c r="P103" s="5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25</v>
      </c>
      <c r="Y103" s="6" t="b">
        <v>0</v>
      </c>
      <c r="Z103" s="6">
        <v>0</v>
      </c>
      <c r="AA103" s="6">
        <v>0</v>
      </c>
      <c r="AB103" s="7">
        <v>1</v>
      </c>
      <c r="AC103" s="5">
        <v>65</v>
      </c>
      <c r="AD103" s="7">
        <v>4</v>
      </c>
      <c r="AE103" s="5" t="b">
        <v>1</v>
      </c>
      <c r="AF103" s="7">
        <v>3</v>
      </c>
      <c r="AG103" s="7">
        <v>2</v>
      </c>
      <c r="AH103" s="7">
        <v>100</v>
      </c>
      <c r="AI103" s="7">
        <v>1</v>
      </c>
      <c r="AJ103" s="7">
        <v>0</v>
      </c>
      <c r="AK103" s="7">
        <v>11</v>
      </c>
      <c r="AL103" s="7" t="b">
        <v>0</v>
      </c>
      <c r="AM103" s="7">
        <v>0</v>
      </c>
      <c r="AN103" s="7">
        <v>0</v>
      </c>
      <c r="AO103" s="7">
        <v>3</v>
      </c>
      <c r="AP103" s="7">
        <v>7</v>
      </c>
      <c r="AQ103" s="7">
        <v>4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320002</v>
      </c>
      <c r="C104" s="7" t="s">
        <v>1553</v>
      </c>
      <c r="D104" s="10" t="s">
        <v>965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1623</v>
      </c>
      <c r="D105" s="10" t="s">
        <v>965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394</v>
      </c>
      <c r="D106" s="10" t="s">
        <v>966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6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6">
        <v>3</v>
      </c>
      <c r="T106" s="6">
        <v>2</v>
      </c>
      <c r="U106" s="6">
        <v>40</v>
      </c>
      <c r="V106" s="5">
        <v>30</v>
      </c>
      <c r="W106" s="5">
        <v>0</v>
      </c>
      <c r="X106" s="5">
        <v>0</v>
      </c>
      <c r="Y106" s="6" t="b">
        <v>0</v>
      </c>
      <c r="Z106" s="6">
        <v>0</v>
      </c>
      <c r="AA106" s="6">
        <v>0</v>
      </c>
      <c r="AB106" s="5">
        <v>3</v>
      </c>
      <c r="AC106" s="5">
        <v>33</v>
      </c>
      <c r="AD106" s="5">
        <v>1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1554</v>
      </c>
      <c r="D107" s="10" t="s">
        <v>966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30.75" customHeight="1">
      <c r="A108" s="8"/>
      <c r="B108" s="5">
        <v>330003</v>
      </c>
      <c r="C108" s="7" t="s">
        <v>1624</v>
      </c>
      <c r="D108" s="10" t="s">
        <v>966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7">
        <v>340001</v>
      </c>
      <c r="C109" s="7" t="s">
        <v>395</v>
      </c>
      <c r="D109" s="10" t="s">
        <v>967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80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10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5">
        <v>34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340002</v>
      </c>
      <c r="C110" s="7" t="s">
        <v>1555</v>
      </c>
      <c r="D110" s="10" t="s">
        <v>967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340003</v>
      </c>
      <c r="C111" s="7" t="s">
        <v>1625</v>
      </c>
      <c r="D111" s="10" t="s">
        <v>967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396</v>
      </c>
      <c r="D112" s="10" t="s">
        <v>604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6">
        <v>150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350002</v>
      </c>
      <c r="C113" s="7" t="s">
        <v>1556</v>
      </c>
      <c r="D113" s="10" t="s">
        <v>604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1626</v>
      </c>
      <c r="D114" s="10" t="s">
        <v>604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7">
        <v>360001</v>
      </c>
      <c r="C115" s="7" t="s">
        <v>397</v>
      </c>
      <c r="D115" s="10" t="s">
        <v>608</v>
      </c>
      <c r="E115" s="6">
        <v>2</v>
      </c>
      <c r="F115" s="6">
        <v>1</v>
      </c>
      <c r="G115" s="6">
        <v>2</v>
      </c>
      <c r="H115" s="6">
        <v>100</v>
      </c>
      <c r="I115" s="7">
        <v>19</v>
      </c>
      <c r="J115" s="6">
        <v>2</v>
      </c>
      <c r="K115" s="7">
        <v>80</v>
      </c>
      <c r="L115" s="6" t="b">
        <v>0</v>
      </c>
      <c r="M115" s="6">
        <v>0</v>
      </c>
      <c r="N115" s="6">
        <v>0</v>
      </c>
      <c r="O115" s="5">
        <v>1</v>
      </c>
      <c r="P115" s="5">
        <v>0</v>
      </c>
      <c r="Q115" s="5">
        <v>0</v>
      </c>
      <c r="R115" s="5" t="b">
        <v>1</v>
      </c>
      <c r="S115" s="7">
        <v>3</v>
      </c>
      <c r="T115" s="7">
        <v>2</v>
      </c>
      <c r="U115" s="6">
        <v>10</v>
      </c>
      <c r="V115" s="7">
        <v>30</v>
      </c>
      <c r="W115" s="7">
        <v>0</v>
      </c>
      <c r="X115" s="7">
        <v>0</v>
      </c>
      <c r="Y115" s="6" t="b">
        <v>0</v>
      </c>
      <c r="Z115" s="6">
        <v>0</v>
      </c>
      <c r="AA115" s="6">
        <v>0</v>
      </c>
      <c r="AB115" s="7">
        <v>3</v>
      </c>
      <c r="AC115" s="5">
        <v>35</v>
      </c>
      <c r="AD115" s="7">
        <v>2</v>
      </c>
      <c r="AE115" s="5" t="b">
        <v>1</v>
      </c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360002</v>
      </c>
      <c r="C116" s="7" t="s">
        <v>1557</v>
      </c>
      <c r="D116" s="10" t="s">
        <v>608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1627</v>
      </c>
      <c r="D117" s="10" t="s">
        <v>608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398</v>
      </c>
      <c r="D118" s="10" t="s">
        <v>607</v>
      </c>
      <c r="E118" s="7">
        <v>2</v>
      </c>
      <c r="F118" s="7">
        <v>1</v>
      </c>
      <c r="G118" s="7">
        <v>2</v>
      </c>
      <c r="H118" s="6">
        <v>100</v>
      </c>
      <c r="I118" s="7">
        <v>21</v>
      </c>
      <c r="J118" s="7">
        <v>2</v>
      </c>
      <c r="K118" s="6">
        <v>100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6">
        <v>3</v>
      </c>
      <c r="T118" s="6">
        <v>2</v>
      </c>
      <c r="U118" s="6">
        <v>50</v>
      </c>
      <c r="V118" s="5">
        <v>30</v>
      </c>
      <c r="W118" s="5">
        <v>0</v>
      </c>
      <c r="X118" s="5">
        <v>0</v>
      </c>
      <c r="Y118" s="6" t="b">
        <v>0</v>
      </c>
      <c r="Z118" s="6">
        <v>0</v>
      </c>
      <c r="AA118" s="6">
        <v>0</v>
      </c>
      <c r="AB118" s="5">
        <v>3</v>
      </c>
      <c r="AC118" s="5">
        <v>31</v>
      </c>
      <c r="AD118" s="5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1558</v>
      </c>
      <c r="D119" s="10" t="s">
        <v>607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1628</v>
      </c>
      <c r="D120" s="10" t="s">
        <v>607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</row>
    <row r="121" spans="1:52" ht="18.75" customHeight="1">
      <c r="B121" s="7">
        <v>380001</v>
      </c>
      <c r="C121" s="7" t="s">
        <v>399</v>
      </c>
      <c r="D121" s="10" t="s">
        <v>968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7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24</v>
      </c>
      <c r="Y121" s="6" t="b">
        <v>0</v>
      </c>
      <c r="Z121" s="6">
        <v>0</v>
      </c>
      <c r="AA121" s="6">
        <v>0</v>
      </c>
      <c r="AB121" s="7">
        <v>49</v>
      </c>
      <c r="AC121" s="5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1559</v>
      </c>
      <c r="D122" s="10" t="s">
        <v>968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1629</v>
      </c>
      <c r="D123" s="10" t="s">
        <v>968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400</v>
      </c>
      <c r="D124" s="10" t="s">
        <v>679</v>
      </c>
      <c r="E124" s="7">
        <v>2</v>
      </c>
      <c r="F124" s="7">
        <v>1</v>
      </c>
      <c r="G124" s="7">
        <v>2</v>
      </c>
      <c r="H124" s="6">
        <v>100</v>
      </c>
      <c r="I124" s="7">
        <v>10</v>
      </c>
      <c r="J124" s="7">
        <v>2</v>
      </c>
      <c r="K124" s="6">
        <v>70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30</v>
      </c>
      <c r="W124" s="7">
        <v>0</v>
      </c>
      <c r="X124" s="7">
        <v>10</v>
      </c>
      <c r="Y124" s="6" t="b">
        <v>0</v>
      </c>
      <c r="Z124" s="6">
        <v>0</v>
      </c>
      <c r="AA124" s="6">
        <v>0</v>
      </c>
      <c r="AB124" s="7">
        <v>3</v>
      </c>
      <c r="AC124" s="5">
        <v>22</v>
      </c>
      <c r="AD124" s="7">
        <v>3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1560</v>
      </c>
      <c r="D125" s="10" t="s">
        <v>679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1630</v>
      </c>
      <c r="D126" s="10" t="s">
        <v>679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401</v>
      </c>
      <c r="D127" s="10" t="s">
        <v>969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7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2</v>
      </c>
      <c r="W127" s="7">
        <v>4</v>
      </c>
      <c r="X127" s="7">
        <v>50</v>
      </c>
      <c r="Y127" s="6" t="b">
        <v>0</v>
      </c>
      <c r="Z127" s="6">
        <v>0</v>
      </c>
      <c r="AA127" s="6">
        <v>0</v>
      </c>
      <c r="AB127" s="7">
        <v>49</v>
      </c>
      <c r="AC127" s="5">
        <v>66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1561</v>
      </c>
      <c r="D128" s="10" t="s">
        <v>969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1631</v>
      </c>
      <c r="D129" s="10" t="s">
        <v>969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402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7">
        <v>21</v>
      </c>
      <c r="J130" s="6">
        <v>2</v>
      </c>
      <c r="K130" s="6">
        <v>100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1562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1632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403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21</v>
      </c>
      <c r="J133" s="7">
        <v>2</v>
      </c>
      <c r="K133" s="7">
        <v>100</v>
      </c>
      <c r="L133" s="6" t="b">
        <v>0</v>
      </c>
      <c r="M133" s="6">
        <v>0</v>
      </c>
      <c r="N133" s="6">
        <v>0</v>
      </c>
      <c r="O133" s="7">
        <v>1</v>
      </c>
      <c r="P133" s="5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</row>
    <row r="134" spans="2:44" ht="18.75" customHeight="1">
      <c r="B134" s="7">
        <v>420002</v>
      </c>
      <c r="C134" s="7" t="s">
        <v>1563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420003</v>
      </c>
      <c r="C135" s="7" t="s">
        <v>1633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5">
        <v>430001</v>
      </c>
      <c r="C136" s="7" t="s">
        <v>404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6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430002</v>
      </c>
      <c r="C137" s="7" t="s">
        <v>1564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430003</v>
      </c>
      <c r="C138" s="7" t="s">
        <v>1634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7">
        <v>440001</v>
      </c>
      <c r="C139" s="7" t="s">
        <v>405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7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440002</v>
      </c>
      <c r="C140" s="7" t="s">
        <v>1565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440003</v>
      </c>
      <c r="C141" s="7" t="s">
        <v>1635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5">
        <v>450001</v>
      </c>
      <c r="C142" s="7" t="s">
        <v>406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6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6"/>
      <c r="T142" s="6"/>
      <c r="U142" s="6"/>
      <c r="V142" s="5"/>
      <c r="W142" s="5"/>
      <c r="X142" s="5"/>
      <c r="Y142" s="6"/>
      <c r="Z142" s="6"/>
      <c r="AA142" s="6"/>
      <c r="AB142" s="5"/>
      <c r="AC142" s="5"/>
      <c r="AD142" s="5"/>
      <c r="AE142" s="5"/>
    </row>
    <row r="143" spans="2:44" ht="18.75" customHeight="1">
      <c r="B143" s="5">
        <v>450002</v>
      </c>
      <c r="C143" s="7" t="s">
        <v>1566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450003</v>
      </c>
      <c r="C144" s="7" t="s">
        <v>1636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7">
        <v>460001</v>
      </c>
      <c r="C145" s="7" t="s">
        <v>407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7">
        <v>21</v>
      </c>
      <c r="J145" s="6">
        <v>2</v>
      </c>
      <c r="K145" s="7">
        <v>100</v>
      </c>
      <c r="L145" s="6" t="b">
        <v>0</v>
      </c>
      <c r="M145" s="6">
        <v>0</v>
      </c>
      <c r="N145" s="6">
        <v>0</v>
      </c>
      <c r="O145" s="5">
        <v>1</v>
      </c>
      <c r="P145" s="5">
        <v>0</v>
      </c>
      <c r="Q145" s="5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</row>
    <row r="146" spans="1:52" ht="18.75" customHeight="1">
      <c r="B146" s="7">
        <v>460002</v>
      </c>
      <c r="C146" s="7" t="s">
        <v>1567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460003</v>
      </c>
      <c r="C147" s="7" t="s">
        <v>1637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5">
        <v>470001</v>
      </c>
      <c r="C148" s="7" t="s">
        <v>408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21</v>
      </c>
      <c r="J148" s="7">
        <v>2</v>
      </c>
      <c r="K148" s="6">
        <v>100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470002</v>
      </c>
      <c r="C149" s="7" t="s">
        <v>1568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1638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409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7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1569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1639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410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6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6"/>
      <c r="T154" s="6"/>
      <c r="U154" s="6"/>
      <c r="V154" s="5"/>
      <c r="W154" s="5"/>
      <c r="X154" s="5"/>
      <c r="Y154" s="6"/>
      <c r="Z154" s="6"/>
      <c r="AA154" s="6"/>
      <c r="AB154" s="5"/>
      <c r="AC154" s="5"/>
      <c r="AD154" s="5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1570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1640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411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7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1571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1641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412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7">
        <v>21</v>
      </c>
      <c r="J160" s="6">
        <v>2</v>
      </c>
      <c r="K160" s="6">
        <v>100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1572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1642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413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21</v>
      </c>
      <c r="J163" s="7">
        <v>2</v>
      </c>
      <c r="K163" s="7">
        <v>100</v>
      </c>
      <c r="L163" s="6" t="b">
        <v>0</v>
      </c>
      <c r="M163" s="6">
        <v>0</v>
      </c>
      <c r="N163" s="6">
        <v>0</v>
      </c>
      <c r="O163" s="7">
        <v>1</v>
      </c>
      <c r="P163" s="5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1573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520003</v>
      </c>
      <c r="C165" s="7" t="s">
        <v>1643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414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6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6"/>
      <c r="T166" s="6"/>
      <c r="U166" s="6"/>
      <c r="V166" s="5"/>
      <c r="W166" s="5"/>
      <c r="X166" s="5"/>
      <c r="Y166" s="6"/>
      <c r="Z166" s="6"/>
      <c r="AA166" s="6"/>
      <c r="AB166" s="5"/>
      <c r="AC166" s="5"/>
      <c r="AD166" s="5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1574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1644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9.5" customHeight="1">
      <c r="A169" s="8"/>
      <c r="B169" s="7">
        <v>540001</v>
      </c>
      <c r="C169" s="7" t="s">
        <v>415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7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1575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42" customHeight="1">
      <c r="A171" s="8"/>
      <c r="B171" s="7">
        <v>540003</v>
      </c>
      <c r="C171" s="7" t="s">
        <v>1645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5">
        <v>550001</v>
      </c>
      <c r="C172" s="7" t="s">
        <v>416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6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550002</v>
      </c>
      <c r="C173" s="7" t="s">
        <v>1576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550003</v>
      </c>
      <c r="C174" s="7" t="s">
        <v>1646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417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7">
        <v>21</v>
      </c>
      <c r="J175" s="6">
        <v>2</v>
      </c>
      <c r="K175" s="7">
        <v>100</v>
      </c>
      <c r="L175" s="6" t="b">
        <v>0</v>
      </c>
      <c r="M175" s="6">
        <v>0</v>
      </c>
      <c r="N175" s="6">
        <v>0</v>
      </c>
      <c r="O175" s="5">
        <v>1</v>
      </c>
      <c r="P175" s="5">
        <v>0</v>
      </c>
      <c r="Q175" s="5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1577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1647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30.75" customHeight="1">
      <c r="A178" s="8"/>
      <c r="B178" s="5">
        <v>570001</v>
      </c>
      <c r="C178" s="7" t="s">
        <v>418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21</v>
      </c>
      <c r="J178" s="7">
        <v>2</v>
      </c>
      <c r="K178" s="6">
        <v>100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570002</v>
      </c>
      <c r="C179" s="7" t="s">
        <v>1578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570003</v>
      </c>
      <c r="C180" s="7" t="s">
        <v>1648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7">
        <v>580001</v>
      </c>
      <c r="C181" s="7" t="s">
        <v>419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7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1579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580003</v>
      </c>
      <c r="C183" s="7" t="s">
        <v>1649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420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6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590002</v>
      </c>
      <c r="C185" s="7" t="s">
        <v>1580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590003</v>
      </c>
      <c r="C186" s="7" t="s">
        <v>1650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421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7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1581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1651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422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7">
        <v>21</v>
      </c>
      <c r="J190" s="6">
        <v>2</v>
      </c>
      <c r="K190" s="6">
        <v>100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1582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1652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423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21</v>
      </c>
      <c r="J193" s="7">
        <v>2</v>
      </c>
      <c r="K193" s="7">
        <v>100</v>
      </c>
      <c r="L193" s="6" t="b">
        <v>0</v>
      </c>
      <c r="M193" s="6">
        <v>0</v>
      </c>
      <c r="N193" s="6">
        <v>0</v>
      </c>
      <c r="O193" s="7">
        <v>1</v>
      </c>
      <c r="P193" s="5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5"/>
      <c r="AD193" s="7"/>
      <c r="AE193" s="5"/>
    </row>
    <row r="194" spans="2:31" ht="18.75" customHeight="1">
      <c r="B194" s="7">
        <v>620002</v>
      </c>
      <c r="C194" s="7" t="s">
        <v>1583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620003</v>
      </c>
      <c r="C195" s="7" t="s">
        <v>1653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5">
        <v>630001</v>
      </c>
      <c r="C196" s="7" t="s">
        <v>424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6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630002</v>
      </c>
      <c r="C197" s="7" t="s">
        <v>1584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630003</v>
      </c>
      <c r="C198" s="7" t="s">
        <v>1654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7">
        <v>640001</v>
      </c>
      <c r="C199" s="7" t="s">
        <v>425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7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640002</v>
      </c>
      <c r="C200" s="7" t="s">
        <v>1585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640003</v>
      </c>
      <c r="C201" s="7" t="s">
        <v>1655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5">
        <v>650001</v>
      </c>
      <c r="C202" s="7" t="s">
        <v>426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6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6"/>
      <c r="T202" s="6"/>
      <c r="U202" s="6"/>
      <c r="V202" s="5"/>
      <c r="W202" s="5"/>
      <c r="X202" s="5"/>
      <c r="Y202" s="6"/>
      <c r="Z202" s="6"/>
      <c r="AA202" s="6"/>
      <c r="AB202" s="5"/>
      <c r="AC202" s="5"/>
      <c r="AD202" s="5"/>
      <c r="AE202" s="5"/>
    </row>
    <row r="203" spans="2:31" ht="18.75" customHeight="1">
      <c r="B203" s="5">
        <v>650002</v>
      </c>
      <c r="C203" s="7" t="s">
        <v>1586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650003</v>
      </c>
      <c r="C204" s="7" t="s">
        <v>1656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7">
        <v>660001</v>
      </c>
      <c r="C205" s="7" t="s">
        <v>427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7">
        <v>21</v>
      </c>
      <c r="J205" s="6">
        <v>2</v>
      </c>
      <c r="K205" s="7">
        <v>100</v>
      </c>
      <c r="L205" s="6" t="b">
        <v>0</v>
      </c>
      <c r="M205" s="6">
        <v>0</v>
      </c>
      <c r="N205" s="6">
        <v>0</v>
      </c>
      <c r="O205" s="5">
        <v>1</v>
      </c>
      <c r="P205" s="5">
        <v>0</v>
      </c>
      <c r="Q205" s="5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5"/>
      <c r="AD205" s="7"/>
      <c r="AE205" s="5"/>
    </row>
    <row r="206" spans="2:31" ht="18.75" customHeight="1">
      <c r="B206" s="7">
        <v>660002</v>
      </c>
      <c r="C206" s="7" t="s">
        <v>1587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660003</v>
      </c>
      <c r="C207" s="7" t="s">
        <v>1657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5">
        <v>670001</v>
      </c>
      <c r="C208" s="7" t="s">
        <v>428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21</v>
      </c>
      <c r="J208" s="7">
        <v>2</v>
      </c>
      <c r="K208" s="6">
        <v>100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670002</v>
      </c>
      <c r="C209" s="7" t="s">
        <v>1588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670003</v>
      </c>
      <c r="C210" s="7" t="s">
        <v>1658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7">
        <v>680001</v>
      </c>
      <c r="C211" s="7" t="s">
        <v>429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7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680002</v>
      </c>
      <c r="C212" s="7" t="s">
        <v>1589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680003</v>
      </c>
      <c r="C213" s="7" t="s">
        <v>1659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5">
        <v>690001</v>
      </c>
      <c r="C214" s="7" t="s">
        <v>430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6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6"/>
      <c r="T214" s="6"/>
      <c r="U214" s="6"/>
      <c r="V214" s="5"/>
      <c r="W214" s="5"/>
      <c r="X214" s="5"/>
      <c r="Y214" s="6"/>
      <c r="Z214" s="6"/>
      <c r="AA214" s="6"/>
      <c r="AB214" s="5"/>
      <c r="AC214" s="5"/>
      <c r="AD214" s="5"/>
      <c r="AE214" s="5"/>
    </row>
    <row r="215" spans="2:31" ht="18.75" customHeight="1">
      <c r="B215" s="5">
        <v>690002</v>
      </c>
      <c r="C215" s="7" t="s">
        <v>1590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690003</v>
      </c>
      <c r="C216" s="7" t="s">
        <v>1660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7">
        <v>700001</v>
      </c>
      <c r="C217" s="7" t="s">
        <v>431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7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5"/>
      <c r="AD217" s="7"/>
      <c r="AE217" s="5"/>
    </row>
    <row r="218" spans="2:31" ht="18.75" customHeight="1">
      <c r="B218" s="7">
        <v>700002</v>
      </c>
      <c r="C218" s="7" t="s">
        <v>1591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700003</v>
      </c>
      <c r="C219" s="7" t="s">
        <v>1661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5"/>
      <c r="C220" s="7"/>
      <c r="D220" s="7"/>
      <c r="E220" s="13"/>
      <c r="G220" s="13"/>
      <c r="H220" s="13"/>
      <c r="I220" s="13"/>
      <c r="T220" s="13"/>
      <c r="U220" s="13"/>
    </row>
    <row r="221" spans="2:31" ht="18.75" customHeight="1">
      <c r="B221" s="7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5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7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5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7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5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7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5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7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5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7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5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7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5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7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5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7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5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7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5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7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5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7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5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21" activePane="bottomRight" state="frozen"/>
      <selection activeCell="E8" sqref="E8"/>
      <selection pane="topRight" activeCell="E8" sqref="E8"/>
      <selection pane="bottomLeft" activeCell="E8" sqref="E8"/>
      <selection pane="bottomRight" activeCell="E8" sqref="E8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279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5.75" customHeight="1">
      <c r="A9" s="57" t="s">
        <v>12</v>
      </c>
      <c r="B9" s="5"/>
      <c r="C9" s="6"/>
      <c r="D9" s="6"/>
      <c r="E9" s="6" t="s">
        <v>281</v>
      </c>
      <c r="F9" s="6" t="s">
        <v>857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6"/>
      <c r="AP9" s="6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516</v>
      </c>
      <c r="D10" s="6" t="s">
        <v>596</v>
      </c>
      <c r="E10" s="6">
        <v>2</v>
      </c>
      <c r="F10" s="6">
        <v>1</v>
      </c>
      <c r="G10" s="6">
        <v>2</v>
      </c>
      <c r="H10" s="6">
        <v>100</v>
      </c>
      <c r="I10" s="6">
        <v>18</v>
      </c>
      <c r="J10" s="6">
        <v>2</v>
      </c>
      <c r="K10" s="6">
        <v>77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35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3</v>
      </c>
      <c r="AC10" s="5">
        <v>31</v>
      </c>
      <c r="AD10" s="5">
        <v>2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1662</v>
      </c>
      <c r="D11" s="6" t="s">
        <v>596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1732</v>
      </c>
      <c r="D12" s="6" t="s">
        <v>596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517</v>
      </c>
      <c r="D13" s="10" t="s">
        <v>597</v>
      </c>
      <c r="E13" s="7">
        <v>2</v>
      </c>
      <c r="F13" s="7">
        <v>1</v>
      </c>
      <c r="G13" s="7">
        <v>2</v>
      </c>
      <c r="H13" s="6">
        <v>100</v>
      </c>
      <c r="I13" s="7">
        <v>18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1663</v>
      </c>
      <c r="D14" s="10" t="s">
        <v>597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1733</v>
      </c>
      <c r="D15" s="10" t="s">
        <v>597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518</v>
      </c>
      <c r="D16" s="10" t="s">
        <v>587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1664</v>
      </c>
      <c r="D17" s="10" t="s">
        <v>587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1734</v>
      </c>
      <c r="D18" s="10" t="s">
        <v>587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519</v>
      </c>
      <c r="D19" s="10" t="s">
        <v>598</v>
      </c>
      <c r="E19" s="7">
        <v>2</v>
      </c>
      <c r="F19" s="7">
        <v>1</v>
      </c>
      <c r="G19" s="7">
        <v>2</v>
      </c>
      <c r="H19" s="6">
        <v>100</v>
      </c>
      <c r="I19" s="7">
        <v>38</v>
      </c>
      <c r="J19" s="7">
        <v>2</v>
      </c>
      <c r="K19" s="7">
        <v>110</v>
      </c>
      <c r="L19" s="6" t="b">
        <v>0</v>
      </c>
      <c r="M19" s="6">
        <v>0</v>
      </c>
      <c r="N19" s="6">
        <v>0</v>
      </c>
      <c r="O19" s="7">
        <v>1</v>
      </c>
      <c r="P19" s="7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100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3</v>
      </c>
      <c r="AC19" s="7">
        <v>31</v>
      </c>
      <c r="AD19" s="7">
        <v>2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1665</v>
      </c>
      <c r="D20" s="10" t="s">
        <v>598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1735</v>
      </c>
      <c r="D21" s="10" t="s">
        <v>598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520</v>
      </c>
      <c r="D22" s="10" t="s">
        <v>910</v>
      </c>
      <c r="E22" s="7">
        <v>2</v>
      </c>
      <c r="F22" s="7">
        <v>1</v>
      </c>
      <c r="G22" s="7">
        <v>2</v>
      </c>
      <c r="H22" s="6">
        <v>100</v>
      </c>
      <c r="I22" s="7">
        <v>18</v>
      </c>
      <c r="J22" s="7">
        <v>2</v>
      </c>
      <c r="K22" s="7">
        <v>112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16</v>
      </c>
      <c r="W22" s="7">
        <v>4</v>
      </c>
      <c r="X22" s="7">
        <v>44</v>
      </c>
      <c r="Y22" s="6" t="b">
        <v>0</v>
      </c>
      <c r="Z22" s="6">
        <v>0</v>
      </c>
      <c r="AA22" s="6">
        <v>0</v>
      </c>
      <c r="AB22" s="7">
        <v>49</v>
      </c>
      <c r="AC22" s="7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1666</v>
      </c>
      <c r="D23" s="10" t="s">
        <v>910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1736</v>
      </c>
      <c r="D24" s="10" t="s">
        <v>910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36" customHeight="1">
      <c r="A25" s="8"/>
      <c r="B25" s="7">
        <v>60001</v>
      </c>
      <c r="C25" s="6" t="s">
        <v>521</v>
      </c>
      <c r="D25" s="10" t="s">
        <v>586</v>
      </c>
      <c r="E25" s="6">
        <v>2</v>
      </c>
      <c r="F25" s="6">
        <v>1</v>
      </c>
      <c r="G25" s="6">
        <v>2</v>
      </c>
      <c r="H25" s="6">
        <v>100</v>
      </c>
      <c r="I25" s="6">
        <v>38</v>
      </c>
      <c r="J25" s="6">
        <v>2</v>
      </c>
      <c r="K25" s="6">
        <v>180</v>
      </c>
      <c r="L25" s="6" t="b">
        <v>0</v>
      </c>
      <c r="M25" s="6">
        <v>0</v>
      </c>
      <c r="N25" s="6">
        <v>0</v>
      </c>
      <c r="O25" s="5">
        <v>1</v>
      </c>
      <c r="P25" s="7">
        <v>0</v>
      </c>
      <c r="Q25" s="5">
        <v>0</v>
      </c>
      <c r="R25" s="5" t="b">
        <v>1</v>
      </c>
      <c r="S25" s="6">
        <v>3</v>
      </c>
      <c r="T25" s="6">
        <v>2</v>
      </c>
      <c r="U25" s="6">
        <v>100</v>
      </c>
      <c r="V25" s="5">
        <v>1</v>
      </c>
      <c r="W25" s="5">
        <v>0</v>
      </c>
      <c r="X25" s="5">
        <v>15</v>
      </c>
      <c r="Y25" s="6" t="b">
        <v>0</v>
      </c>
      <c r="Z25" s="6">
        <v>0</v>
      </c>
      <c r="AA25" s="6">
        <v>0</v>
      </c>
      <c r="AB25" s="5">
        <v>49</v>
      </c>
      <c r="AC25" s="5">
        <v>2</v>
      </c>
      <c r="AD25" s="5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1667</v>
      </c>
      <c r="D26" s="10" t="s">
        <v>586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1737</v>
      </c>
      <c r="D27" s="10" t="s">
        <v>586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522</v>
      </c>
      <c r="D28" s="10" t="s">
        <v>922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0</v>
      </c>
      <c r="X28" s="7">
        <v>0</v>
      </c>
      <c r="Y28" s="6" t="b">
        <v>0</v>
      </c>
      <c r="Z28" s="6">
        <v>0</v>
      </c>
      <c r="AA28" s="6">
        <v>0</v>
      </c>
      <c r="AB28" s="7">
        <v>49</v>
      </c>
      <c r="AC28" s="7">
        <v>32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70002</v>
      </c>
      <c r="C29" s="6" t="s">
        <v>1668</v>
      </c>
      <c r="D29" s="10" t="s">
        <v>922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1738</v>
      </c>
      <c r="D30" s="10" t="s">
        <v>922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80001</v>
      </c>
      <c r="C31" s="6" t="s">
        <v>523</v>
      </c>
      <c r="D31" s="10" t="s">
        <v>923</v>
      </c>
      <c r="E31" s="7">
        <v>2</v>
      </c>
      <c r="F31" s="7">
        <v>1</v>
      </c>
      <c r="G31" s="7">
        <v>2</v>
      </c>
      <c r="H31" s="6">
        <v>100</v>
      </c>
      <c r="I31" s="7">
        <v>11</v>
      </c>
      <c r="J31" s="7">
        <v>2</v>
      </c>
      <c r="K31" s="7">
        <v>140</v>
      </c>
      <c r="L31" s="6" t="b">
        <v>0</v>
      </c>
      <c r="M31" s="6">
        <v>0</v>
      </c>
      <c r="N31" s="6">
        <v>0</v>
      </c>
      <c r="O31" s="7">
        <v>1</v>
      </c>
      <c r="P31" s="7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33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80002</v>
      </c>
      <c r="C32" s="6" t="s">
        <v>1669</v>
      </c>
      <c r="D32" s="10" t="s">
        <v>923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80003</v>
      </c>
      <c r="C33" s="6" t="s">
        <v>1739</v>
      </c>
      <c r="D33" s="10" t="s">
        <v>923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5">
        <v>90001</v>
      </c>
      <c r="C34" s="6" t="s">
        <v>524</v>
      </c>
      <c r="D34" s="10" t="s">
        <v>924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110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60</v>
      </c>
      <c r="Y34" s="6" t="b">
        <v>0</v>
      </c>
      <c r="Z34" s="6">
        <v>0</v>
      </c>
      <c r="AA34" s="6">
        <v>0</v>
      </c>
      <c r="AB34" s="7">
        <v>49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1670</v>
      </c>
      <c r="D35" s="10" t="s">
        <v>924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1740</v>
      </c>
      <c r="D36" s="10" t="s">
        <v>924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525</v>
      </c>
      <c r="D37" s="10" t="s">
        <v>588</v>
      </c>
      <c r="E37" s="7">
        <v>2</v>
      </c>
      <c r="F37" s="7">
        <v>1</v>
      </c>
      <c r="G37" s="7">
        <v>2</v>
      </c>
      <c r="H37" s="6">
        <v>100</v>
      </c>
      <c r="I37" s="7">
        <v>19</v>
      </c>
      <c r="J37" s="7">
        <v>2</v>
      </c>
      <c r="K37" s="7">
        <v>105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/>
      <c r="T37" s="7"/>
      <c r="U37" s="6"/>
      <c r="V37" s="7"/>
      <c r="W37" s="7"/>
      <c r="X37" s="7"/>
      <c r="Y37" s="6"/>
      <c r="Z37" s="6"/>
      <c r="AA37" s="6"/>
      <c r="AB37" s="7"/>
      <c r="AC37" s="7"/>
      <c r="AD37" s="7"/>
      <c r="AE37" s="5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100002</v>
      </c>
      <c r="C38" s="6" t="s">
        <v>1671</v>
      </c>
      <c r="D38" s="10" t="s">
        <v>588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100003</v>
      </c>
      <c r="C39" s="6" t="s">
        <v>1741</v>
      </c>
      <c r="D39" s="10" t="s">
        <v>588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7.5" customHeight="1">
      <c r="A40" s="8"/>
      <c r="B40" s="5">
        <v>110001</v>
      </c>
      <c r="C40" s="6" t="s">
        <v>526</v>
      </c>
      <c r="D40" s="10" t="s">
        <v>589</v>
      </c>
      <c r="E40" s="6">
        <v>2</v>
      </c>
      <c r="F40" s="6">
        <v>1</v>
      </c>
      <c r="G40" s="6">
        <v>2</v>
      </c>
      <c r="H40" s="6">
        <v>100</v>
      </c>
      <c r="I40" s="6">
        <v>21</v>
      </c>
      <c r="J40" s="6">
        <v>2</v>
      </c>
      <c r="K40" s="6">
        <v>36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6">
        <v>3</v>
      </c>
      <c r="T40" s="6">
        <v>2</v>
      </c>
      <c r="U40" s="6">
        <v>100</v>
      </c>
      <c r="V40" s="5">
        <v>30</v>
      </c>
      <c r="W40" s="5">
        <v>2</v>
      </c>
      <c r="X40" s="5">
        <v>36</v>
      </c>
      <c r="Y40" s="6" t="b">
        <v>0</v>
      </c>
      <c r="Z40" s="6">
        <v>0</v>
      </c>
      <c r="AA40" s="6">
        <v>0</v>
      </c>
      <c r="AB40" s="5">
        <v>1</v>
      </c>
      <c r="AC40" s="5">
        <v>63</v>
      </c>
      <c r="AD40" s="5">
        <v>2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5">
        <v>110002</v>
      </c>
      <c r="C41" s="6" t="s">
        <v>1672</v>
      </c>
      <c r="D41" s="10" t="s">
        <v>589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1742</v>
      </c>
      <c r="D42" s="10" t="s">
        <v>589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39" customHeight="1">
      <c r="A43" s="8"/>
      <c r="B43" s="7">
        <v>120001</v>
      </c>
      <c r="C43" s="6" t="s">
        <v>527</v>
      </c>
      <c r="D43" s="10" t="s">
        <v>590</v>
      </c>
      <c r="E43" s="7">
        <v>2</v>
      </c>
      <c r="F43" s="7">
        <v>1</v>
      </c>
      <c r="G43" s="7">
        <v>2</v>
      </c>
      <c r="H43" s="6">
        <v>100</v>
      </c>
      <c r="I43" s="7">
        <v>18</v>
      </c>
      <c r="J43" s="7">
        <v>2</v>
      </c>
      <c r="K43" s="7">
        <v>70</v>
      </c>
      <c r="L43" s="6" t="b">
        <v>0</v>
      </c>
      <c r="M43" s="6">
        <v>0</v>
      </c>
      <c r="N43" s="6">
        <v>0</v>
      </c>
      <c r="O43" s="7">
        <v>1</v>
      </c>
      <c r="P43" s="7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46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1673</v>
      </c>
      <c r="D44" s="10" t="s">
        <v>590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35.25" customHeight="1">
      <c r="A45" s="8"/>
      <c r="B45" s="7">
        <v>120003</v>
      </c>
      <c r="C45" s="6" t="s">
        <v>1743</v>
      </c>
      <c r="D45" s="10" t="s">
        <v>590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5">
        <v>130001</v>
      </c>
      <c r="C46" s="6" t="s">
        <v>528</v>
      </c>
      <c r="D46" s="10" t="s">
        <v>591</v>
      </c>
      <c r="E46" s="7">
        <v>2</v>
      </c>
      <c r="F46" s="7">
        <v>1</v>
      </c>
      <c r="G46" s="7">
        <v>2</v>
      </c>
      <c r="H46" s="6">
        <v>100</v>
      </c>
      <c r="I46" s="7">
        <v>39</v>
      </c>
      <c r="J46" s="7">
        <v>2</v>
      </c>
      <c r="K46" s="7">
        <v>147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1674</v>
      </c>
      <c r="D47" s="10" t="s">
        <v>591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1744</v>
      </c>
      <c r="D48" s="10" t="s">
        <v>591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529</v>
      </c>
      <c r="D49" s="10" t="s">
        <v>911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167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>
        <v>2</v>
      </c>
      <c r="T49" s="7">
        <v>5</v>
      </c>
      <c r="U49" s="6">
        <v>100</v>
      </c>
      <c r="V49" s="7">
        <v>31</v>
      </c>
      <c r="W49" s="7">
        <v>4</v>
      </c>
      <c r="X49" s="7">
        <v>75</v>
      </c>
      <c r="Y49" s="6" t="b">
        <v>0</v>
      </c>
      <c r="Z49" s="6">
        <v>0</v>
      </c>
      <c r="AA49" s="6">
        <v>0</v>
      </c>
      <c r="AB49" s="7">
        <v>49</v>
      </c>
      <c r="AC49" s="7">
        <v>0</v>
      </c>
      <c r="AD49" s="7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1675</v>
      </c>
      <c r="D50" s="10" t="s">
        <v>911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1745</v>
      </c>
      <c r="D51" s="10" t="s">
        <v>911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530</v>
      </c>
      <c r="D52" s="10" t="s">
        <v>592</v>
      </c>
      <c r="E52" s="7">
        <v>2</v>
      </c>
      <c r="F52" s="7">
        <v>1</v>
      </c>
      <c r="G52" s="7">
        <v>2</v>
      </c>
      <c r="H52" s="6">
        <v>100</v>
      </c>
      <c r="I52" s="7">
        <v>18</v>
      </c>
      <c r="J52" s="7">
        <v>2</v>
      </c>
      <c r="K52" s="7">
        <v>119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100</v>
      </c>
      <c r="V52" s="7">
        <v>30</v>
      </c>
      <c r="W52" s="7">
        <v>0</v>
      </c>
      <c r="X52" s="7">
        <v>21</v>
      </c>
      <c r="Y52" s="6" t="b">
        <v>0</v>
      </c>
      <c r="Z52" s="6">
        <v>0</v>
      </c>
      <c r="AA52" s="6">
        <v>0</v>
      </c>
      <c r="AB52" s="7">
        <v>3</v>
      </c>
      <c r="AC52" s="7">
        <v>17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150002</v>
      </c>
      <c r="C53" s="6" t="s">
        <v>1676</v>
      </c>
      <c r="D53" s="10" t="s">
        <v>592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150003</v>
      </c>
      <c r="C54" s="6" t="s">
        <v>1746</v>
      </c>
      <c r="D54" s="10" t="s">
        <v>592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7">
        <v>160001</v>
      </c>
      <c r="C55" s="7" t="s">
        <v>531</v>
      </c>
      <c r="D55" s="10" t="s">
        <v>912</v>
      </c>
      <c r="E55" s="6">
        <v>2</v>
      </c>
      <c r="F55" s="6">
        <v>1</v>
      </c>
      <c r="G55" s="6">
        <v>2</v>
      </c>
      <c r="H55" s="6">
        <v>100</v>
      </c>
      <c r="I55" s="6">
        <v>18</v>
      </c>
      <c r="J55" s="6">
        <v>2</v>
      </c>
      <c r="K55" s="6">
        <v>126</v>
      </c>
      <c r="L55" s="6" t="b">
        <v>0</v>
      </c>
      <c r="M55" s="6">
        <v>0</v>
      </c>
      <c r="N55" s="6">
        <v>0</v>
      </c>
      <c r="O55" s="5">
        <v>1</v>
      </c>
      <c r="P55" s="7">
        <v>0</v>
      </c>
      <c r="Q55" s="5">
        <v>0</v>
      </c>
      <c r="R55" s="5" t="b">
        <v>1</v>
      </c>
      <c r="S55" s="6">
        <v>3</v>
      </c>
      <c r="T55" s="6">
        <v>2</v>
      </c>
      <c r="U55" s="6">
        <v>30</v>
      </c>
      <c r="V55" s="5">
        <v>30</v>
      </c>
      <c r="W55" s="5">
        <v>0</v>
      </c>
      <c r="X55" s="5">
        <v>0</v>
      </c>
      <c r="Y55" s="6" t="b">
        <v>0</v>
      </c>
      <c r="Z55" s="6">
        <v>0</v>
      </c>
      <c r="AA55" s="6">
        <v>0</v>
      </c>
      <c r="AB55" s="5">
        <v>3</v>
      </c>
      <c r="AC55" s="5">
        <v>31</v>
      </c>
      <c r="AD55" s="5">
        <v>2</v>
      </c>
      <c r="AE55" s="5" t="b">
        <v>1</v>
      </c>
      <c r="AF55" s="30">
        <v>2</v>
      </c>
      <c r="AG55" s="30">
        <v>2</v>
      </c>
      <c r="AH55" s="30">
        <v>100</v>
      </c>
      <c r="AI55" s="30">
        <v>22</v>
      </c>
      <c r="AJ55" s="30">
        <v>4</v>
      </c>
      <c r="AK55" s="30">
        <v>90</v>
      </c>
      <c r="AL55" s="30" t="b">
        <v>0</v>
      </c>
      <c r="AM55" s="30">
        <v>0</v>
      </c>
      <c r="AN55" s="30">
        <v>0</v>
      </c>
      <c r="AO55" s="30">
        <v>49</v>
      </c>
      <c r="AP55" s="30">
        <v>0</v>
      </c>
      <c r="AQ55" s="30">
        <v>0</v>
      </c>
      <c r="AR55" s="30" t="b">
        <v>1</v>
      </c>
    </row>
    <row r="56" spans="1:52" ht="18.75" customHeight="1">
      <c r="B56" s="7">
        <v>160002</v>
      </c>
      <c r="C56" s="7" t="s">
        <v>1677</v>
      </c>
      <c r="D56" s="10" t="s">
        <v>912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160003</v>
      </c>
      <c r="C57" s="7" t="s">
        <v>1747</v>
      </c>
      <c r="D57" s="10" t="s">
        <v>912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5">
        <v>170001</v>
      </c>
      <c r="C58" s="7" t="s">
        <v>532</v>
      </c>
      <c r="D58" s="10" t="s">
        <v>944</v>
      </c>
      <c r="E58" s="7">
        <v>2</v>
      </c>
      <c r="F58" s="7">
        <v>1</v>
      </c>
      <c r="G58" s="7">
        <v>2</v>
      </c>
      <c r="H58" s="6">
        <v>100</v>
      </c>
      <c r="I58" s="7">
        <v>39</v>
      </c>
      <c r="J58" s="7">
        <v>2</v>
      </c>
      <c r="K58" s="7">
        <v>144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30</v>
      </c>
      <c r="W58" s="7">
        <v>2</v>
      </c>
      <c r="X58" s="7">
        <v>13</v>
      </c>
      <c r="Y58" s="6" t="b">
        <v>0</v>
      </c>
      <c r="Z58" s="6">
        <v>0</v>
      </c>
      <c r="AA58" s="6">
        <v>0</v>
      </c>
      <c r="AB58" s="7">
        <v>1</v>
      </c>
      <c r="AC58" s="7">
        <v>65</v>
      </c>
      <c r="AD58" s="7">
        <v>15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1678</v>
      </c>
      <c r="D59" s="10" t="s">
        <v>944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1748</v>
      </c>
      <c r="D60" s="10" t="s">
        <v>944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533</v>
      </c>
      <c r="D61" s="10" t="s">
        <v>593</v>
      </c>
      <c r="E61" s="7">
        <v>2</v>
      </c>
      <c r="F61" s="7">
        <v>1</v>
      </c>
      <c r="G61" s="7">
        <v>2</v>
      </c>
      <c r="H61" s="6">
        <v>100</v>
      </c>
      <c r="I61" s="7">
        <v>19</v>
      </c>
      <c r="J61" s="7">
        <v>2</v>
      </c>
      <c r="K61" s="7">
        <v>120</v>
      </c>
      <c r="L61" s="6" t="b">
        <v>0</v>
      </c>
      <c r="M61" s="6">
        <v>0</v>
      </c>
      <c r="N61" s="6">
        <v>0</v>
      </c>
      <c r="O61" s="7">
        <v>1</v>
      </c>
      <c r="P61" s="7">
        <v>0</v>
      </c>
      <c r="Q61" s="7">
        <v>0</v>
      </c>
      <c r="R61" s="5" t="b">
        <v>1</v>
      </c>
      <c r="S61" s="7"/>
      <c r="T61" s="7"/>
      <c r="U61" s="6"/>
      <c r="V61" s="7"/>
      <c r="W61" s="7"/>
      <c r="X61" s="7"/>
      <c r="Y61" s="6"/>
      <c r="Z61" s="6"/>
      <c r="AA61" s="6"/>
      <c r="AB61" s="7"/>
      <c r="AC61" s="7"/>
      <c r="AD61" s="7"/>
      <c r="AE61" s="5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1679</v>
      </c>
      <c r="D62" s="10" t="s">
        <v>593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1749</v>
      </c>
      <c r="D63" s="10" t="s">
        <v>593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534</v>
      </c>
      <c r="D64" s="10" t="s">
        <v>913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180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1</v>
      </c>
      <c r="W64" s="7">
        <v>4</v>
      </c>
      <c r="X64" s="7">
        <v>75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1680</v>
      </c>
      <c r="D65" s="10" t="s">
        <v>913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1750</v>
      </c>
      <c r="D66" s="10" t="s">
        <v>913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535</v>
      </c>
      <c r="D67" s="10" t="s">
        <v>594</v>
      </c>
      <c r="E67" s="7">
        <v>2</v>
      </c>
      <c r="F67" s="7">
        <v>1</v>
      </c>
      <c r="G67" s="7">
        <v>2</v>
      </c>
      <c r="H67" s="6">
        <v>100</v>
      </c>
      <c r="I67" s="7">
        <v>12</v>
      </c>
      <c r="J67" s="7">
        <v>2</v>
      </c>
      <c r="K67" s="7">
        <v>182</v>
      </c>
      <c r="L67" s="6" t="b">
        <v>0</v>
      </c>
      <c r="M67" s="6">
        <v>0</v>
      </c>
      <c r="N67" s="6">
        <v>0</v>
      </c>
      <c r="O67" s="7">
        <v>1</v>
      </c>
      <c r="P67" s="7">
        <v>0</v>
      </c>
      <c r="Q67" s="7">
        <v>0</v>
      </c>
      <c r="R67" s="5" t="b">
        <v>1</v>
      </c>
      <c r="S67" s="7"/>
      <c r="T67" s="7"/>
      <c r="U67" s="6"/>
      <c r="V67" s="7"/>
      <c r="W67" s="7"/>
      <c r="X67" s="7"/>
      <c r="Y67" s="6"/>
      <c r="Z67" s="6"/>
      <c r="AA67" s="6"/>
      <c r="AB67" s="7"/>
      <c r="AC67" s="7"/>
      <c r="AD67" s="7"/>
      <c r="AE67" s="5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1681</v>
      </c>
      <c r="D68" s="10" t="s">
        <v>594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1751</v>
      </c>
      <c r="D69" s="10" t="s">
        <v>594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536</v>
      </c>
      <c r="D70" s="10" t="s">
        <v>595</v>
      </c>
      <c r="E70" s="6">
        <v>2</v>
      </c>
      <c r="F70" s="6">
        <v>1</v>
      </c>
      <c r="G70" s="6">
        <v>2</v>
      </c>
      <c r="H70" s="6">
        <v>100</v>
      </c>
      <c r="I70" s="6">
        <v>3</v>
      </c>
      <c r="J70" s="6">
        <v>2</v>
      </c>
      <c r="K70" s="6">
        <v>51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15</v>
      </c>
      <c r="V70" s="5">
        <v>30</v>
      </c>
      <c r="W70" s="5">
        <v>0</v>
      </c>
      <c r="X70" s="5">
        <v>0</v>
      </c>
      <c r="Y70" s="6" t="b">
        <v>0</v>
      </c>
      <c r="Z70" s="6">
        <v>0</v>
      </c>
      <c r="AA70" s="6">
        <v>0</v>
      </c>
      <c r="AB70" s="5">
        <v>3</v>
      </c>
      <c r="AC70" s="5">
        <v>31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1682</v>
      </c>
      <c r="D71" s="10" t="s">
        <v>595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1752</v>
      </c>
      <c r="D72" s="10" t="s">
        <v>595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537</v>
      </c>
      <c r="D73" s="10" t="s">
        <v>945</v>
      </c>
      <c r="E73" s="7">
        <v>2</v>
      </c>
      <c r="F73" s="7">
        <v>1</v>
      </c>
      <c r="G73" s="7">
        <v>2</v>
      </c>
      <c r="H73" s="6">
        <v>100</v>
      </c>
      <c r="I73" s="7">
        <v>26</v>
      </c>
      <c r="J73" s="7">
        <v>2</v>
      </c>
      <c r="K73" s="7">
        <v>135</v>
      </c>
      <c r="L73" s="6" t="b">
        <v>0</v>
      </c>
      <c r="M73" s="6">
        <v>0</v>
      </c>
      <c r="N73" s="6">
        <v>0</v>
      </c>
      <c r="O73" s="7">
        <v>1</v>
      </c>
      <c r="P73" s="7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2</v>
      </c>
      <c r="X73" s="7">
        <v>43</v>
      </c>
      <c r="Y73" s="6" t="b">
        <v>0</v>
      </c>
      <c r="Z73" s="6">
        <v>0</v>
      </c>
      <c r="AA73" s="6">
        <v>0</v>
      </c>
      <c r="AB73" s="7">
        <v>1</v>
      </c>
      <c r="AC73" s="7">
        <v>64</v>
      </c>
      <c r="AD73" s="7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1:52" ht="18.75" customHeight="1">
      <c r="B74" s="7">
        <v>220002</v>
      </c>
      <c r="C74" s="7" t="s">
        <v>1683</v>
      </c>
      <c r="D74" s="10" t="s">
        <v>945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1:52" ht="18.75" customHeight="1">
      <c r="B75" s="7">
        <v>220003</v>
      </c>
      <c r="C75" s="7" t="s">
        <v>1753</v>
      </c>
      <c r="D75" s="10" t="s">
        <v>945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1:52" ht="18.75" customHeight="1">
      <c r="B76" s="5">
        <v>230001</v>
      </c>
      <c r="C76" s="7" t="s">
        <v>538</v>
      </c>
      <c r="D76" s="10" t="s">
        <v>946</v>
      </c>
      <c r="E76" s="7">
        <v>2</v>
      </c>
      <c r="F76" s="7">
        <v>1</v>
      </c>
      <c r="G76" s="7">
        <v>2</v>
      </c>
      <c r="H76" s="6">
        <v>100</v>
      </c>
      <c r="I76" s="7">
        <v>18</v>
      </c>
      <c r="J76" s="7">
        <v>2</v>
      </c>
      <c r="K76" s="7">
        <v>84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35</v>
      </c>
      <c r="V76" s="7">
        <v>30</v>
      </c>
      <c r="W76" s="7">
        <v>0</v>
      </c>
      <c r="X76" s="7">
        <v>0</v>
      </c>
      <c r="Y76" s="6" t="b">
        <v>0</v>
      </c>
      <c r="Z76" s="6">
        <v>0</v>
      </c>
      <c r="AA76" s="6">
        <v>0</v>
      </c>
      <c r="AB76" s="7">
        <v>3</v>
      </c>
      <c r="AC76" s="7">
        <v>33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1684</v>
      </c>
      <c r="D77" s="10" t="s">
        <v>946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1754</v>
      </c>
      <c r="D78" s="10" t="s">
        <v>946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539</v>
      </c>
      <c r="D79" s="10" t="s">
        <v>914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7">
        <v>162</v>
      </c>
      <c r="L79" s="6" t="b">
        <v>0</v>
      </c>
      <c r="M79" s="6">
        <v>0</v>
      </c>
      <c r="N79" s="6">
        <v>0</v>
      </c>
      <c r="O79" s="7">
        <v>1</v>
      </c>
      <c r="P79" s="7">
        <v>0</v>
      </c>
      <c r="Q79" s="7">
        <v>0</v>
      </c>
      <c r="R79" s="5" t="b">
        <v>1</v>
      </c>
      <c r="S79" s="7">
        <v>2</v>
      </c>
      <c r="T79" s="7">
        <v>5</v>
      </c>
      <c r="U79" s="6">
        <v>100</v>
      </c>
      <c r="V79" s="7">
        <v>1</v>
      </c>
      <c r="W79" s="7">
        <v>4</v>
      </c>
      <c r="X79" s="7">
        <v>75</v>
      </c>
      <c r="Y79" s="6" t="b">
        <v>0</v>
      </c>
      <c r="Z79" s="6">
        <v>0</v>
      </c>
      <c r="AA79" s="6">
        <v>0</v>
      </c>
      <c r="AB79" s="7">
        <v>3</v>
      </c>
      <c r="AC79" s="7">
        <v>0</v>
      </c>
      <c r="AD79" s="7">
        <v>0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1685</v>
      </c>
      <c r="D80" s="10" t="s">
        <v>914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1755</v>
      </c>
      <c r="D81" s="10" t="s">
        <v>914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540</v>
      </c>
      <c r="D82" s="10" t="s">
        <v>601</v>
      </c>
      <c r="E82" s="7">
        <v>2</v>
      </c>
      <c r="F82" s="7">
        <v>1</v>
      </c>
      <c r="G82" s="7">
        <v>2</v>
      </c>
      <c r="H82" s="6">
        <v>100</v>
      </c>
      <c r="I82" s="7">
        <v>12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30</v>
      </c>
      <c r="W82" s="7">
        <v>0</v>
      </c>
      <c r="X82" s="7">
        <v>12</v>
      </c>
      <c r="Y82" s="6" t="b">
        <v>0</v>
      </c>
      <c r="Z82" s="6">
        <v>0</v>
      </c>
      <c r="AA82" s="6">
        <v>0</v>
      </c>
      <c r="AB82" s="7">
        <v>3</v>
      </c>
      <c r="AC82" s="7">
        <v>22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1686</v>
      </c>
      <c r="D83" s="10" t="s">
        <v>601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1756</v>
      </c>
      <c r="D84" s="10" t="s">
        <v>601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541</v>
      </c>
      <c r="D85" s="10" t="s">
        <v>947</v>
      </c>
      <c r="E85" s="6">
        <v>2</v>
      </c>
      <c r="F85" s="6">
        <v>1</v>
      </c>
      <c r="G85" s="6">
        <v>2</v>
      </c>
      <c r="H85" s="6">
        <v>100</v>
      </c>
      <c r="I85" s="6">
        <v>12</v>
      </c>
      <c r="J85" s="6">
        <v>2</v>
      </c>
      <c r="K85" s="6">
        <v>50</v>
      </c>
      <c r="L85" s="6" t="b">
        <v>0</v>
      </c>
      <c r="M85" s="6">
        <v>0</v>
      </c>
      <c r="N85" s="6">
        <v>0</v>
      </c>
      <c r="O85" s="5">
        <v>1</v>
      </c>
      <c r="P85" s="7">
        <v>0</v>
      </c>
      <c r="Q85" s="5">
        <v>0</v>
      </c>
      <c r="R85" s="5" t="b">
        <v>1</v>
      </c>
      <c r="S85" s="6">
        <v>3</v>
      </c>
      <c r="T85" s="6">
        <v>2</v>
      </c>
      <c r="U85" s="6">
        <v>100</v>
      </c>
      <c r="V85" s="5">
        <v>30</v>
      </c>
      <c r="W85" s="5">
        <v>2</v>
      </c>
      <c r="X85" s="5">
        <v>45</v>
      </c>
      <c r="Y85" s="6" t="b">
        <v>0</v>
      </c>
      <c r="Z85" s="6">
        <v>0</v>
      </c>
      <c r="AA85" s="6">
        <v>0</v>
      </c>
      <c r="AB85" s="5">
        <v>1</v>
      </c>
      <c r="AC85" s="5">
        <v>63</v>
      </c>
      <c r="AD85" s="5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1687</v>
      </c>
      <c r="D86" s="10" t="s">
        <v>947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1757</v>
      </c>
      <c r="D87" s="10" t="s">
        <v>947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542</v>
      </c>
      <c r="D88" s="10" t="s">
        <v>915</v>
      </c>
      <c r="E88" s="7">
        <v>2</v>
      </c>
      <c r="F88" s="7">
        <v>1</v>
      </c>
      <c r="G88" s="7">
        <v>2</v>
      </c>
      <c r="H88" s="6">
        <v>100</v>
      </c>
      <c r="I88" s="7">
        <v>39</v>
      </c>
      <c r="J88" s="7">
        <v>2</v>
      </c>
      <c r="K88" s="7">
        <v>132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34</v>
      </c>
      <c r="W88" s="7">
        <v>4</v>
      </c>
      <c r="X88" s="7">
        <v>160</v>
      </c>
      <c r="Y88" s="6" t="b">
        <v>0</v>
      </c>
      <c r="Z88" s="6">
        <v>0</v>
      </c>
      <c r="AA88" s="6">
        <v>0</v>
      </c>
      <c r="AB88" s="7">
        <v>49</v>
      </c>
      <c r="AC88" s="7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1688</v>
      </c>
      <c r="D89" s="10" t="s">
        <v>915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1758</v>
      </c>
      <c r="D90" s="10" t="s">
        <v>915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543</v>
      </c>
      <c r="D91" s="10" t="s">
        <v>948</v>
      </c>
      <c r="E91" s="7">
        <v>2</v>
      </c>
      <c r="F91" s="7">
        <v>1</v>
      </c>
      <c r="G91" s="7">
        <v>2</v>
      </c>
      <c r="H91" s="6">
        <v>100</v>
      </c>
      <c r="I91" s="7">
        <v>26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7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30</v>
      </c>
      <c r="Y91" s="6" t="b">
        <v>0</v>
      </c>
      <c r="Z91" s="6">
        <v>0</v>
      </c>
      <c r="AA91" s="6">
        <v>0</v>
      </c>
      <c r="AB91" s="7">
        <v>1</v>
      </c>
      <c r="AC91" s="7">
        <v>65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1689</v>
      </c>
      <c r="D92" s="10" t="s">
        <v>948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1761</v>
      </c>
      <c r="D93" s="10" t="s">
        <v>948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544</v>
      </c>
      <c r="D94" s="10" t="s">
        <v>949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120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7">
        <v>34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36" customHeight="1">
      <c r="A95" s="8"/>
      <c r="B95" s="5">
        <v>290002</v>
      </c>
      <c r="C95" s="7" t="s">
        <v>1690</v>
      </c>
      <c r="D95" s="10" t="s">
        <v>949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1759</v>
      </c>
      <c r="D96" s="10" t="s">
        <v>949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545</v>
      </c>
      <c r="D97" s="10" t="s">
        <v>916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150</v>
      </c>
      <c r="L97" s="6" t="b">
        <v>0</v>
      </c>
      <c r="M97" s="6">
        <v>0</v>
      </c>
      <c r="N97" s="6">
        <v>0</v>
      </c>
      <c r="O97" s="7">
        <v>1</v>
      </c>
      <c r="P97" s="7">
        <v>0</v>
      </c>
      <c r="Q97" s="7">
        <v>0</v>
      </c>
      <c r="R97" s="5" t="b">
        <v>1</v>
      </c>
      <c r="S97" s="7">
        <v>2</v>
      </c>
      <c r="T97" s="7">
        <v>5</v>
      </c>
      <c r="U97" s="6">
        <v>100</v>
      </c>
      <c r="V97" s="7">
        <v>16</v>
      </c>
      <c r="W97" s="7">
        <v>4</v>
      </c>
      <c r="X97" s="7">
        <v>70</v>
      </c>
      <c r="Y97" s="6" t="b">
        <v>0</v>
      </c>
      <c r="Z97" s="6">
        <v>0</v>
      </c>
      <c r="AA97" s="6">
        <v>0</v>
      </c>
      <c r="AB97" s="7">
        <v>49</v>
      </c>
      <c r="AC97" s="7">
        <v>0</v>
      </c>
      <c r="AD97" s="7">
        <v>0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1691</v>
      </c>
      <c r="D98" s="10" t="s">
        <v>916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300003</v>
      </c>
      <c r="C99" s="7" t="s">
        <v>1760</v>
      </c>
      <c r="D99" s="10" t="s">
        <v>916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546</v>
      </c>
      <c r="D100" s="10" t="s">
        <v>603</v>
      </c>
      <c r="E100" s="6">
        <v>2</v>
      </c>
      <c r="F100" s="6">
        <v>1</v>
      </c>
      <c r="G100" s="6">
        <v>2</v>
      </c>
      <c r="H100" s="6">
        <v>100</v>
      </c>
      <c r="I100" s="6">
        <v>18</v>
      </c>
      <c r="J100" s="6">
        <v>2</v>
      </c>
      <c r="K100" s="6">
        <v>150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6">
        <v>3</v>
      </c>
      <c r="T100" s="6">
        <v>2</v>
      </c>
      <c r="U100" s="6">
        <v>20</v>
      </c>
      <c r="V100" s="5">
        <v>30</v>
      </c>
      <c r="W100" s="5">
        <v>0</v>
      </c>
      <c r="X100" s="5">
        <v>0</v>
      </c>
      <c r="Y100" s="6" t="b">
        <v>0</v>
      </c>
      <c r="Z100" s="6">
        <v>0</v>
      </c>
      <c r="AA100" s="6">
        <v>0</v>
      </c>
      <c r="AB100" s="5">
        <v>3</v>
      </c>
      <c r="AC100" s="5">
        <v>31</v>
      </c>
      <c r="AD100" s="5">
        <v>2</v>
      </c>
      <c r="AE100" s="5" t="b">
        <v>1</v>
      </c>
      <c r="AF100" s="7">
        <v>3</v>
      </c>
      <c r="AG100" s="7">
        <v>2</v>
      </c>
      <c r="AH100" s="7">
        <v>100</v>
      </c>
      <c r="AI100" s="7">
        <v>7</v>
      </c>
      <c r="AJ100" s="7">
        <v>0</v>
      </c>
      <c r="AK100" s="7">
        <v>15</v>
      </c>
      <c r="AL100" s="7" t="b">
        <v>0</v>
      </c>
      <c r="AM100" s="7">
        <v>0</v>
      </c>
      <c r="AN100" s="7">
        <v>0</v>
      </c>
      <c r="AO100" s="7">
        <v>3</v>
      </c>
      <c r="AP100" s="7">
        <v>2</v>
      </c>
      <c r="AQ100" s="7">
        <v>3</v>
      </c>
      <c r="AR100" s="7" t="b">
        <v>1</v>
      </c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310002</v>
      </c>
      <c r="C101" s="7" t="s">
        <v>1692</v>
      </c>
      <c r="D101" s="10" t="s">
        <v>603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310003</v>
      </c>
      <c r="C102" s="7" t="s">
        <v>1762</v>
      </c>
      <c r="D102" s="10" t="s">
        <v>603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7">
        <v>320001</v>
      </c>
      <c r="C103" s="7" t="s">
        <v>547</v>
      </c>
      <c r="D103" s="10" t="s">
        <v>970</v>
      </c>
      <c r="E103" s="7">
        <v>2</v>
      </c>
      <c r="F103" s="7">
        <v>1</v>
      </c>
      <c r="G103" s="7">
        <v>2</v>
      </c>
      <c r="H103" s="6">
        <v>100</v>
      </c>
      <c r="I103" s="7">
        <v>10</v>
      </c>
      <c r="J103" s="7">
        <v>2</v>
      </c>
      <c r="K103" s="7">
        <v>132</v>
      </c>
      <c r="L103" s="6" t="b">
        <v>0</v>
      </c>
      <c r="M103" s="6">
        <v>0</v>
      </c>
      <c r="N103" s="6">
        <v>0</v>
      </c>
      <c r="O103" s="7">
        <v>1</v>
      </c>
      <c r="P103" s="7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60</v>
      </c>
      <c r="Y103" s="6" t="b">
        <v>0</v>
      </c>
      <c r="Z103" s="6">
        <v>0</v>
      </c>
      <c r="AA103" s="6">
        <v>0</v>
      </c>
      <c r="AB103" s="7">
        <v>1</v>
      </c>
      <c r="AC103" s="7">
        <v>64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320002</v>
      </c>
      <c r="C104" s="7" t="s">
        <v>1693</v>
      </c>
      <c r="D104" s="10" t="s">
        <v>970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1763</v>
      </c>
      <c r="D105" s="10" t="s">
        <v>970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548</v>
      </c>
      <c r="D106" s="10" t="s">
        <v>971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60</v>
      </c>
      <c r="V106" s="7">
        <v>30</v>
      </c>
      <c r="W106" s="7">
        <v>0</v>
      </c>
      <c r="X106" s="7">
        <v>0</v>
      </c>
      <c r="Y106" s="6" t="b">
        <v>0</v>
      </c>
      <c r="Z106" s="6">
        <v>0</v>
      </c>
      <c r="AA106" s="6">
        <v>0</v>
      </c>
      <c r="AB106" s="7">
        <v>3</v>
      </c>
      <c r="AC106" s="7">
        <v>33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1694</v>
      </c>
      <c r="D107" s="10" t="s">
        <v>971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330003</v>
      </c>
      <c r="C108" s="7" t="s">
        <v>1764</v>
      </c>
      <c r="D108" s="10" t="s">
        <v>971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7">
        <v>340001</v>
      </c>
      <c r="C109" s="7" t="s">
        <v>549</v>
      </c>
      <c r="D109" s="10" t="s">
        <v>972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122</v>
      </c>
      <c r="L109" s="6" t="b">
        <v>0</v>
      </c>
      <c r="M109" s="6">
        <v>0</v>
      </c>
      <c r="N109" s="6">
        <v>0</v>
      </c>
      <c r="O109" s="7">
        <v>1</v>
      </c>
      <c r="P109" s="7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40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34</v>
      </c>
      <c r="AD109" s="7">
        <v>2</v>
      </c>
      <c r="AE109" s="5" t="b">
        <v>1</v>
      </c>
      <c r="AF109" s="7">
        <v>2</v>
      </c>
      <c r="AG109" s="7">
        <v>5</v>
      </c>
      <c r="AH109" s="7">
        <v>100</v>
      </c>
      <c r="AI109" s="7">
        <v>1</v>
      </c>
      <c r="AJ109" s="7">
        <v>6</v>
      </c>
      <c r="AK109" s="7">
        <v>10</v>
      </c>
      <c r="AL109" s="7" t="b">
        <v>0</v>
      </c>
      <c r="AM109" s="7">
        <v>0</v>
      </c>
      <c r="AN109" s="7">
        <v>0</v>
      </c>
      <c r="AO109" s="7">
        <v>49</v>
      </c>
      <c r="AP109" s="7">
        <v>0</v>
      </c>
      <c r="AQ109" s="7">
        <v>0</v>
      </c>
      <c r="AR109" s="7" t="b">
        <v>1</v>
      </c>
      <c r="AS109" s="7"/>
      <c r="AT109" s="7"/>
      <c r="AU109" s="7"/>
      <c r="AV109" s="7"/>
      <c r="AW109" s="7"/>
      <c r="AX109" s="7"/>
      <c r="AY109" s="7"/>
      <c r="AZ109" s="7"/>
    </row>
    <row r="110" spans="1:52" ht="37.5" customHeight="1">
      <c r="A110" s="8"/>
      <c r="B110" s="7">
        <v>340002</v>
      </c>
      <c r="C110" s="7" t="s">
        <v>1695</v>
      </c>
      <c r="D110" s="10" t="s">
        <v>972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18.75" customHeight="1">
      <c r="A111" s="8"/>
      <c r="B111" s="7">
        <v>340003</v>
      </c>
      <c r="C111" s="7" t="s">
        <v>1765</v>
      </c>
      <c r="D111" s="10" t="s">
        <v>972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550</v>
      </c>
      <c r="D112" s="10" t="s">
        <v>907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7">
        <v>280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2</v>
      </c>
      <c r="T112" s="7">
        <v>5</v>
      </c>
      <c r="U112" s="6">
        <v>100</v>
      </c>
      <c r="V112" s="7">
        <v>1</v>
      </c>
      <c r="W112" s="7">
        <v>4</v>
      </c>
      <c r="X112" s="7">
        <v>120</v>
      </c>
      <c r="Y112" s="6" t="b">
        <v>0</v>
      </c>
      <c r="Z112" s="6">
        <v>0</v>
      </c>
      <c r="AA112" s="6">
        <v>0</v>
      </c>
      <c r="AB112" s="7">
        <v>49</v>
      </c>
      <c r="AC112" s="7">
        <v>0</v>
      </c>
      <c r="AD112" s="7">
        <v>0</v>
      </c>
      <c r="AE112" s="5" t="b">
        <v>1</v>
      </c>
      <c r="AF112" s="7">
        <v>3</v>
      </c>
      <c r="AG112" s="7">
        <v>2</v>
      </c>
      <c r="AH112" s="7">
        <v>100</v>
      </c>
      <c r="AI112" s="7">
        <v>1</v>
      </c>
      <c r="AJ112" s="7">
        <v>0</v>
      </c>
      <c r="AK112" s="7">
        <v>40</v>
      </c>
      <c r="AL112" s="7" t="b">
        <v>0</v>
      </c>
      <c r="AM112" s="7">
        <v>0</v>
      </c>
      <c r="AN112" s="7">
        <v>0</v>
      </c>
      <c r="AO112" s="7">
        <v>3</v>
      </c>
      <c r="AP112" s="7">
        <v>1</v>
      </c>
      <c r="AQ112" s="7">
        <v>6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39" customHeight="1">
      <c r="A113" s="8"/>
      <c r="B113" s="5">
        <v>350002</v>
      </c>
      <c r="C113" s="7" t="s">
        <v>1696</v>
      </c>
      <c r="D113" s="10" t="s">
        <v>907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1766</v>
      </c>
      <c r="D114" s="10" t="s">
        <v>907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35.25" customHeight="1">
      <c r="A115" s="8"/>
      <c r="B115" s="7">
        <v>360001</v>
      </c>
      <c r="C115" s="7" t="s">
        <v>551</v>
      </c>
      <c r="D115" s="10" t="s">
        <v>605</v>
      </c>
      <c r="E115" s="6">
        <v>2</v>
      </c>
      <c r="F115" s="6">
        <v>1</v>
      </c>
      <c r="G115" s="6">
        <v>2</v>
      </c>
      <c r="H115" s="6">
        <v>100</v>
      </c>
      <c r="I115" s="6">
        <v>19</v>
      </c>
      <c r="J115" s="6">
        <v>2</v>
      </c>
      <c r="K115" s="6">
        <v>110</v>
      </c>
      <c r="L115" s="6" t="b">
        <v>0</v>
      </c>
      <c r="M115" s="6">
        <v>0</v>
      </c>
      <c r="N115" s="6">
        <v>0</v>
      </c>
      <c r="O115" s="5">
        <v>1</v>
      </c>
      <c r="P115" s="7">
        <v>0</v>
      </c>
      <c r="Q115" s="5">
        <v>0</v>
      </c>
      <c r="R115" s="5" t="b">
        <v>1</v>
      </c>
      <c r="S115" s="6">
        <v>3</v>
      </c>
      <c r="T115" s="6">
        <v>2</v>
      </c>
      <c r="U115" s="6">
        <v>100</v>
      </c>
      <c r="V115" s="5">
        <v>30</v>
      </c>
      <c r="W115" s="5">
        <v>0</v>
      </c>
      <c r="X115" s="5">
        <v>15</v>
      </c>
      <c r="Y115" s="6" t="b">
        <v>0</v>
      </c>
      <c r="Z115" s="6">
        <v>0</v>
      </c>
      <c r="AA115" s="6">
        <v>0</v>
      </c>
      <c r="AB115" s="5">
        <v>3</v>
      </c>
      <c r="AC115" s="5">
        <v>17</v>
      </c>
      <c r="AD115" s="5">
        <v>3</v>
      </c>
      <c r="AE115" s="5" t="b">
        <v>1</v>
      </c>
      <c r="AF115" s="7">
        <v>3</v>
      </c>
      <c r="AG115" s="7">
        <v>2</v>
      </c>
      <c r="AH115" s="7">
        <v>22</v>
      </c>
      <c r="AI115" s="7">
        <v>30</v>
      </c>
      <c r="AJ115" s="7">
        <v>0</v>
      </c>
      <c r="AK115" s="7">
        <v>0</v>
      </c>
      <c r="AL115" s="7" t="b">
        <v>0</v>
      </c>
      <c r="AM115" s="7">
        <v>0</v>
      </c>
      <c r="AN115" s="7">
        <v>0</v>
      </c>
      <c r="AO115" s="7">
        <v>3</v>
      </c>
      <c r="AP115" s="7">
        <v>35</v>
      </c>
      <c r="AQ115" s="7">
        <v>2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360002</v>
      </c>
      <c r="C116" s="7" t="s">
        <v>1697</v>
      </c>
      <c r="D116" s="10" t="s">
        <v>605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1767</v>
      </c>
      <c r="D117" s="10" t="s">
        <v>605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552</v>
      </c>
      <c r="D118" s="10" t="s">
        <v>609</v>
      </c>
      <c r="E118" s="7">
        <v>2</v>
      </c>
      <c r="F118" s="7">
        <v>1</v>
      </c>
      <c r="G118" s="7">
        <v>2</v>
      </c>
      <c r="H118" s="6">
        <v>100</v>
      </c>
      <c r="I118" s="7">
        <v>38</v>
      </c>
      <c r="J118" s="7">
        <v>2</v>
      </c>
      <c r="K118" s="7">
        <v>180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7">
        <v>3</v>
      </c>
      <c r="T118" s="7">
        <v>2</v>
      </c>
      <c r="U118" s="6">
        <v>100</v>
      </c>
      <c r="V118" s="7">
        <v>30</v>
      </c>
      <c r="W118" s="7">
        <v>2</v>
      </c>
      <c r="X118" s="7">
        <v>45</v>
      </c>
      <c r="Y118" s="6" t="b">
        <v>0</v>
      </c>
      <c r="Z118" s="6">
        <v>0</v>
      </c>
      <c r="AA118" s="6">
        <v>0</v>
      </c>
      <c r="AB118" s="7">
        <v>1</v>
      </c>
      <c r="AC118" s="7">
        <v>64</v>
      </c>
      <c r="AD118" s="7">
        <v>6</v>
      </c>
      <c r="AE118" s="5" t="b">
        <v>1</v>
      </c>
      <c r="AF118" s="7">
        <v>3</v>
      </c>
      <c r="AG118" s="7">
        <v>2</v>
      </c>
      <c r="AH118" s="7">
        <v>35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31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1698</v>
      </c>
      <c r="D119" s="10" t="s">
        <v>609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1768</v>
      </c>
      <c r="D120" s="10" t="s">
        <v>609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30">
        <v>3</v>
      </c>
      <c r="AG120" s="30">
        <v>2</v>
      </c>
      <c r="AH120" s="30">
        <v>35</v>
      </c>
      <c r="AI120" s="30">
        <v>30</v>
      </c>
      <c r="AJ120" s="30">
        <v>0</v>
      </c>
      <c r="AK120" s="30">
        <v>0</v>
      </c>
      <c r="AL120" s="30" t="b">
        <v>0</v>
      </c>
      <c r="AM120" s="30">
        <v>0</v>
      </c>
      <c r="AN120" s="30">
        <v>0</v>
      </c>
      <c r="AO120" s="30">
        <v>3</v>
      </c>
      <c r="AP120" s="30">
        <v>31</v>
      </c>
      <c r="AQ120" s="30">
        <v>2</v>
      </c>
      <c r="AR120" s="30" t="b">
        <v>1</v>
      </c>
    </row>
    <row r="121" spans="1:52" ht="18.75" customHeight="1">
      <c r="B121" s="7">
        <v>380001</v>
      </c>
      <c r="C121" s="7" t="s">
        <v>553</v>
      </c>
      <c r="D121" s="10" t="s">
        <v>908</v>
      </c>
      <c r="E121" s="7">
        <v>2</v>
      </c>
      <c r="F121" s="7">
        <v>1</v>
      </c>
      <c r="G121" s="7">
        <v>2</v>
      </c>
      <c r="H121" s="6">
        <v>100</v>
      </c>
      <c r="I121" s="7">
        <v>19</v>
      </c>
      <c r="J121" s="7">
        <v>2</v>
      </c>
      <c r="K121" s="7">
        <v>80</v>
      </c>
      <c r="L121" s="6" t="b">
        <v>0</v>
      </c>
      <c r="M121" s="6">
        <v>0</v>
      </c>
      <c r="N121" s="6">
        <v>0</v>
      </c>
      <c r="O121" s="7">
        <v>1</v>
      </c>
      <c r="P121" s="7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80</v>
      </c>
      <c r="Y121" s="6" t="b">
        <v>0</v>
      </c>
      <c r="Z121" s="6">
        <v>0</v>
      </c>
      <c r="AA121" s="6">
        <v>0</v>
      </c>
      <c r="AB121" s="7">
        <v>49</v>
      </c>
      <c r="AC121" s="7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1699</v>
      </c>
      <c r="D122" s="10" t="s">
        <v>908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1769</v>
      </c>
      <c r="D123" s="10" t="s">
        <v>908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554</v>
      </c>
      <c r="D124" s="10" t="s">
        <v>680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110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17</v>
      </c>
      <c r="W124" s="7">
        <v>0</v>
      </c>
      <c r="X124" s="7">
        <v>5</v>
      </c>
      <c r="Y124" s="6" t="b">
        <v>0</v>
      </c>
      <c r="Z124" s="6">
        <v>0</v>
      </c>
      <c r="AA124" s="6">
        <v>0</v>
      </c>
      <c r="AB124" s="7">
        <v>3</v>
      </c>
      <c r="AC124" s="7">
        <v>4</v>
      </c>
      <c r="AD124" s="7">
        <v>2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1700</v>
      </c>
      <c r="D125" s="10" t="s">
        <v>680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1770</v>
      </c>
      <c r="D126" s="10" t="s">
        <v>680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555</v>
      </c>
      <c r="D127" s="10" t="s">
        <v>909</v>
      </c>
      <c r="E127" s="7">
        <v>2</v>
      </c>
      <c r="F127" s="7">
        <v>1</v>
      </c>
      <c r="G127" s="7">
        <v>2</v>
      </c>
      <c r="H127" s="6">
        <v>100</v>
      </c>
      <c r="I127" s="7">
        <v>39</v>
      </c>
      <c r="J127" s="7">
        <v>2</v>
      </c>
      <c r="K127" s="7">
        <v>108</v>
      </c>
      <c r="L127" s="6" t="b">
        <v>0</v>
      </c>
      <c r="M127" s="6">
        <v>0</v>
      </c>
      <c r="N127" s="6">
        <v>0</v>
      </c>
      <c r="O127" s="7">
        <v>1</v>
      </c>
      <c r="P127" s="7">
        <v>0</v>
      </c>
      <c r="Q127" s="7">
        <v>0</v>
      </c>
      <c r="R127" s="5" t="b">
        <v>1</v>
      </c>
      <c r="S127" s="7">
        <v>2</v>
      </c>
      <c r="T127" s="7">
        <v>5</v>
      </c>
      <c r="U127" s="6">
        <v>100</v>
      </c>
      <c r="V127" s="7">
        <v>22</v>
      </c>
      <c r="W127" s="7">
        <v>4</v>
      </c>
      <c r="X127" s="7">
        <v>250</v>
      </c>
      <c r="Y127" s="6" t="b">
        <v>0</v>
      </c>
      <c r="Z127" s="6">
        <v>0</v>
      </c>
      <c r="AA127" s="6">
        <v>0</v>
      </c>
      <c r="AB127" s="7">
        <v>49</v>
      </c>
      <c r="AC127" s="7">
        <v>0</v>
      </c>
      <c r="AD127" s="7">
        <v>0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1701</v>
      </c>
      <c r="D128" s="10" t="s">
        <v>909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1772</v>
      </c>
      <c r="D129" s="10" t="s">
        <v>909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556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6">
        <v>19</v>
      </c>
      <c r="J130" s="6">
        <v>2</v>
      </c>
      <c r="K130" s="6">
        <v>200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1702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1771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557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11</v>
      </c>
      <c r="J133" s="7">
        <v>2</v>
      </c>
      <c r="K133" s="7">
        <v>200</v>
      </c>
      <c r="L133" s="6" t="b">
        <v>0</v>
      </c>
      <c r="M133" s="6">
        <v>0</v>
      </c>
      <c r="N133" s="6">
        <v>0</v>
      </c>
      <c r="O133" s="7">
        <v>1</v>
      </c>
      <c r="P133" s="7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7"/>
      <c r="AD133" s="7"/>
      <c r="AE133" s="5"/>
    </row>
    <row r="134" spans="2:44" ht="18.75" customHeight="1">
      <c r="B134" s="7">
        <v>420002</v>
      </c>
      <c r="C134" s="7" t="s">
        <v>1703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420003</v>
      </c>
      <c r="C135" s="7" t="s">
        <v>1773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5">
        <v>430001</v>
      </c>
      <c r="C136" s="7" t="s">
        <v>558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12</v>
      </c>
      <c r="J136" s="7">
        <v>2</v>
      </c>
      <c r="K136" s="7">
        <v>272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430002</v>
      </c>
      <c r="C137" s="7" t="s">
        <v>1704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430003</v>
      </c>
      <c r="C138" s="7" t="s">
        <v>1774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7">
        <v>440001</v>
      </c>
      <c r="C139" s="7" t="s">
        <v>559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3</v>
      </c>
      <c r="J139" s="7">
        <v>2</v>
      </c>
      <c r="K139" s="7">
        <v>95</v>
      </c>
      <c r="L139" s="6" t="b">
        <v>0</v>
      </c>
      <c r="M139" s="6">
        <v>0</v>
      </c>
      <c r="N139" s="6">
        <v>0</v>
      </c>
      <c r="O139" s="7">
        <v>1</v>
      </c>
      <c r="P139" s="7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440002</v>
      </c>
      <c r="C140" s="7" t="s">
        <v>1705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440003</v>
      </c>
      <c r="C141" s="7" t="s">
        <v>1775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5">
        <v>450001</v>
      </c>
      <c r="C142" s="7" t="s">
        <v>560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12</v>
      </c>
      <c r="J142" s="7">
        <v>2</v>
      </c>
      <c r="K142" s="7">
        <v>182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450002</v>
      </c>
      <c r="C143" s="7" t="s">
        <v>1706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450003</v>
      </c>
      <c r="C144" s="7" t="s">
        <v>1776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7">
        <v>460001</v>
      </c>
      <c r="C145" s="7" t="s">
        <v>561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6">
        <v>19</v>
      </c>
      <c r="J145" s="6">
        <v>2</v>
      </c>
      <c r="K145" s="6">
        <v>200</v>
      </c>
      <c r="L145" s="6" t="b">
        <v>0</v>
      </c>
      <c r="M145" s="6">
        <v>0</v>
      </c>
      <c r="N145" s="6">
        <v>0</v>
      </c>
      <c r="O145" s="5">
        <v>1</v>
      </c>
      <c r="P145" s="7">
        <v>0</v>
      </c>
      <c r="Q145" s="5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460002</v>
      </c>
      <c r="C146" s="7" t="s">
        <v>1707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460003</v>
      </c>
      <c r="C147" s="7" t="s">
        <v>1777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5">
        <v>470001</v>
      </c>
      <c r="C148" s="7" t="s">
        <v>562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11</v>
      </c>
      <c r="J148" s="7">
        <v>2</v>
      </c>
      <c r="K148" s="7">
        <v>200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7"/>
      <c r="AD148" s="7"/>
      <c r="AE148" s="5"/>
    </row>
    <row r="149" spans="1:52" ht="18.75" customHeight="1">
      <c r="B149" s="5">
        <v>470002</v>
      </c>
      <c r="C149" s="7" t="s">
        <v>1708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1778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563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12</v>
      </c>
      <c r="J151" s="7">
        <v>2</v>
      </c>
      <c r="K151" s="7">
        <v>272</v>
      </c>
      <c r="L151" s="6" t="b">
        <v>0</v>
      </c>
      <c r="M151" s="6">
        <v>0</v>
      </c>
      <c r="N151" s="6">
        <v>0</v>
      </c>
      <c r="O151" s="7">
        <v>1</v>
      </c>
      <c r="P151" s="7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1709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1779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564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3</v>
      </c>
      <c r="J154" s="7">
        <v>2</v>
      </c>
      <c r="K154" s="7">
        <v>95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1710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1780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565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12</v>
      </c>
      <c r="J157" s="7">
        <v>2</v>
      </c>
      <c r="K157" s="7">
        <v>182</v>
      </c>
      <c r="L157" s="6" t="b">
        <v>0</v>
      </c>
      <c r="M157" s="6">
        <v>0</v>
      </c>
      <c r="N157" s="6">
        <v>0</v>
      </c>
      <c r="O157" s="7">
        <v>1</v>
      </c>
      <c r="P157" s="7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1711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1781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566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6">
        <v>19</v>
      </c>
      <c r="J160" s="6">
        <v>2</v>
      </c>
      <c r="K160" s="6">
        <v>200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6"/>
      <c r="T160" s="6"/>
      <c r="U160" s="6"/>
      <c r="V160" s="5"/>
      <c r="W160" s="5"/>
      <c r="X160" s="5"/>
      <c r="Y160" s="6"/>
      <c r="Z160" s="6"/>
      <c r="AA160" s="6"/>
      <c r="AB160" s="5"/>
      <c r="AC160" s="5"/>
      <c r="AD160" s="5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1712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1782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567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11</v>
      </c>
      <c r="J163" s="7">
        <v>2</v>
      </c>
      <c r="K163" s="7">
        <v>200</v>
      </c>
      <c r="L163" s="6" t="b">
        <v>0</v>
      </c>
      <c r="M163" s="6">
        <v>0</v>
      </c>
      <c r="N163" s="6">
        <v>0</v>
      </c>
      <c r="O163" s="7">
        <v>1</v>
      </c>
      <c r="P163" s="7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7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1713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36" customHeight="1">
      <c r="A165" s="8"/>
      <c r="B165" s="7">
        <v>520003</v>
      </c>
      <c r="C165" s="7" t="s">
        <v>1783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568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12</v>
      </c>
      <c r="J166" s="7">
        <v>2</v>
      </c>
      <c r="K166" s="7">
        <v>272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1714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1784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7">
        <v>540001</v>
      </c>
      <c r="C169" s="7" t="s">
        <v>569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3</v>
      </c>
      <c r="J169" s="7">
        <v>2</v>
      </c>
      <c r="K169" s="7">
        <v>95</v>
      </c>
      <c r="L169" s="6" t="b">
        <v>0</v>
      </c>
      <c r="M169" s="6">
        <v>0</v>
      </c>
      <c r="N169" s="6">
        <v>0</v>
      </c>
      <c r="O169" s="7">
        <v>1</v>
      </c>
      <c r="P169" s="7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1715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540003</v>
      </c>
      <c r="C171" s="7" t="s">
        <v>1785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5">
        <v>550001</v>
      </c>
      <c r="C172" s="7" t="s">
        <v>570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12</v>
      </c>
      <c r="J172" s="7">
        <v>2</v>
      </c>
      <c r="K172" s="7">
        <v>182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550002</v>
      </c>
      <c r="C173" s="7" t="s">
        <v>1716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550003</v>
      </c>
      <c r="C174" s="7" t="s">
        <v>1786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571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6">
        <v>19</v>
      </c>
      <c r="J175" s="6">
        <v>2</v>
      </c>
      <c r="K175" s="6">
        <v>200</v>
      </c>
      <c r="L175" s="6" t="b">
        <v>0</v>
      </c>
      <c r="M175" s="6">
        <v>0</v>
      </c>
      <c r="N175" s="6">
        <v>0</v>
      </c>
      <c r="O175" s="5">
        <v>1</v>
      </c>
      <c r="P175" s="7">
        <v>0</v>
      </c>
      <c r="Q175" s="5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1717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1787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5">
        <v>570001</v>
      </c>
      <c r="C178" s="7" t="s">
        <v>572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11</v>
      </c>
      <c r="J178" s="7">
        <v>2</v>
      </c>
      <c r="K178" s="7">
        <v>200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7"/>
      <c r="AD178" s="7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570002</v>
      </c>
      <c r="C179" s="7" t="s">
        <v>1718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7.5" customHeight="1">
      <c r="A180" s="8"/>
      <c r="B180" s="5">
        <v>570003</v>
      </c>
      <c r="C180" s="7" t="s">
        <v>1788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18.75" customHeight="1">
      <c r="A181" s="8"/>
      <c r="B181" s="7">
        <v>580001</v>
      </c>
      <c r="C181" s="7" t="s">
        <v>573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12</v>
      </c>
      <c r="J181" s="7">
        <v>2</v>
      </c>
      <c r="K181" s="7">
        <v>272</v>
      </c>
      <c r="L181" s="6" t="b">
        <v>0</v>
      </c>
      <c r="M181" s="6">
        <v>0</v>
      </c>
      <c r="N181" s="6">
        <v>0</v>
      </c>
      <c r="O181" s="7">
        <v>1</v>
      </c>
      <c r="P181" s="7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1719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39" customHeight="1">
      <c r="A183" s="8"/>
      <c r="B183" s="7">
        <v>580003</v>
      </c>
      <c r="C183" s="7" t="s">
        <v>1789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574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3</v>
      </c>
      <c r="J184" s="7">
        <v>2</v>
      </c>
      <c r="K184" s="7">
        <v>95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35.25" customHeight="1">
      <c r="A185" s="8"/>
      <c r="B185" s="5">
        <v>590002</v>
      </c>
      <c r="C185" s="7" t="s">
        <v>1720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590003</v>
      </c>
      <c r="C186" s="7" t="s">
        <v>1790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575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12</v>
      </c>
      <c r="J187" s="7">
        <v>2</v>
      </c>
      <c r="K187" s="7">
        <v>182</v>
      </c>
      <c r="L187" s="6" t="b">
        <v>0</v>
      </c>
      <c r="M187" s="6">
        <v>0</v>
      </c>
      <c r="N187" s="6">
        <v>0</v>
      </c>
      <c r="O187" s="7">
        <v>1</v>
      </c>
      <c r="P187" s="7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1721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1791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576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6">
        <v>19</v>
      </c>
      <c r="J190" s="6">
        <v>2</v>
      </c>
      <c r="K190" s="6">
        <v>200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1722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1792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577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11</v>
      </c>
      <c r="J193" s="7">
        <v>2</v>
      </c>
      <c r="K193" s="7">
        <v>200</v>
      </c>
      <c r="L193" s="6" t="b">
        <v>0</v>
      </c>
      <c r="M193" s="6">
        <v>0</v>
      </c>
      <c r="N193" s="6">
        <v>0</v>
      </c>
      <c r="O193" s="7">
        <v>1</v>
      </c>
      <c r="P193" s="7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7"/>
      <c r="AD193" s="7"/>
      <c r="AE193" s="5"/>
    </row>
    <row r="194" spans="2:31" ht="18.75" customHeight="1">
      <c r="B194" s="7">
        <v>620002</v>
      </c>
      <c r="C194" s="7" t="s">
        <v>1723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620003</v>
      </c>
      <c r="C195" s="7" t="s">
        <v>1793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5">
        <v>630001</v>
      </c>
      <c r="C196" s="7" t="s">
        <v>578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12</v>
      </c>
      <c r="J196" s="7">
        <v>2</v>
      </c>
      <c r="K196" s="7">
        <v>272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630002</v>
      </c>
      <c r="C197" s="7" t="s">
        <v>1724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630003</v>
      </c>
      <c r="C198" s="7" t="s">
        <v>1794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7">
        <v>640001</v>
      </c>
      <c r="C199" s="7" t="s">
        <v>579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3</v>
      </c>
      <c r="J199" s="7">
        <v>2</v>
      </c>
      <c r="K199" s="7">
        <v>95</v>
      </c>
      <c r="L199" s="6" t="b">
        <v>0</v>
      </c>
      <c r="M199" s="6">
        <v>0</v>
      </c>
      <c r="N199" s="6">
        <v>0</v>
      </c>
      <c r="O199" s="7">
        <v>1</v>
      </c>
      <c r="P199" s="7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640002</v>
      </c>
      <c r="C200" s="7" t="s">
        <v>1725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640003</v>
      </c>
      <c r="C201" s="7" t="s">
        <v>1795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5">
        <v>650001</v>
      </c>
      <c r="C202" s="7" t="s">
        <v>580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12</v>
      </c>
      <c r="J202" s="7">
        <v>2</v>
      </c>
      <c r="K202" s="7">
        <v>182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650002</v>
      </c>
      <c r="C203" s="7" t="s">
        <v>1726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650003</v>
      </c>
      <c r="C204" s="7" t="s">
        <v>1796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7">
        <v>660001</v>
      </c>
      <c r="C205" s="7" t="s">
        <v>581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6">
        <v>19</v>
      </c>
      <c r="J205" s="6">
        <v>2</v>
      </c>
      <c r="K205" s="6">
        <v>200</v>
      </c>
      <c r="L205" s="6" t="b">
        <v>0</v>
      </c>
      <c r="M205" s="6">
        <v>0</v>
      </c>
      <c r="N205" s="6">
        <v>0</v>
      </c>
      <c r="O205" s="5">
        <v>1</v>
      </c>
      <c r="P205" s="7">
        <v>0</v>
      </c>
      <c r="Q205" s="5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660002</v>
      </c>
      <c r="C206" s="7" t="s">
        <v>1727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660003</v>
      </c>
      <c r="C207" s="7" t="s">
        <v>1797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5">
        <v>670001</v>
      </c>
      <c r="C208" s="7" t="s">
        <v>582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11</v>
      </c>
      <c r="J208" s="7">
        <v>2</v>
      </c>
      <c r="K208" s="7">
        <v>200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7"/>
      <c r="AD208" s="7"/>
      <c r="AE208" s="5"/>
    </row>
    <row r="209" spans="2:31" ht="18.75" customHeight="1">
      <c r="B209" s="5">
        <v>670002</v>
      </c>
      <c r="C209" s="7" t="s">
        <v>1728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670003</v>
      </c>
      <c r="C210" s="7" t="s">
        <v>1798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7">
        <v>680001</v>
      </c>
      <c r="C211" s="7" t="s">
        <v>583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12</v>
      </c>
      <c r="J211" s="7">
        <v>2</v>
      </c>
      <c r="K211" s="7">
        <v>272</v>
      </c>
      <c r="L211" s="6" t="b">
        <v>0</v>
      </c>
      <c r="M211" s="6">
        <v>0</v>
      </c>
      <c r="N211" s="6">
        <v>0</v>
      </c>
      <c r="O211" s="7">
        <v>1</v>
      </c>
      <c r="P211" s="7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680002</v>
      </c>
      <c r="C212" s="7" t="s">
        <v>1729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680003</v>
      </c>
      <c r="C213" s="7" t="s">
        <v>1799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5">
        <v>690001</v>
      </c>
      <c r="C214" s="7" t="s">
        <v>584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3</v>
      </c>
      <c r="J214" s="7">
        <v>2</v>
      </c>
      <c r="K214" s="7">
        <v>95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690002</v>
      </c>
      <c r="C215" s="7" t="s">
        <v>1730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690003</v>
      </c>
      <c r="C216" s="7" t="s">
        <v>1800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7">
        <v>700001</v>
      </c>
      <c r="C217" s="7" t="s">
        <v>585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12</v>
      </c>
      <c r="J217" s="7">
        <v>2</v>
      </c>
      <c r="K217" s="7">
        <v>182</v>
      </c>
      <c r="L217" s="6" t="b">
        <v>0</v>
      </c>
      <c r="M217" s="6">
        <v>0</v>
      </c>
      <c r="N217" s="6">
        <v>0</v>
      </c>
      <c r="O217" s="7">
        <v>1</v>
      </c>
      <c r="P217" s="7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700002</v>
      </c>
      <c r="C218" s="7" t="s">
        <v>1731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700003</v>
      </c>
      <c r="C219" s="7" t="s">
        <v>1801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5"/>
      <c r="C220" s="7"/>
      <c r="D220" s="10"/>
      <c r="E220" s="6"/>
      <c r="F220" s="6"/>
      <c r="G220" s="6"/>
      <c r="H220" s="13"/>
      <c r="I220" s="6"/>
      <c r="J220" s="6"/>
      <c r="K220" s="6"/>
      <c r="O220" s="5"/>
      <c r="P220" s="5"/>
      <c r="Q220" s="5"/>
      <c r="S220" s="6"/>
      <c r="T220" s="6"/>
      <c r="U220" s="13"/>
      <c r="V220" s="5"/>
      <c r="W220" s="5"/>
      <c r="X220" s="5"/>
      <c r="AB220" s="5"/>
      <c r="AC220" s="5"/>
      <c r="AD220" s="5"/>
    </row>
    <row r="221" spans="2:31" ht="18.75" customHeight="1">
      <c r="B221" s="7"/>
      <c r="C221" s="7"/>
      <c r="D221" s="10"/>
      <c r="E221" s="7"/>
      <c r="F221" s="7"/>
      <c r="G221" s="7"/>
      <c r="H221" s="13"/>
      <c r="I221" s="7"/>
      <c r="J221" s="7"/>
      <c r="K221" s="7"/>
      <c r="O221" s="7"/>
      <c r="P221" s="7"/>
      <c r="Q221" s="7"/>
      <c r="S221" s="7"/>
      <c r="T221" s="7"/>
      <c r="U221" s="13"/>
      <c r="V221" s="7"/>
      <c r="W221" s="7"/>
      <c r="X221" s="7"/>
      <c r="AB221" s="7"/>
      <c r="AC221" s="7"/>
      <c r="AD221" s="7"/>
    </row>
    <row r="222" spans="2:31" ht="18.75" customHeight="1">
      <c r="B222" s="5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7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5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6"/>
      <c r="F225" s="6"/>
      <c r="G225" s="6"/>
      <c r="H225" s="13"/>
      <c r="I225" s="6"/>
      <c r="J225" s="6"/>
      <c r="K225" s="6"/>
      <c r="O225" s="5"/>
      <c r="P225" s="5"/>
      <c r="Q225" s="5"/>
      <c r="S225" s="6"/>
      <c r="T225" s="6"/>
      <c r="U225" s="13"/>
      <c r="V225" s="5"/>
      <c r="W225" s="5"/>
      <c r="X225" s="5"/>
      <c r="AB225" s="5"/>
      <c r="AC225" s="5"/>
      <c r="AD225" s="5"/>
    </row>
    <row r="226" spans="2:30" ht="18.75" customHeight="1">
      <c r="B226" s="7"/>
      <c r="C226" s="7"/>
      <c r="D226" s="10"/>
      <c r="E226" s="7"/>
      <c r="F226" s="7"/>
      <c r="G226" s="7"/>
      <c r="H226" s="13"/>
      <c r="I226" s="7"/>
      <c r="J226" s="7"/>
      <c r="K226" s="7"/>
      <c r="O226" s="7"/>
      <c r="P226" s="7"/>
      <c r="Q226" s="7"/>
      <c r="S226" s="7"/>
      <c r="T226" s="7"/>
      <c r="U226" s="13"/>
      <c r="V226" s="7"/>
      <c r="W226" s="7"/>
      <c r="X226" s="7"/>
      <c r="AB226" s="7"/>
      <c r="AC226" s="7"/>
      <c r="AD226" s="7"/>
    </row>
    <row r="227" spans="2:30" ht="18.75" customHeight="1">
      <c r="B227" s="5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7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5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6"/>
      <c r="F230" s="6"/>
      <c r="G230" s="6"/>
      <c r="H230" s="13"/>
      <c r="I230" s="6"/>
      <c r="J230" s="6"/>
      <c r="K230" s="6"/>
      <c r="O230" s="5"/>
      <c r="P230" s="5"/>
      <c r="Q230" s="5"/>
      <c r="S230" s="6"/>
      <c r="T230" s="6"/>
      <c r="U230" s="13"/>
      <c r="V230" s="5"/>
      <c r="W230" s="5"/>
      <c r="X230" s="5"/>
      <c r="AB230" s="5"/>
      <c r="AC230" s="5"/>
      <c r="AD230" s="5"/>
    </row>
    <row r="231" spans="2:30" ht="18.75" customHeight="1">
      <c r="B231" s="7"/>
      <c r="C231" s="7"/>
      <c r="D231" s="10"/>
      <c r="E231" s="7"/>
      <c r="F231" s="7"/>
      <c r="G231" s="7"/>
      <c r="H231" s="13"/>
      <c r="I231" s="7"/>
      <c r="J231" s="7"/>
      <c r="K231" s="7"/>
      <c r="O231" s="7"/>
      <c r="P231" s="7"/>
      <c r="Q231" s="7"/>
      <c r="S231" s="7"/>
      <c r="T231" s="7"/>
      <c r="U231" s="13"/>
      <c r="V231" s="7"/>
      <c r="W231" s="7"/>
      <c r="X231" s="7"/>
      <c r="AB231" s="7"/>
      <c r="AC231" s="7"/>
      <c r="AD231" s="7"/>
    </row>
    <row r="232" spans="2:30" ht="18.75" customHeight="1">
      <c r="B232" s="5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7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5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6"/>
      <c r="F235" s="6"/>
      <c r="G235" s="6"/>
      <c r="H235" s="13"/>
      <c r="I235" s="6"/>
      <c r="J235" s="6"/>
      <c r="K235" s="6"/>
      <c r="O235" s="5"/>
      <c r="P235" s="5"/>
      <c r="Q235" s="5"/>
      <c r="S235" s="6"/>
      <c r="T235" s="6"/>
      <c r="U235" s="13"/>
      <c r="V235" s="5"/>
      <c r="W235" s="5"/>
      <c r="X235" s="5"/>
      <c r="AB235" s="5"/>
      <c r="AC235" s="5"/>
      <c r="AD235" s="5"/>
    </row>
    <row r="236" spans="2:30" ht="18.75" customHeight="1">
      <c r="B236" s="7"/>
      <c r="C236" s="7"/>
      <c r="D236" s="10"/>
      <c r="E236" s="7"/>
      <c r="F236" s="7"/>
      <c r="G236" s="7"/>
      <c r="H236" s="13"/>
      <c r="I236" s="7"/>
      <c r="J236" s="7"/>
      <c r="K236" s="7"/>
      <c r="O236" s="7"/>
      <c r="P236" s="7"/>
      <c r="Q236" s="7"/>
      <c r="S236" s="7"/>
      <c r="T236" s="7"/>
      <c r="U236" s="13"/>
      <c r="V236" s="7"/>
      <c r="W236" s="7"/>
      <c r="X236" s="7"/>
      <c r="AB236" s="7"/>
      <c r="AC236" s="7"/>
      <c r="AD236" s="7"/>
    </row>
    <row r="237" spans="2:30" ht="18.75" customHeight="1">
      <c r="B237" s="5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7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5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72" customHeight="1">
      <c r="B240" s="5"/>
      <c r="C240" s="7"/>
      <c r="D240" s="10"/>
      <c r="E240" s="13"/>
      <c r="G240" s="13"/>
      <c r="H240" s="13"/>
      <c r="I240" s="13"/>
      <c r="T240" s="13"/>
      <c r="U240" s="13"/>
    </row>
    <row r="241" spans="2:21" ht="69.75" customHeight="1">
      <c r="B241" s="7"/>
      <c r="C241" s="7"/>
      <c r="D241" s="10"/>
      <c r="E241" s="13"/>
      <c r="G241" s="13"/>
      <c r="H241" s="13"/>
      <c r="I241" s="13"/>
      <c r="T241" s="13"/>
      <c r="U241" s="13"/>
    </row>
    <row r="242" spans="2:21" ht="63.75" customHeight="1">
      <c r="B242" s="5"/>
      <c r="C242" s="7"/>
      <c r="D242" s="10"/>
      <c r="E242" s="13"/>
      <c r="G242" s="13"/>
      <c r="H242" s="13"/>
      <c r="I242" s="13"/>
      <c r="T242" s="13"/>
      <c r="U242" s="13"/>
    </row>
    <row r="243" spans="2:21" ht="62.25" customHeight="1">
      <c r="B243" s="7"/>
      <c r="C243" s="7"/>
      <c r="D243" s="10"/>
      <c r="E243" s="13"/>
      <c r="G243" s="13"/>
      <c r="H243" s="13"/>
      <c r="I243" s="13"/>
      <c r="T243" s="13"/>
      <c r="U243" s="13"/>
    </row>
    <row r="244" spans="2:21" ht="49.5" customHeight="1">
      <c r="B244" s="5"/>
      <c r="C244" s="7"/>
      <c r="D244" s="10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E8" sqref="E8"/>
      <selection pane="bottomLeft" activeCell="E8" sqref="E8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1" ht="12" customHeight="1"/>
    <row r="2" spans="1:41" ht="40.5" customHeight="1">
      <c r="A2" s="57" t="s">
        <v>0</v>
      </c>
      <c r="B2" s="7" t="s">
        <v>284</v>
      </c>
    </row>
    <row r="3" spans="1:41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8.75" customHeight="1">
      <c r="A4" s="57" t="s">
        <v>2</v>
      </c>
      <c r="B4" s="3" t="s">
        <v>3</v>
      </c>
      <c r="C4" s="3" t="s">
        <v>258</v>
      </c>
      <c r="D4" s="3" t="s">
        <v>984</v>
      </c>
      <c r="E4" s="3" t="s">
        <v>985</v>
      </c>
      <c r="F4" s="3" t="s">
        <v>988</v>
      </c>
      <c r="G4" s="3" t="s">
        <v>989</v>
      </c>
      <c r="H4" s="3" t="s">
        <v>990</v>
      </c>
      <c r="I4" s="3" t="s">
        <v>982</v>
      </c>
      <c r="J4" s="3" t="s">
        <v>980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8.75" customHeight="1">
      <c r="A7" s="57" t="s">
        <v>6</v>
      </c>
      <c r="B7" s="4" t="s">
        <v>7</v>
      </c>
      <c r="C7" s="4" t="s">
        <v>129</v>
      </c>
      <c r="D7" s="4" t="s">
        <v>227</v>
      </c>
      <c r="E7" s="4" t="s">
        <v>227</v>
      </c>
      <c r="F7" s="4" t="s">
        <v>979</v>
      </c>
      <c r="G7" s="4" t="s">
        <v>979</v>
      </c>
      <c r="H7" s="4" t="s">
        <v>979</v>
      </c>
      <c r="I7" s="4" t="s">
        <v>979</v>
      </c>
      <c r="J7" s="4" t="s">
        <v>227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76.5" customHeight="1">
      <c r="A8" s="57" t="s">
        <v>10</v>
      </c>
      <c r="B8" s="5" t="s">
        <v>11</v>
      </c>
      <c r="C8" s="6" t="s">
        <v>266</v>
      </c>
      <c r="D8" s="6" t="s">
        <v>986</v>
      </c>
      <c r="E8" s="6" t="s">
        <v>987</v>
      </c>
      <c r="F8" s="6" t="s">
        <v>991</v>
      </c>
      <c r="G8" s="6" t="s">
        <v>992</v>
      </c>
      <c r="H8" s="6" t="s">
        <v>993</v>
      </c>
      <c r="I8" s="5" t="s">
        <v>983</v>
      </c>
      <c r="J8" s="6" t="s">
        <v>981</v>
      </c>
      <c r="K8" s="6"/>
      <c r="L8" s="6"/>
      <c r="M8" s="9"/>
      <c r="N8" s="9"/>
      <c r="O8" s="5"/>
      <c r="P8" s="6"/>
      <c r="Q8" s="5"/>
      <c r="R8" s="6"/>
      <c r="S8" s="6"/>
      <c r="T8" s="6"/>
      <c r="U8" s="5"/>
      <c r="V8" s="5"/>
      <c r="W8" s="5"/>
      <c r="X8" s="5"/>
      <c r="Y8" s="5"/>
      <c r="Z8" s="5"/>
      <c r="AA8" s="5"/>
      <c r="AB8" s="5"/>
      <c r="AC8" s="5"/>
      <c r="AD8" s="5"/>
      <c r="AE8" s="6"/>
      <c r="AF8" s="6"/>
      <c r="AG8" s="5"/>
      <c r="AH8" s="5"/>
      <c r="AI8" s="5"/>
      <c r="AJ8" s="5"/>
      <c r="AK8" s="5"/>
      <c r="AL8" s="5"/>
      <c r="AM8" s="5"/>
      <c r="AN8" s="5"/>
      <c r="AO8" s="5"/>
    </row>
    <row r="9" spans="1:41" ht="90.75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6" t="s">
        <v>1370</v>
      </c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6"/>
      <c r="W9" s="6"/>
      <c r="X9" s="6"/>
      <c r="Y9" s="6"/>
      <c r="Z9" s="6"/>
      <c r="AA9" s="6"/>
      <c r="AB9" s="6"/>
      <c r="AC9" s="5"/>
      <c r="AD9" s="5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ht="20.100000000000001" customHeight="1">
      <c r="A10" s="58" t="s">
        <v>153</v>
      </c>
      <c r="B10" s="5">
        <v>1</v>
      </c>
      <c r="C10" s="6" t="s">
        <v>994</v>
      </c>
      <c r="D10" s="6">
        <v>5</v>
      </c>
      <c r="E10" s="6">
        <v>1</v>
      </c>
      <c r="F10" s="6">
        <v>0</v>
      </c>
      <c r="G10" s="6">
        <v>0</v>
      </c>
      <c r="H10" s="6">
        <v>1</v>
      </c>
      <c r="I10" s="6">
        <v>1</v>
      </c>
      <c r="J10" s="6">
        <v>1</v>
      </c>
      <c r="K10" s="5"/>
      <c r="L10" s="5"/>
      <c r="M10" s="5"/>
      <c r="N10" s="6"/>
      <c r="O10" s="5"/>
      <c r="P10" s="5"/>
      <c r="Q10" s="6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ht="18.75" customHeight="1">
      <c r="A11" s="58"/>
      <c r="B11" s="7">
        <v>2</v>
      </c>
      <c r="C11" s="7" t="s">
        <v>1011</v>
      </c>
      <c r="D11" s="7">
        <v>2</v>
      </c>
      <c r="E11" s="7">
        <v>10</v>
      </c>
      <c r="F11" s="6">
        <v>0</v>
      </c>
      <c r="G11" s="6">
        <v>0</v>
      </c>
      <c r="H11" s="6">
        <v>1</v>
      </c>
      <c r="I11" s="7">
        <v>1</v>
      </c>
      <c r="J11" s="7">
        <v>5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</row>
    <row r="12" spans="1:41" ht="18.75" customHeight="1">
      <c r="A12" s="8"/>
      <c r="B12" s="5">
        <v>3</v>
      </c>
      <c r="C12" s="7" t="s">
        <v>996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6">
        <v>1</v>
      </c>
      <c r="J12" s="6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1" ht="18.75" customHeight="1">
      <c r="A13" s="8"/>
      <c r="B13" s="5">
        <v>4</v>
      </c>
      <c r="C13" s="7" t="s">
        <v>997</v>
      </c>
      <c r="D13" s="7">
        <v>9</v>
      </c>
      <c r="E13" s="7">
        <v>1</v>
      </c>
      <c r="F13" s="6">
        <v>0</v>
      </c>
      <c r="G13" s="6">
        <v>0</v>
      </c>
      <c r="H13" s="6">
        <v>1</v>
      </c>
      <c r="I13" s="7">
        <v>1</v>
      </c>
      <c r="J13" s="7">
        <v>1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18.75" customHeight="1">
      <c r="A14" s="8"/>
      <c r="B14" s="7">
        <v>5</v>
      </c>
      <c r="C14" s="7" t="s">
        <v>998</v>
      </c>
      <c r="D14" s="7">
        <v>5</v>
      </c>
      <c r="E14" s="7">
        <v>1</v>
      </c>
      <c r="F14" s="6">
        <v>0</v>
      </c>
      <c r="G14" s="6">
        <v>0</v>
      </c>
      <c r="H14" s="6">
        <v>1</v>
      </c>
      <c r="I14" s="6">
        <v>1</v>
      </c>
      <c r="J14" s="6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1" ht="18.75" customHeight="1">
      <c r="A15" s="8"/>
      <c r="B15" s="5">
        <v>6</v>
      </c>
      <c r="C15" s="7" t="s">
        <v>999</v>
      </c>
      <c r="D15" s="7">
        <v>7</v>
      </c>
      <c r="E15" s="7">
        <v>1</v>
      </c>
      <c r="F15" s="6">
        <v>0</v>
      </c>
      <c r="G15" s="6">
        <v>0</v>
      </c>
      <c r="H15" s="6">
        <v>1</v>
      </c>
      <c r="I15" s="7">
        <v>1</v>
      </c>
      <c r="J15" s="7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1" ht="18.75" customHeight="1">
      <c r="A16" s="8"/>
      <c r="B16" s="5">
        <v>7</v>
      </c>
      <c r="C16" s="7" t="s">
        <v>1001</v>
      </c>
      <c r="D16" s="7">
        <v>9</v>
      </c>
      <c r="E16" s="7">
        <v>1</v>
      </c>
      <c r="F16" s="6">
        <v>0</v>
      </c>
      <c r="G16" s="6">
        <v>0</v>
      </c>
      <c r="H16" s="6">
        <v>1</v>
      </c>
      <c r="I16" s="6">
        <v>1</v>
      </c>
      <c r="J16" s="6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7">
        <v>8</v>
      </c>
      <c r="C17" s="7" t="s">
        <v>1000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7">
        <v>1</v>
      </c>
      <c r="J17" s="7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5">
        <v>9</v>
      </c>
      <c r="C18" s="7" t="s">
        <v>1002</v>
      </c>
      <c r="D18" s="7">
        <v>7</v>
      </c>
      <c r="E18" s="7">
        <v>1</v>
      </c>
      <c r="F18" s="6">
        <v>0</v>
      </c>
      <c r="G18" s="6">
        <v>0</v>
      </c>
      <c r="H18" s="6">
        <v>1</v>
      </c>
      <c r="I18" s="6">
        <v>1</v>
      </c>
      <c r="J18" s="6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10</v>
      </c>
      <c r="C19" s="7" t="s">
        <v>1003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7">
        <v>1</v>
      </c>
      <c r="J19" s="7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7">
        <v>11</v>
      </c>
      <c r="C20" s="7" t="s">
        <v>1012</v>
      </c>
      <c r="D20" s="7">
        <v>14</v>
      </c>
      <c r="E20" s="7">
        <v>1</v>
      </c>
      <c r="F20" s="6">
        <v>0</v>
      </c>
      <c r="G20" s="6">
        <v>0</v>
      </c>
      <c r="H20" s="6">
        <v>1</v>
      </c>
      <c r="I20" s="6">
        <v>1</v>
      </c>
      <c r="J20" s="6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5">
        <v>12</v>
      </c>
      <c r="C21" s="7" t="s">
        <v>1013</v>
      </c>
      <c r="D21" s="7">
        <v>8</v>
      </c>
      <c r="E21" s="7">
        <v>1</v>
      </c>
      <c r="F21" s="6">
        <v>0</v>
      </c>
      <c r="G21" s="6">
        <v>0</v>
      </c>
      <c r="H21" s="6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13</v>
      </c>
      <c r="C22" s="7" t="s">
        <v>1014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6">
        <v>1</v>
      </c>
      <c r="J22" s="6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7">
        <v>14</v>
      </c>
      <c r="C23" s="7" t="s">
        <v>1015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7">
        <v>1</v>
      </c>
      <c r="J23" s="7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5">
        <v>15</v>
      </c>
      <c r="C24" s="7" t="s">
        <v>1016</v>
      </c>
      <c r="D24" s="7">
        <v>1</v>
      </c>
      <c r="E24" s="7">
        <v>15</v>
      </c>
      <c r="F24" s="6">
        <v>0</v>
      </c>
      <c r="G24" s="6">
        <v>0</v>
      </c>
      <c r="H24" s="6">
        <v>1</v>
      </c>
      <c r="I24" s="6">
        <v>1</v>
      </c>
      <c r="J24" s="6">
        <v>5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16</v>
      </c>
      <c r="C25" s="7" t="s">
        <v>1017</v>
      </c>
      <c r="D25" s="7">
        <v>1</v>
      </c>
      <c r="E25" s="7">
        <v>9</v>
      </c>
      <c r="F25" s="6">
        <v>0</v>
      </c>
      <c r="G25" s="6">
        <v>0</v>
      </c>
      <c r="H25" s="6">
        <v>1</v>
      </c>
      <c r="I25" s="7">
        <v>1</v>
      </c>
      <c r="J25" s="7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7">
        <v>17</v>
      </c>
      <c r="C26" s="7" t="s">
        <v>1018</v>
      </c>
      <c r="D26" s="7">
        <v>1</v>
      </c>
      <c r="E26" s="7">
        <v>8</v>
      </c>
      <c r="F26" s="6">
        <v>0</v>
      </c>
      <c r="G26" s="6">
        <v>0</v>
      </c>
      <c r="H26" s="6">
        <v>1</v>
      </c>
      <c r="I26" s="6">
        <v>1</v>
      </c>
      <c r="J26" s="6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5">
        <v>18</v>
      </c>
      <c r="C27" s="7" t="s">
        <v>1019</v>
      </c>
      <c r="D27" s="7">
        <v>8</v>
      </c>
      <c r="E27" s="7">
        <v>1</v>
      </c>
      <c r="F27" s="6">
        <v>0</v>
      </c>
      <c r="G27" s="6">
        <v>0</v>
      </c>
      <c r="H27" s="6">
        <v>1</v>
      </c>
      <c r="I27" s="6">
        <v>1</v>
      </c>
      <c r="J27" s="7">
        <v>1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19</v>
      </c>
      <c r="C28" s="7" t="s">
        <v>1020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7">
        <v>1</v>
      </c>
      <c r="J28" s="6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7">
        <v>20</v>
      </c>
      <c r="C29" s="7" t="s">
        <v>1021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6">
        <v>1</v>
      </c>
      <c r="J29" s="7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5">
        <v>21</v>
      </c>
      <c r="C30" s="7" t="s">
        <v>1022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6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22</v>
      </c>
      <c r="C31" s="7" t="s">
        <v>1023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7">
        <v>1</v>
      </c>
      <c r="J31" s="7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7">
        <v>23</v>
      </c>
      <c r="C32" s="7" t="s">
        <v>1024</v>
      </c>
      <c r="D32" s="7">
        <v>10</v>
      </c>
      <c r="E32" s="7">
        <v>1</v>
      </c>
      <c r="F32" s="6">
        <v>0</v>
      </c>
      <c r="G32" s="6">
        <v>0</v>
      </c>
      <c r="H32" s="6">
        <v>1</v>
      </c>
      <c r="I32" s="6">
        <v>1</v>
      </c>
      <c r="J32" s="6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5">
        <v>24</v>
      </c>
      <c r="C33" s="7" t="s">
        <v>1025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7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25</v>
      </c>
      <c r="C34" s="7" t="s">
        <v>1026</v>
      </c>
      <c r="D34" s="7">
        <v>1</v>
      </c>
      <c r="E34" s="7">
        <v>6</v>
      </c>
      <c r="F34" s="6">
        <v>0</v>
      </c>
      <c r="G34" s="6">
        <v>0</v>
      </c>
      <c r="H34" s="6">
        <v>1</v>
      </c>
      <c r="I34" s="7">
        <v>1</v>
      </c>
      <c r="J34" s="6">
        <v>5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7">
        <v>26</v>
      </c>
      <c r="C35" s="7" t="s">
        <v>1027</v>
      </c>
      <c r="D35" s="7">
        <v>8</v>
      </c>
      <c r="E35" s="7">
        <v>1</v>
      </c>
      <c r="F35" s="6">
        <v>0</v>
      </c>
      <c r="G35" s="6">
        <v>0</v>
      </c>
      <c r="H35" s="6">
        <v>1</v>
      </c>
      <c r="I35" s="6">
        <v>1</v>
      </c>
      <c r="J35" s="7">
        <v>1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5">
        <v>27</v>
      </c>
      <c r="C36" s="7" t="s">
        <v>1028</v>
      </c>
      <c r="D36" s="7">
        <v>1</v>
      </c>
      <c r="E36" s="7">
        <v>9</v>
      </c>
      <c r="F36" s="6">
        <v>0</v>
      </c>
      <c r="G36" s="6">
        <v>0</v>
      </c>
      <c r="H36" s="6">
        <v>1</v>
      </c>
      <c r="I36" s="6">
        <v>1</v>
      </c>
      <c r="J36" s="6">
        <v>5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28</v>
      </c>
      <c r="C37" s="7" t="s">
        <v>1029</v>
      </c>
      <c r="D37" s="7">
        <v>8</v>
      </c>
      <c r="E37" s="7">
        <v>1</v>
      </c>
      <c r="F37" s="6">
        <v>0</v>
      </c>
      <c r="G37" s="6">
        <v>0</v>
      </c>
      <c r="H37" s="6">
        <v>1</v>
      </c>
      <c r="I37" s="7">
        <v>1</v>
      </c>
      <c r="J37" s="7">
        <v>1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7">
        <v>29</v>
      </c>
      <c r="C38" s="7" t="s">
        <v>1030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6">
        <v>1</v>
      </c>
      <c r="J38" s="6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5">
        <v>30</v>
      </c>
      <c r="C39" s="7" t="s">
        <v>1031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7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31</v>
      </c>
      <c r="C40" s="7" t="s">
        <v>1032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7">
        <v>1</v>
      </c>
      <c r="J40" s="6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7">
        <v>32</v>
      </c>
      <c r="C41" s="7" t="s">
        <v>1033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6">
        <v>1</v>
      </c>
      <c r="J41" s="7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5">
        <v>33</v>
      </c>
      <c r="C42" s="7" t="s">
        <v>1034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6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34</v>
      </c>
      <c r="C43" s="7" t="s">
        <v>1035</v>
      </c>
      <c r="D43" s="7">
        <v>1</v>
      </c>
      <c r="E43" s="7">
        <v>8</v>
      </c>
      <c r="F43" s="6">
        <v>0</v>
      </c>
      <c r="G43" s="6">
        <v>0</v>
      </c>
      <c r="H43" s="6">
        <v>1</v>
      </c>
      <c r="I43" s="7">
        <v>1</v>
      </c>
      <c r="J43" s="7">
        <v>5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7">
        <v>35</v>
      </c>
      <c r="C44" s="7" t="s">
        <v>1036</v>
      </c>
      <c r="D44" s="7">
        <v>1</v>
      </c>
      <c r="E44" s="7">
        <v>9</v>
      </c>
      <c r="F44" s="6">
        <v>0</v>
      </c>
      <c r="G44" s="6">
        <v>0</v>
      </c>
      <c r="H44" s="6">
        <v>1</v>
      </c>
      <c r="I44" s="6">
        <v>1</v>
      </c>
      <c r="J44" s="6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5">
        <v>36</v>
      </c>
      <c r="C45" s="7" t="s">
        <v>1037</v>
      </c>
      <c r="D45" s="7">
        <v>1</v>
      </c>
      <c r="E45" s="7">
        <v>8</v>
      </c>
      <c r="F45" s="6">
        <v>0</v>
      </c>
      <c r="G45" s="6">
        <v>0</v>
      </c>
      <c r="H45" s="6">
        <v>1</v>
      </c>
      <c r="I45" s="6">
        <v>1</v>
      </c>
      <c r="J45" s="7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37</v>
      </c>
      <c r="C46" s="7" t="s">
        <v>1038</v>
      </c>
      <c r="D46" s="7">
        <v>1</v>
      </c>
      <c r="E46" s="7">
        <v>5</v>
      </c>
      <c r="F46" s="6">
        <v>0</v>
      </c>
      <c r="G46" s="6">
        <v>0</v>
      </c>
      <c r="H46" s="6">
        <v>1</v>
      </c>
      <c r="I46" s="7">
        <v>1</v>
      </c>
      <c r="J46" s="6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7">
        <v>38</v>
      </c>
      <c r="C47" s="7" t="s">
        <v>1039</v>
      </c>
      <c r="D47" s="7">
        <v>1</v>
      </c>
      <c r="E47" s="7">
        <v>8</v>
      </c>
      <c r="F47" s="6">
        <v>0</v>
      </c>
      <c r="G47" s="6">
        <v>0</v>
      </c>
      <c r="H47" s="6">
        <v>1</v>
      </c>
      <c r="I47" s="6">
        <v>1</v>
      </c>
      <c r="J47" s="7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5">
        <v>39</v>
      </c>
      <c r="C48" s="7" t="s">
        <v>1040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6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40</v>
      </c>
      <c r="C49" s="7" t="s">
        <v>1041</v>
      </c>
      <c r="D49" s="7">
        <v>7</v>
      </c>
      <c r="E49" s="7">
        <v>1</v>
      </c>
      <c r="F49" s="6">
        <v>0</v>
      </c>
      <c r="G49" s="6">
        <v>0</v>
      </c>
      <c r="H49" s="6">
        <v>1</v>
      </c>
      <c r="I49" s="7">
        <v>1</v>
      </c>
      <c r="J49" s="7">
        <v>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B50" s="7">
        <v>41</v>
      </c>
      <c r="C50" s="7" t="s">
        <v>1042</v>
      </c>
      <c r="D50" s="7">
        <v>8</v>
      </c>
      <c r="E50" s="7">
        <v>1</v>
      </c>
      <c r="F50" s="6">
        <v>0</v>
      </c>
      <c r="G50" s="6">
        <v>0</v>
      </c>
      <c r="H50" s="6">
        <v>1</v>
      </c>
      <c r="I50" s="6">
        <v>1</v>
      </c>
      <c r="J50" s="6">
        <v>1</v>
      </c>
      <c r="N50" s="13"/>
    </row>
    <row r="51" spans="1:41" ht="18.75" customHeight="1">
      <c r="B51" s="5">
        <v>42</v>
      </c>
      <c r="C51" s="7" t="s">
        <v>1043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7">
        <v>1</v>
      </c>
      <c r="N51" s="13"/>
    </row>
    <row r="52" spans="1:41" ht="18.75" customHeight="1">
      <c r="B52" s="5">
        <v>43</v>
      </c>
      <c r="C52" s="7" t="s">
        <v>1044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7">
        <v>1</v>
      </c>
      <c r="J52" s="6">
        <v>1</v>
      </c>
      <c r="N52" s="13"/>
    </row>
    <row r="53" spans="1:41" ht="18.75" customHeight="1">
      <c r="B53" s="7">
        <v>44</v>
      </c>
      <c r="C53" s="7" t="s">
        <v>1045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6">
        <v>1</v>
      </c>
      <c r="J53" s="7">
        <v>1</v>
      </c>
      <c r="N53" s="13"/>
    </row>
    <row r="54" spans="1:41" ht="18.75" customHeight="1">
      <c r="B54" s="5">
        <v>45</v>
      </c>
      <c r="C54" s="7" t="s">
        <v>1046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6">
        <v>1</v>
      </c>
      <c r="N54" s="13"/>
    </row>
    <row r="55" spans="1:41" ht="18.75" customHeight="1">
      <c r="B55" s="5">
        <v>46</v>
      </c>
      <c r="C55" s="7" t="s">
        <v>1047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7">
        <v>1</v>
      </c>
      <c r="J55" s="6">
        <v>1</v>
      </c>
      <c r="N55" s="13"/>
    </row>
    <row r="56" spans="1:41" ht="18.75" customHeight="1">
      <c r="B56" s="7">
        <v>47</v>
      </c>
      <c r="C56" s="7" t="s">
        <v>1048</v>
      </c>
      <c r="D56" s="7">
        <v>9</v>
      </c>
      <c r="E56" s="7">
        <v>1</v>
      </c>
      <c r="F56" s="6">
        <v>0</v>
      </c>
      <c r="G56" s="6">
        <v>0</v>
      </c>
      <c r="H56" s="6">
        <v>1</v>
      </c>
      <c r="I56" s="6">
        <v>1</v>
      </c>
      <c r="J56" s="7">
        <v>1</v>
      </c>
      <c r="N56" s="13"/>
    </row>
    <row r="57" spans="1:41" ht="18.75" customHeight="1">
      <c r="B57" s="5">
        <v>48</v>
      </c>
      <c r="C57" s="7" t="s">
        <v>1049</v>
      </c>
      <c r="D57" s="7">
        <v>10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6">
        <v>1</v>
      </c>
      <c r="N57" s="13"/>
    </row>
    <row r="58" spans="1:41" ht="18.75" customHeight="1">
      <c r="B58" s="5">
        <v>49</v>
      </c>
      <c r="C58" s="7" t="s">
        <v>1004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7">
        <v>1</v>
      </c>
      <c r="J58" s="6">
        <v>1</v>
      </c>
      <c r="N58" s="13"/>
    </row>
    <row r="59" spans="1:41" ht="18.75" customHeight="1">
      <c r="B59" s="7">
        <v>50</v>
      </c>
      <c r="C59" s="7" t="s">
        <v>1050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6">
        <v>1</v>
      </c>
      <c r="J59" s="7">
        <v>1</v>
      </c>
      <c r="N59" s="13"/>
    </row>
    <row r="60" spans="1:41" ht="18.75" customHeight="1">
      <c r="B60" s="5">
        <v>51</v>
      </c>
      <c r="C60" s="7" t="s">
        <v>1051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6">
        <v>1</v>
      </c>
      <c r="N60" s="13"/>
    </row>
    <row r="61" spans="1:41" ht="18.75" customHeight="1">
      <c r="B61" s="5">
        <v>52</v>
      </c>
      <c r="C61" s="7" t="s">
        <v>1052</v>
      </c>
      <c r="D61" s="7">
        <v>5</v>
      </c>
      <c r="E61" s="7">
        <v>1</v>
      </c>
      <c r="F61" s="6">
        <v>0</v>
      </c>
      <c r="G61" s="6">
        <v>0</v>
      </c>
      <c r="H61" s="6">
        <v>1</v>
      </c>
      <c r="I61" s="7">
        <v>1</v>
      </c>
      <c r="J61" s="6">
        <v>1</v>
      </c>
      <c r="N61" s="13"/>
    </row>
    <row r="62" spans="1:41" ht="18.75" customHeight="1">
      <c r="B62" s="7">
        <v>53</v>
      </c>
      <c r="C62" s="7" t="s">
        <v>1053</v>
      </c>
      <c r="D62" s="7">
        <v>10</v>
      </c>
      <c r="E62" s="7">
        <v>1</v>
      </c>
      <c r="F62" s="6">
        <v>0</v>
      </c>
      <c r="G62" s="6">
        <v>0</v>
      </c>
      <c r="H62" s="6">
        <v>1</v>
      </c>
      <c r="I62" s="6">
        <v>1</v>
      </c>
      <c r="J62" s="7">
        <v>1</v>
      </c>
      <c r="N62" s="13"/>
    </row>
    <row r="63" spans="1:41" ht="18.75" customHeight="1">
      <c r="B63" s="5">
        <v>54</v>
      </c>
      <c r="C63" s="7" t="s">
        <v>1054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6">
        <v>1</v>
      </c>
      <c r="N63" s="13"/>
    </row>
    <row r="64" spans="1:41" ht="18.75" customHeight="1">
      <c r="B64" s="5">
        <v>55</v>
      </c>
      <c r="C64" s="7" t="s">
        <v>1055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7">
        <v>1</v>
      </c>
      <c r="J64" s="6">
        <v>1</v>
      </c>
      <c r="N64" s="13"/>
    </row>
    <row r="65" spans="2:14" ht="18.75" customHeight="1">
      <c r="B65" s="7">
        <v>56</v>
      </c>
      <c r="C65" s="7" t="s">
        <v>1056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6">
        <v>1</v>
      </c>
      <c r="J65" s="7">
        <v>1</v>
      </c>
      <c r="N65" s="13"/>
    </row>
    <row r="66" spans="2:14" ht="18.75" customHeight="1">
      <c r="B66" s="5">
        <v>57</v>
      </c>
      <c r="C66" s="7" t="s">
        <v>1057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6">
        <v>1</v>
      </c>
      <c r="N66" s="13"/>
    </row>
    <row r="67" spans="2:14" ht="18.75" customHeight="1">
      <c r="B67" s="5">
        <v>58</v>
      </c>
      <c r="C67" s="7" t="s">
        <v>1058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7">
        <v>1</v>
      </c>
      <c r="J67" s="6">
        <v>1</v>
      </c>
      <c r="N67" s="13"/>
    </row>
    <row r="68" spans="2:14" ht="18.75" customHeight="1">
      <c r="B68" s="7">
        <v>59</v>
      </c>
      <c r="C68" s="7" t="s">
        <v>1059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6">
        <v>1</v>
      </c>
      <c r="J68" s="7">
        <v>1</v>
      </c>
      <c r="N68" s="13"/>
    </row>
    <row r="69" spans="2:14" ht="18.75" customHeight="1">
      <c r="B69" s="5">
        <v>60</v>
      </c>
      <c r="C69" s="7" t="s">
        <v>1060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6">
        <v>1</v>
      </c>
      <c r="N69" s="13"/>
    </row>
    <row r="70" spans="2:14" ht="18.75" customHeight="1">
      <c r="B70" s="5">
        <v>61</v>
      </c>
      <c r="C70" s="7" t="s">
        <v>1061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7">
        <v>1</v>
      </c>
      <c r="J70" s="6">
        <v>1</v>
      </c>
      <c r="N70" s="13"/>
    </row>
    <row r="71" spans="2:14" ht="18.75" customHeight="1">
      <c r="B71" s="7">
        <v>62</v>
      </c>
      <c r="C71" s="7" t="s">
        <v>1062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6">
        <v>1</v>
      </c>
      <c r="J71" s="7">
        <v>1</v>
      </c>
      <c r="N71" s="13"/>
    </row>
    <row r="72" spans="2:14" ht="18.75" customHeight="1">
      <c r="B72" s="5">
        <v>63</v>
      </c>
      <c r="C72" s="7" t="s">
        <v>1063</v>
      </c>
      <c r="D72" s="7">
        <v>1</v>
      </c>
      <c r="E72" s="7">
        <v>27</v>
      </c>
      <c r="F72" s="6">
        <v>0</v>
      </c>
      <c r="G72" s="6">
        <v>0</v>
      </c>
      <c r="H72" s="6">
        <v>1</v>
      </c>
      <c r="I72" s="6">
        <v>1</v>
      </c>
      <c r="J72" s="6">
        <v>1</v>
      </c>
      <c r="N72" s="13"/>
    </row>
    <row r="73" spans="2:14" ht="18.75" customHeight="1">
      <c r="B73" s="5">
        <v>64</v>
      </c>
      <c r="C73" s="7" t="s">
        <v>1005</v>
      </c>
      <c r="D73" s="7">
        <v>10</v>
      </c>
      <c r="E73" s="7">
        <v>1</v>
      </c>
      <c r="F73" s="6">
        <v>0</v>
      </c>
      <c r="G73" s="6">
        <v>0</v>
      </c>
      <c r="H73" s="6">
        <v>1</v>
      </c>
      <c r="I73" s="7">
        <v>1</v>
      </c>
      <c r="J73" s="6">
        <v>1</v>
      </c>
      <c r="N73" s="13"/>
    </row>
    <row r="74" spans="2:14" ht="18.75" customHeight="1">
      <c r="B74" s="7">
        <v>65</v>
      </c>
      <c r="C74" s="7" t="s">
        <v>1006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6">
        <v>1</v>
      </c>
      <c r="J74" s="7">
        <v>1</v>
      </c>
      <c r="N74" s="13"/>
    </row>
    <row r="75" spans="2:14" ht="18.75" customHeight="1">
      <c r="B75" s="5">
        <v>66</v>
      </c>
      <c r="C75" s="7" t="s">
        <v>1007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6">
        <v>1</v>
      </c>
      <c r="N75" s="13"/>
    </row>
    <row r="76" spans="2:14" ht="18.75" customHeight="1">
      <c r="B76" s="5">
        <v>67</v>
      </c>
      <c r="C76" s="7" t="s">
        <v>1008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7">
        <v>1</v>
      </c>
      <c r="J76" s="6">
        <v>1</v>
      </c>
      <c r="N76" s="13"/>
    </row>
    <row r="77" spans="2:14" ht="18.75" customHeight="1">
      <c r="B77" s="7">
        <v>68</v>
      </c>
      <c r="C77" s="7" t="s">
        <v>1009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6">
        <v>1</v>
      </c>
      <c r="J77" s="7">
        <v>1</v>
      </c>
      <c r="N77" s="13"/>
    </row>
    <row r="78" spans="2:14" ht="18.75" customHeight="1">
      <c r="B78" s="5">
        <v>69</v>
      </c>
      <c r="C78" s="7" t="s">
        <v>1010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6">
        <v>1</v>
      </c>
      <c r="N78" s="13"/>
    </row>
    <row r="79" spans="2:14" ht="18.75" customHeight="1">
      <c r="B79" s="5">
        <v>70</v>
      </c>
      <c r="C79" s="7" t="s">
        <v>1064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7">
        <v>1</v>
      </c>
      <c r="J79" s="6">
        <v>1</v>
      </c>
      <c r="N79" s="13"/>
    </row>
    <row r="80" spans="2:14" ht="18.75" customHeight="1">
      <c r="B80" s="7">
        <v>71</v>
      </c>
      <c r="C80" s="7" t="s">
        <v>1065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6">
        <v>1</v>
      </c>
      <c r="J80" s="7">
        <v>1</v>
      </c>
      <c r="N80" s="13"/>
    </row>
    <row r="81" spans="2:14" ht="18.75" customHeight="1">
      <c r="B81" s="5">
        <v>72</v>
      </c>
      <c r="C81" s="7" t="s">
        <v>1066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6">
        <v>1</v>
      </c>
      <c r="N81" s="13"/>
    </row>
    <row r="82" spans="2:14" ht="18.75" customHeight="1">
      <c r="B82" s="5">
        <v>73</v>
      </c>
      <c r="C82" s="7" t="s">
        <v>1067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7">
        <v>1</v>
      </c>
      <c r="J82" s="6">
        <v>1</v>
      </c>
      <c r="N82" s="13"/>
    </row>
    <row r="83" spans="2:14" ht="18.75" customHeight="1">
      <c r="B83" s="7">
        <v>74</v>
      </c>
      <c r="C83" s="7" t="s">
        <v>1068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6">
        <v>1</v>
      </c>
      <c r="J83" s="7">
        <v>1</v>
      </c>
      <c r="N83" s="13"/>
    </row>
    <row r="84" spans="2:14" ht="18.75" customHeight="1">
      <c r="B84" s="5">
        <v>75</v>
      </c>
      <c r="C84" s="7" t="s">
        <v>1069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6">
        <v>1</v>
      </c>
      <c r="N84" s="13"/>
    </row>
    <row r="85" spans="2:14" ht="18.75" customHeight="1">
      <c r="B85" s="5">
        <v>76</v>
      </c>
      <c r="C85" s="7" t="s">
        <v>1070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7">
        <v>1</v>
      </c>
      <c r="J85" s="6">
        <v>1</v>
      </c>
      <c r="N85" s="13"/>
    </row>
    <row r="86" spans="2:14" ht="18.75" customHeight="1">
      <c r="B86" s="7">
        <v>77</v>
      </c>
      <c r="C86" s="7" t="s">
        <v>1071</v>
      </c>
      <c r="D86" s="7">
        <v>1</v>
      </c>
      <c r="E86" s="7">
        <v>11</v>
      </c>
      <c r="F86" s="6">
        <v>0</v>
      </c>
      <c r="G86" s="6">
        <v>0</v>
      </c>
      <c r="H86" s="6">
        <v>1</v>
      </c>
      <c r="I86" s="6">
        <v>1</v>
      </c>
      <c r="J86" s="7">
        <v>5</v>
      </c>
      <c r="N86" s="13"/>
    </row>
    <row r="87" spans="2:14" ht="18.75" customHeight="1">
      <c r="B87" s="5">
        <v>78</v>
      </c>
      <c r="C87" s="7" t="s">
        <v>1072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6">
        <v>5</v>
      </c>
      <c r="N87" s="13"/>
    </row>
    <row r="88" spans="2:14" ht="18.75" customHeight="1">
      <c r="B88" s="5">
        <v>79</v>
      </c>
      <c r="C88" s="7" t="s">
        <v>1073</v>
      </c>
      <c r="D88" s="7">
        <v>1</v>
      </c>
      <c r="E88" s="7">
        <v>13</v>
      </c>
      <c r="F88" s="6">
        <v>0</v>
      </c>
      <c r="G88" s="6">
        <v>0</v>
      </c>
      <c r="H88" s="6">
        <v>1</v>
      </c>
      <c r="I88" s="7">
        <v>1</v>
      </c>
      <c r="J88" s="6">
        <v>5</v>
      </c>
      <c r="N88" s="13"/>
    </row>
    <row r="89" spans="2:14" ht="18.75" customHeight="1">
      <c r="B89" s="7">
        <v>80</v>
      </c>
      <c r="C89" s="7" t="s">
        <v>1074</v>
      </c>
      <c r="D89" s="7">
        <v>9</v>
      </c>
      <c r="E89" s="7">
        <v>1</v>
      </c>
      <c r="F89" s="6">
        <v>0</v>
      </c>
      <c r="G89" s="6">
        <v>0</v>
      </c>
      <c r="H89" s="6">
        <v>1</v>
      </c>
      <c r="I89" s="6">
        <v>1</v>
      </c>
      <c r="J89" s="7">
        <v>1</v>
      </c>
      <c r="N89" s="13"/>
    </row>
    <row r="90" spans="2:14" ht="18.75" customHeight="1">
      <c r="B90" s="5">
        <v>81</v>
      </c>
      <c r="C90" s="7" t="s">
        <v>1075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6">
        <v>1</v>
      </c>
      <c r="N90" s="13"/>
    </row>
    <row r="91" spans="2:14" ht="18.75" customHeight="1">
      <c r="B91" s="5">
        <v>82</v>
      </c>
      <c r="C91" s="7" t="s">
        <v>1076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7">
        <v>1</v>
      </c>
      <c r="J91" s="6">
        <v>1</v>
      </c>
      <c r="N91" s="13"/>
    </row>
    <row r="92" spans="2:14" ht="18.75" customHeight="1">
      <c r="B92" s="7">
        <v>83</v>
      </c>
      <c r="C92" s="7" t="s">
        <v>1077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6">
        <v>1</v>
      </c>
      <c r="J92" s="7">
        <v>1</v>
      </c>
      <c r="N92" s="13"/>
    </row>
    <row r="93" spans="2:14" ht="18.75" customHeight="1">
      <c r="B93" s="5">
        <v>84</v>
      </c>
      <c r="C93" s="7" t="s">
        <v>1078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6">
        <v>1</v>
      </c>
      <c r="N93" s="13"/>
    </row>
    <row r="94" spans="2:14" ht="18.75" customHeight="1">
      <c r="B94" s="5">
        <v>85</v>
      </c>
      <c r="C94" s="7" t="s">
        <v>1079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7">
        <v>1</v>
      </c>
      <c r="J94" s="6">
        <v>1</v>
      </c>
      <c r="N94" s="13"/>
    </row>
    <row r="95" spans="2:14" ht="18.75" customHeight="1">
      <c r="B95" s="7">
        <v>86</v>
      </c>
      <c r="C95" s="7" t="s">
        <v>1080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6">
        <v>1</v>
      </c>
      <c r="J95" s="7">
        <v>1</v>
      </c>
      <c r="N95" s="13"/>
    </row>
    <row r="96" spans="2:14" ht="18.75" customHeight="1">
      <c r="B96" s="5">
        <v>87</v>
      </c>
      <c r="C96" s="7" t="s">
        <v>1081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6">
        <v>1</v>
      </c>
      <c r="N96" s="13"/>
    </row>
    <row r="97" spans="2:14" ht="18.75" customHeight="1">
      <c r="B97" s="5">
        <v>88</v>
      </c>
      <c r="C97" s="7" t="s">
        <v>1082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7">
        <v>1</v>
      </c>
      <c r="J97" s="6">
        <v>1</v>
      </c>
      <c r="N97" s="13"/>
    </row>
    <row r="98" spans="2:14" ht="18.75" customHeight="1">
      <c r="B98" s="7">
        <v>89</v>
      </c>
      <c r="C98" s="7" t="s">
        <v>1083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6">
        <v>1</v>
      </c>
      <c r="J98" s="7">
        <v>1</v>
      </c>
      <c r="N98" s="13"/>
    </row>
    <row r="99" spans="2:14" ht="18.75" customHeight="1">
      <c r="B99" s="5">
        <v>90</v>
      </c>
      <c r="C99" s="7" t="s">
        <v>1084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6">
        <v>1</v>
      </c>
      <c r="N99" s="13"/>
    </row>
    <row r="100" spans="2:14" ht="18.75" customHeight="1">
      <c r="B100" s="5">
        <v>91</v>
      </c>
      <c r="C100" s="7" t="s">
        <v>1085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7">
        <v>1</v>
      </c>
      <c r="J100" s="6">
        <v>1</v>
      </c>
      <c r="N100" s="13"/>
    </row>
    <row r="101" spans="2:14" ht="18.75" customHeight="1">
      <c r="B101" s="7">
        <v>92</v>
      </c>
      <c r="C101" s="7" t="s">
        <v>1086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6">
        <v>1</v>
      </c>
      <c r="J101" s="7">
        <v>1</v>
      </c>
      <c r="N101" s="13"/>
    </row>
    <row r="102" spans="2:14" ht="18.75" customHeight="1">
      <c r="B102" s="5">
        <v>93</v>
      </c>
      <c r="C102" s="7" t="s">
        <v>1087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6">
        <v>1</v>
      </c>
      <c r="N102" s="13"/>
    </row>
    <row r="103" spans="2:14" ht="18.75" customHeight="1">
      <c r="B103" s="5">
        <v>94</v>
      </c>
      <c r="C103" s="7" t="s">
        <v>1088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7">
        <v>1</v>
      </c>
      <c r="J103" s="6">
        <v>1</v>
      </c>
      <c r="N103" s="13"/>
    </row>
    <row r="104" spans="2:14" ht="18.75" customHeight="1">
      <c r="B104" s="7">
        <v>95</v>
      </c>
      <c r="C104" s="7" t="s">
        <v>1089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6">
        <v>1</v>
      </c>
      <c r="J104" s="7">
        <v>1</v>
      </c>
      <c r="N104" s="13"/>
    </row>
    <row r="105" spans="2:14" ht="18.75" customHeight="1">
      <c r="B105" s="5">
        <v>96</v>
      </c>
      <c r="C105" s="7" t="s">
        <v>1090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6">
        <v>1</v>
      </c>
      <c r="N105" s="13"/>
    </row>
    <row r="106" spans="2:14" ht="18.75" customHeight="1">
      <c r="B106" s="5">
        <v>97</v>
      </c>
      <c r="C106" s="7" t="s">
        <v>1091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7">
        <v>1</v>
      </c>
      <c r="J106" s="6">
        <v>1</v>
      </c>
      <c r="N106" s="13"/>
    </row>
    <row r="107" spans="2:14" ht="18.75" customHeight="1">
      <c r="B107" s="7">
        <v>98</v>
      </c>
      <c r="C107" s="7" t="s">
        <v>1092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6">
        <v>1</v>
      </c>
      <c r="J107" s="7">
        <v>1</v>
      </c>
      <c r="N107" s="13"/>
    </row>
    <row r="108" spans="2:14" ht="18.75" customHeight="1">
      <c r="B108" s="5">
        <v>99</v>
      </c>
      <c r="C108" s="7" t="s">
        <v>1093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6">
        <v>1</v>
      </c>
      <c r="N108" s="13"/>
    </row>
    <row r="109" spans="2:14" ht="18.75" customHeight="1">
      <c r="B109" s="5">
        <v>100</v>
      </c>
      <c r="C109" s="7" t="s">
        <v>1094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7">
        <v>1</v>
      </c>
      <c r="J109" s="6">
        <v>1</v>
      </c>
      <c r="N109" s="13"/>
    </row>
    <row r="110" spans="2:14" ht="18.75" customHeight="1">
      <c r="B110" s="7">
        <v>101</v>
      </c>
      <c r="C110" s="7" t="s">
        <v>1095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6">
        <v>1</v>
      </c>
      <c r="J110" s="7">
        <v>1</v>
      </c>
    </row>
    <row r="111" spans="2:14" ht="18.75" customHeight="1">
      <c r="B111" s="5">
        <v>102</v>
      </c>
      <c r="C111" s="7" t="s">
        <v>1096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6">
        <v>1</v>
      </c>
    </row>
    <row r="112" spans="2:14" ht="18.75" customHeight="1">
      <c r="B112" s="5">
        <v>103</v>
      </c>
      <c r="C112" s="7" t="s">
        <v>1097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7">
        <v>1</v>
      </c>
      <c r="J112" s="6">
        <v>1</v>
      </c>
    </row>
    <row r="113" spans="2:10" ht="18.75" customHeight="1">
      <c r="B113" s="7">
        <v>104</v>
      </c>
      <c r="C113" s="7" t="s">
        <v>1098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6">
        <v>1</v>
      </c>
      <c r="J113" s="7">
        <v>1</v>
      </c>
    </row>
    <row r="114" spans="2:10" ht="18.75" customHeight="1">
      <c r="B114" s="5">
        <v>105</v>
      </c>
      <c r="C114" s="7" t="s">
        <v>1099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6">
        <v>1</v>
      </c>
    </row>
    <row r="115" spans="2:10" ht="18.75" customHeight="1">
      <c r="B115" s="5">
        <v>106</v>
      </c>
      <c r="C115" s="7" t="s">
        <v>1100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7">
        <v>1</v>
      </c>
      <c r="J115" s="6">
        <v>1</v>
      </c>
    </row>
    <row r="116" spans="2:10" ht="18.75" customHeight="1">
      <c r="B116" s="7">
        <v>107</v>
      </c>
      <c r="C116" s="7" t="s">
        <v>1101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6">
        <v>1</v>
      </c>
      <c r="J116" s="7">
        <v>1</v>
      </c>
    </row>
    <row r="117" spans="2:10" ht="18.75" customHeight="1">
      <c r="B117" s="5">
        <v>108</v>
      </c>
      <c r="C117" s="7" t="s">
        <v>1102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6">
        <v>1</v>
      </c>
    </row>
    <row r="118" spans="2:10" ht="18.75" customHeight="1">
      <c r="B118" s="5">
        <v>109</v>
      </c>
      <c r="C118" s="7" t="s">
        <v>1103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7">
        <v>1</v>
      </c>
      <c r="J118" s="6">
        <v>1</v>
      </c>
    </row>
    <row r="119" spans="2:10" ht="18.75" customHeight="1">
      <c r="B119" s="7">
        <v>110</v>
      </c>
      <c r="C119" s="7" t="s">
        <v>1104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6">
        <v>1</v>
      </c>
      <c r="J119" s="7">
        <v>1</v>
      </c>
    </row>
    <row r="120" spans="2:10" ht="18.75" customHeight="1">
      <c r="B120" s="5">
        <v>111</v>
      </c>
      <c r="C120" s="7" t="s">
        <v>1105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6">
        <v>1</v>
      </c>
    </row>
    <row r="121" spans="2:10" ht="18.75" customHeight="1">
      <c r="B121" s="5">
        <v>112</v>
      </c>
      <c r="C121" s="7" t="s">
        <v>1106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7">
        <v>1</v>
      </c>
      <c r="J121" s="6">
        <v>1</v>
      </c>
    </row>
    <row r="122" spans="2:10" ht="18.75" customHeight="1">
      <c r="B122" s="7">
        <v>113</v>
      </c>
      <c r="C122" s="7" t="s">
        <v>1107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6">
        <v>1</v>
      </c>
      <c r="J122" s="7">
        <v>1</v>
      </c>
    </row>
    <row r="123" spans="2:10" ht="18.75" customHeight="1">
      <c r="B123" s="5">
        <v>114</v>
      </c>
      <c r="C123" s="7" t="s">
        <v>1108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6">
        <v>1</v>
      </c>
    </row>
    <row r="124" spans="2:10" ht="18.75" customHeight="1">
      <c r="B124" s="5">
        <v>115</v>
      </c>
      <c r="C124" s="7" t="s">
        <v>1109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7">
        <v>1</v>
      </c>
      <c r="J124" s="6">
        <v>1</v>
      </c>
    </row>
    <row r="125" spans="2:10" ht="18.75" customHeight="1">
      <c r="B125" s="7">
        <v>116</v>
      </c>
      <c r="C125" s="7" t="s">
        <v>1110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6">
        <v>1</v>
      </c>
      <c r="J125" s="7">
        <v>1</v>
      </c>
    </row>
    <row r="126" spans="2:10" ht="18.75" customHeight="1">
      <c r="B126" s="5">
        <v>117</v>
      </c>
      <c r="C126" s="7" t="s">
        <v>1111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6">
        <v>1</v>
      </c>
    </row>
    <row r="127" spans="2:10" ht="18.75" customHeight="1">
      <c r="B127" s="5">
        <v>118</v>
      </c>
      <c r="C127" s="7" t="s">
        <v>1112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7">
        <v>1</v>
      </c>
      <c r="J127" s="6">
        <v>1</v>
      </c>
    </row>
    <row r="128" spans="2:10" ht="18.75" customHeight="1">
      <c r="B128" s="7">
        <v>119</v>
      </c>
      <c r="C128" s="7" t="s">
        <v>1113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6">
        <v>1</v>
      </c>
      <c r="J128" s="7">
        <v>1</v>
      </c>
    </row>
    <row r="129" spans="2:10" ht="18.75" customHeight="1">
      <c r="B129" s="5">
        <v>120</v>
      </c>
      <c r="C129" s="7" t="s">
        <v>1114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6">
        <v>1</v>
      </c>
    </row>
    <row r="130" spans="2:10" ht="18.75" customHeight="1">
      <c r="B130" s="5">
        <v>121</v>
      </c>
      <c r="C130" s="7" t="s">
        <v>1115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7">
        <v>1</v>
      </c>
      <c r="J130" s="6">
        <v>1</v>
      </c>
    </row>
    <row r="131" spans="2:10" ht="18.75" customHeight="1">
      <c r="B131" s="7">
        <v>122</v>
      </c>
      <c r="C131" s="7" t="s">
        <v>1116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6">
        <v>1</v>
      </c>
      <c r="J131" s="7">
        <v>1</v>
      </c>
    </row>
    <row r="132" spans="2:10" ht="18.75" customHeight="1">
      <c r="B132" s="5">
        <v>123</v>
      </c>
      <c r="C132" s="7" t="s">
        <v>1117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6">
        <v>1</v>
      </c>
    </row>
    <row r="133" spans="2:10" ht="18.75" customHeight="1">
      <c r="B133" s="5">
        <v>124</v>
      </c>
      <c r="C133" s="7" t="s">
        <v>1118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7">
        <v>1</v>
      </c>
      <c r="J133" s="6">
        <v>1</v>
      </c>
    </row>
    <row r="134" spans="2:10" ht="18.75" customHeight="1">
      <c r="B134" s="7">
        <v>125</v>
      </c>
      <c r="C134" s="7" t="s">
        <v>1119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6">
        <v>1</v>
      </c>
      <c r="J134" s="7">
        <v>1</v>
      </c>
    </row>
    <row r="135" spans="2:10" ht="18.75" customHeight="1">
      <c r="B135" s="5">
        <v>126</v>
      </c>
      <c r="C135" s="7" t="s">
        <v>1120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6">
        <v>1</v>
      </c>
    </row>
    <row r="136" spans="2:10" ht="18.75" customHeight="1">
      <c r="B136" s="5">
        <v>127</v>
      </c>
      <c r="C136" s="7" t="s">
        <v>1121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7">
        <v>1</v>
      </c>
      <c r="J136" s="6">
        <v>1</v>
      </c>
    </row>
    <row r="137" spans="2:10" ht="18.75" customHeight="1">
      <c r="B137" s="7">
        <v>128</v>
      </c>
      <c r="C137" s="7" t="s">
        <v>1122</v>
      </c>
      <c r="D137" s="7">
        <v>10</v>
      </c>
      <c r="E137" s="7">
        <v>1</v>
      </c>
      <c r="F137" s="6">
        <v>0</v>
      </c>
      <c r="G137" s="6">
        <v>0</v>
      </c>
      <c r="H137" s="6">
        <v>1</v>
      </c>
      <c r="I137" s="6">
        <v>1</v>
      </c>
      <c r="J137" s="7">
        <v>1</v>
      </c>
    </row>
    <row r="138" spans="2:10" ht="18.75" customHeight="1">
      <c r="B138" s="5">
        <v>129</v>
      </c>
      <c r="C138" s="7" t="s">
        <v>1123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6">
        <v>1</v>
      </c>
    </row>
    <row r="139" spans="2:10" ht="18.75" customHeight="1">
      <c r="B139" s="5">
        <v>130</v>
      </c>
      <c r="C139" s="7" t="s">
        <v>1124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7">
        <v>1</v>
      </c>
      <c r="J139" s="6">
        <v>1</v>
      </c>
    </row>
    <row r="140" spans="2:10" ht="18.75" customHeight="1">
      <c r="B140" s="7">
        <v>131</v>
      </c>
      <c r="C140" s="7" t="s">
        <v>1125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6">
        <v>1</v>
      </c>
      <c r="J140" s="7">
        <v>1</v>
      </c>
    </row>
    <row r="141" spans="2:10" ht="18.75" customHeight="1">
      <c r="B141" s="5">
        <v>132</v>
      </c>
      <c r="C141" s="7" t="s">
        <v>1126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6">
        <v>1</v>
      </c>
    </row>
    <row r="142" spans="2:10" ht="18.75" customHeight="1">
      <c r="B142" s="5">
        <v>133</v>
      </c>
      <c r="C142" s="7" t="s">
        <v>1127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7">
        <v>1</v>
      </c>
      <c r="J142" s="6">
        <v>1</v>
      </c>
    </row>
    <row r="143" spans="2:10" ht="18.75" customHeight="1">
      <c r="B143" s="7">
        <v>134</v>
      </c>
      <c r="C143" s="7" t="s">
        <v>1128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6">
        <v>1</v>
      </c>
      <c r="J143" s="7">
        <v>1</v>
      </c>
    </row>
    <row r="144" spans="2:10" ht="18.75" customHeight="1">
      <c r="B144" s="5">
        <v>135</v>
      </c>
      <c r="C144" s="7" t="s">
        <v>1129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6">
        <v>1</v>
      </c>
    </row>
    <row r="145" spans="2:10" ht="18.75" customHeight="1">
      <c r="B145" s="5">
        <v>136</v>
      </c>
      <c r="C145" s="7" t="s">
        <v>1130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7">
        <v>1</v>
      </c>
      <c r="J145" s="6">
        <v>1</v>
      </c>
    </row>
    <row r="146" spans="2:10" ht="18.75" customHeight="1">
      <c r="B146" s="7">
        <v>137</v>
      </c>
      <c r="C146" s="7" t="s">
        <v>1131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6">
        <v>1</v>
      </c>
      <c r="J146" s="7">
        <v>1</v>
      </c>
    </row>
    <row r="147" spans="2:10" ht="18.75" customHeight="1">
      <c r="B147" s="5">
        <v>138</v>
      </c>
      <c r="C147" s="7" t="s">
        <v>1132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6">
        <v>1</v>
      </c>
    </row>
    <row r="148" spans="2:10" ht="18.75" customHeight="1">
      <c r="B148" s="5">
        <v>139</v>
      </c>
      <c r="C148" s="7" t="s">
        <v>1133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7">
        <v>1</v>
      </c>
      <c r="J148" s="6">
        <v>1</v>
      </c>
    </row>
    <row r="149" spans="2:10" ht="18.75" customHeight="1">
      <c r="B149" s="7">
        <v>140</v>
      </c>
      <c r="C149" s="7" t="s">
        <v>1134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6">
        <v>1</v>
      </c>
      <c r="J149" s="7">
        <v>1</v>
      </c>
    </row>
    <row r="150" spans="2:10" ht="18.75" customHeight="1">
      <c r="B150" s="5">
        <v>141</v>
      </c>
      <c r="C150" s="7" t="s">
        <v>1135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6">
        <v>1</v>
      </c>
    </row>
    <row r="151" spans="2:10" ht="18.75" customHeight="1">
      <c r="B151" s="5">
        <v>142</v>
      </c>
      <c r="C151" s="7" t="s">
        <v>1136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7">
        <v>1</v>
      </c>
      <c r="J151" s="6">
        <v>1</v>
      </c>
    </row>
    <row r="152" spans="2:10" ht="18.75" customHeight="1">
      <c r="B152" s="7">
        <v>143</v>
      </c>
      <c r="C152" s="7" t="s">
        <v>1137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6">
        <v>1</v>
      </c>
      <c r="J152" s="7">
        <v>1</v>
      </c>
    </row>
    <row r="153" spans="2:10" ht="18.75" customHeight="1">
      <c r="B153" s="5">
        <v>144</v>
      </c>
      <c r="C153" s="7" t="s">
        <v>1138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6">
        <v>1</v>
      </c>
    </row>
    <row r="154" spans="2:10" ht="18.75" customHeight="1">
      <c r="B154" s="5">
        <v>145</v>
      </c>
      <c r="C154" s="7" t="s">
        <v>1139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7">
        <v>1</v>
      </c>
      <c r="J154" s="6">
        <v>1</v>
      </c>
    </row>
    <row r="155" spans="2:10" ht="18.75" customHeight="1">
      <c r="B155" s="7">
        <v>146</v>
      </c>
      <c r="C155" s="7" t="s">
        <v>1140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6">
        <v>1</v>
      </c>
      <c r="J155" s="7">
        <v>1</v>
      </c>
    </row>
    <row r="156" spans="2:10" ht="18.75" customHeight="1">
      <c r="B156" s="5">
        <v>147</v>
      </c>
      <c r="C156" s="7" t="s">
        <v>1141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6">
        <v>1</v>
      </c>
    </row>
    <row r="157" spans="2:10" ht="18.75" customHeight="1">
      <c r="B157" s="5">
        <v>148</v>
      </c>
      <c r="C157" s="7" t="s">
        <v>1142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7">
        <v>1</v>
      </c>
      <c r="J157" s="6">
        <v>1</v>
      </c>
    </row>
    <row r="158" spans="2:10" ht="18.75" customHeight="1">
      <c r="B158" s="7">
        <v>149</v>
      </c>
      <c r="C158" s="7" t="s">
        <v>1143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6">
        <v>1</v>
      </c>
      <c r="J158" s="7">
        <v>1</v>
      </c>
    </row>
    <row r="159" spans="2:10" ht="18.75" customHeight="1">
      <c r="B159" s="5">
        <v>150</v>
      </c>
      <c r="C159" s="7" t="s">
        <v>1144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6">
        <v>1</v>
      </c>
    </row>
    <row r="160" spans="2:10" ht="18.75" customHeight="1">
      <c r="B160" s="5">
        <v>151</v>
      </c>
      <c r="C160" s="7" t="s">
        <v>1145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7">
        <v>1</v>
      </c>
      <c r="J160" s="6">
        <v>1</v>
      </c>
    </row>
    <row r="161" spans="2:10" ht="18.75" customHeight="1">
      <c r="B161" s="7">
        <v>152</v>
      </c>
      <c r="C161" s="7" t="s">
        <v>1146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6">
        <v>1</v>
      </c>
      <c r="J161" s="7">
        <v>1</v>
      </c>
    </row>
    <row r="162" spans="2:10" ht="18.75" customHeight="1">
      <c r="B162" s="5">
        <v>153</v>
      </c>
      <c r="C162" s="7" t="s">
        <v>1147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6">
        <v>1</v>
      </c>
    </row>
    <row r="163" spans="2:10" ht="18.75" customHeight="1">
      <c r="B163" s="5">
        <v>154</v>
      </c>
      <c r="C163" s="7" t="s">
        <v>1148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7">
        <v>1</v>
      </c>
      <c r="J163" s="6">
        <v>1</v>
      </c>
    </row>
    <row r="164" spans="2:10" ht="18.75" customHeight="1">
      <c r="B164" s="7">
        <v>155</v>
      </c>
      <c r="C164" s="7" t="s">
        <v>1149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6">
        <v>1</v>
      </c>
      <c r="J164" s="7">
        <v>1</v>
      </c>
    </row>
    <row r="165" spans="2:10" ht="18.75" customHeight="1">
      <c r="B165" s="5">
        <v>156</v>
      </c>
      <c r="C165" s="7" t="s">
        <v>1150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6">
        <v>1</v>
      </c>
    </row>
    <row r="166" spans="2:10" ht="18.75" customHeight="1">
      <c r="B166" s="5">
        <v>157</v>
      </c>
      <c r="C166" s="7" t="s">
        <v>1151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7">
        <v>1</v>
      </c>
      <c r="J166" s="6">
        <v>1</v>
      </c>
    </row>
    <row r="167" spans="2:10" ht="18.75" customHeight="1">
      <c r="B167" s="7">
        <v>158</v>
      </c>
      <c r="C167" s="7" t="s">
        <v>1152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6">
        <v>1</v>
      </c>
      <c r="J167" s="7">
        <v>1</v>
      </c>
    </row>
    <row r="168" spans="2:10" ht="18.75" customHeight="1">
      <c r="B168" s="5">
        <v>159</v>
      </c>
      <c r="C168" s="7" t="s">
        <v>1153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6">
        <v>1</v>
      </c>
    </row>
    <row r="169" spans="2:10" ht="18.75" customHeight="1">
      <c r="B169" s="5">
        <v>160</v>
      </c>
      <c r="C169" s="7" t="s">
        <v>1154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7">
        <v>1</v>
      </c>
      <c r="J169" s="6">
        <v>1</v>
      </c>
    </row>
    <row r="170" spans="2:10" ht="18.75" customHeight="1">
      <c r="B170" s="7">
        <v>161</v>
      </c>
      <c r="C170" s="7" t="s">
        <v>1155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6">
        <v>1</v>
      </c>
      <c r="J170" s="7">
        <v>1</v>
      </c>
    </row>
    <row r="171" spans="2:10" ht="18.75" customHeight="1">
      <c r="B171" s="5">
        <v>162</v>
      </c>
      <c r="C171" s="7" t="s">
        <v>1156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6">
        <v>1</v>
      </c>
    </row>
    <row r="172" spans="2:10" ht="18.75" customHeight="1">
      <c r="B172" s="5">
        <v>163</v>
      </c>
      <c r="C172" s="7" t="s">
        <v>1157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7">
        <v>1</v>
      </c>
      <c r="J172" s="6">
        <v>1</v>
      </c>
    </row>
    <row r="173" spans="2:10" ht="18.75" customHeight="1">
      <c r="B173" s="7">
        <v>164</v>
      </c>
      <c r="C173" s="7" t="s">
        <v>1158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6">
        <v>1</v>
      </c>
      <c r="J173" s="7">
        <v>1</v>
      </c>
    </row>
    <row r="174" spans="2:10" ht="18.75" customHeight="1">
      <c r="B174" s="5">
        <v>165</v>
      </c>
      <c r="C174" s="7" t="s">
        <v>1159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6">
        <v>1</v>
      </c>
    </row>
    <row r="175" spans="2:10" ht="18.75" customHeight="1">
      <c r="B175" s="5">
        <v>166</v>
      </c>
      <c r="C175" s="7" t="s">
        <v>1160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7">
        <v>1</v>
      </c>
      <c r="J175" s="6">
        <v>1</v>
      </c>
    </row>
    <row r="176" spans="2:10" ht="18.75" customHeight="1">
      <c r="B176" s="7">
        <v>167</v>
      </c>
      <c r="C176" s="7" t="s">
        <v>1161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6">
        <v>1</v>
      </c>
      <c r="J176" s="7">
        <v>1</v>
      </c>
    </row>
    <row r="177" spans="2:10" ht="18.75" customHeight="1">
      <c r="B177" s="5">
        <v>168</v>
      </c>
      <c r="C177" s="7" t="s">
        <v>1162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6">
        <v>1</v>
      </c>
    </row>
    <row r="178" spans="2:10" ht="18.75" customHeight="1">
      <c r="B178" s="5">
        <v>169</v>
      </c>
      <c r="C178" s="7" t="s">
        <v>1163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7">
        <v>1</v>
      </c>
      <c r="J178" s="6">
        <v>1</v>
      </c>
    </row>
    <row r="179" spans="2:10" ht="18.75" customHeight="1">
      <c r="B179" s="7">
        <v>170</v>
      </c>
      <c r="C179" s="7" t="s">
        <v>1164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6">
        <v>1</v>
      </c>
      <c r="J179" s="7">
        <v>1</v>
      </c>
    </row>
    <row r="180" spans="2:10" ht="18.75" customHeight="1">
      <c r="B180" s="5">
        <v>171</v>
      </c>
      <c r="C180" s="7" t="s">
        <v>1165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6">
        <v>1</v>
      </c>
    </row>
    <row r="181" spans="2:10" ht="18.75" customHeight="1">
      <c r="B181" s="5">
        <v>172</v>
      </c>
      <c r="C181" s="7" t="s">
        <v>1166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7">
        <v>1</v>
      </c>
      <c r="J181" s="6">
        <v>1</v>
      </c>
    </row>
    <row r="182" spans="2:10" ht="18.75" customHeight="1">
      <c r="B182" s="7">
        <v>173</v>
      </c>
      <c r="C182" s="7" t="s">
        <v>1167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6">
        <v>1</v>
      </c>
      <c r="J182" s="7">
        <v>1</v>
      </c>
    </row>
    <row r="183" spans="2:10" ht="18.75" customHeight="1">
      <c r="B183" s="5">
        <v>174</v>
      </c>
      <c r="C183" s="7" t="s">
        <v>1168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6">
        <v>1</v>
      </c>
    </row>
    <row r="184" spans="2:10" ht="18.75" customHeight="1">
      <c r="B184" s="5">
        <v>175</v>
      </c>
      <c r="C184" s="7" t="s">
        <v>1169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7">
        <v>1</v>
      </c>
      <c r="J184" s="6">
        <v>1</v>
      </c>
    </row>
    <row r="185" spans="2:10" ht="18.75" customHeight="1">
      <c r="B185" s="7">
        <v>176</v>
      </c>
      <c r="C185" s="7" t="s">
        <v>1170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6">
        <v>1</v>
      </c>
      <c r="J185" s="7">
        <v>1</v>
      </c>
    </row>
    <row r="186" spans="2:10" ht="18.75" customHeight="1">
      <c r="B186" s="5">
        <v>177</v>
      </c>
      <c r="C186" s="7" t="s">
        <v>1171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6">
        <v>1</v>
      </c>
    </row>
    <row r="187" spans="2:10" ht="18.75" customHeight="1">
      <c r="B187" s="5">
        <v>178</v>
      </c>
      <c r="C187" s="7" t="s">
        <v>1172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7">
        <v>1</v>
      </c>
      <c r="J187" s="6">
        <v>1</v>
      </c>
    </row>
    <row r="188" spans="2:10" ht="18.75" customHeight="1">
      <c r="B188" s="7">
        <v>179</v>
      </c>
      <c r="C188" s="7" t="s">
        <v>1173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6">
        <v>1</v>
      </c>
      <c r="J188" s="7">
        <v>1</v>
      </c>
    </row>
    <row r="189" spans="2:10" ht="18.75" customHeight="1">
      <c r="B189" s="5">
        <v>180</v>
      </c>
      <c r="C189" s="7" t="s">
        <v>1174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6">
        <v>1</v>
      </c>
    </row>
    <row r="190" spans="2:10" ht="18.75" customHeight="1">
      <c r="B190" s="5">
        <v>181</v>
      </c>
      <c r="C190" s="7" t="s">
        <v>1175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7">
        <v>1</v>
      </c>
      <c r="J190" s="6">
        <v>1</v>
      </c>
    </row>
    <row r="191" spans="2:10" ht="18.75" customHeight="1">
      <c r="B191" s="7">
        <v>182</v>
      </c>
      <c r="C191" s="7" t="s">
        <v>1176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6">
        <v>1</v>
      </c>
      <c r="J191" s="7">
        <v>1</v>
      </c>
    </row>
    <row r="192" spans="2:10" ht="18.75" customHeight="1">
      <c r="B192" s="5">
        <v>183</v>
      </c>
      <c r="C192" s="7" t="s">
        <v>1177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6">
        <v>1</v>
      </c>
    </row>
    <row r="193" spans="2:10" ht="18.75" customHeight="1">
      <c r="B193" s="5">
        <v>184</v>
      </c>
      <c r="C193" s="7" t="s">
        <v>1178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7">
        <v>1</v>
      </c>
      <c r="J193" s="6">
        <v>1</v>
      </c>
    </row>
    <row r="194" spans="2:10" ht="18.75" customHeight="1">
      <c r="B194" s="7">
        <v>185</v>
      </c>
      <c r="C194" s="7" t="s">
        <v>1179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6">
        <v>1</v>
      </c>
      <c r="J194" s="7">
        <v>1</v>
      </c>
    </row>
    <row r="195" spans="2:10" ht="18.75" customHeight="1">
      <c r="B195" s="5">
        <v>186</v>
      </c>
      <c r="C195" s="7" t="s">
        <v>1180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6">
        <v>1</v>
      </c>
    </row>
    <row r="196" spans="2:10" ht="18.75" customHeight="1">
      <c r="B196" s="5">
        <v>187</v>
      </c>
      <c r="C196" s="7" t="s">
        <v>1181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7">
        <v>1</v>
      </c>
      <c r="J196" s="6">
        <v>1</v>
      </c>
    </row>
    <row r="197" spans="2:10" ht="18.75" customHeight="1">
      <c r="B197" s="7">
        <v>188</v>
      </c>
      <c r="C197" s="7" t="s">
        <v>1182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6">
        <v>1</v>
      </c>
      <c r="J197" s="7">
        <v>1</v>
      </c>
    </row>
    <row r="198" spans="2:10" ht="18.75" customHeight="1">
      <c r="B198" s="5">
        <v>189</v>
      </c>
      <c r="C198" s="7" t="s">
        <v>1183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6">
        <v>1</v>
      </c>
    </row>
    <row r="199" spans="2:10" ht="18.75" customHeight="1">
      <c r="B199" s="5">
        <v>190</v>
      </c>
      <c r="C199" s="7" t="s">
        <v>1184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7">
        <v>1</v>
      </c>
      <c r="J199" s="6">
        <v>1</v>
      </c>
    </row>
    <row r="200" spans="2:10" ht="18.75" customHeight="1">
      <c r="B200" s="7">
        <v>191</v>
      </c>
      <c r="C200" s="7" t="s">
        <v>1185</v>
      </c>
      <c r="D200" s="7">
        <v>5</v>
      </c>
      <c r="E200" s="7">
        <v>3</v>
      </c>
      <c r="F200" s="6">
        <v>0</v>
      </c>
      <c r="G200" s="6">
        <v>0</v>
      </c>
      <c r="H200" s="6">
        <v>1</v>
      </c>
      <c r="I200" s="6">
        <v>1</v>
      </c>
      <c r="J200" s="7">
        <v>1</v>
      </c>
    </row>
    <row r="201" spans="2:10" ht="18.75" customHeight="1">
      <c r="B201" s="5">
        <v>192</v>
      </c>
      <c r="C201" s="7" t="s">
        <v>1186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6">
        <v>1</v>
      </c>
    </row>
    <row r="202" spans="2:10" ht="18.75" customHeight="1">
      <c r="B202" s="5">
        <v>193</v>
      </c>
      <c r="C202" s="7" t="s">
        <v>1187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7">
        <v>1</v>
      </c>
      <c r="J202" s="6">
        <v>1</v>
      </c>
    </row>
    <row r="203" spans="2:10" ht="18.75" customHeight="1">
      <c r="B203" s="7">
        <v>194</v>
      </c>
      <c r="C203" s="7" t="s">
        <v>1188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6">
        <v>1</v>
      </c>
      <c r="J203" s="7">
        <v>1</v>
      </c>
    </row>
    <row r="204" spans="2:10" ht="18.75" customHeight="1">
      <c r="B204" s="5">
        <v>195</v>
      </c>
      <c r="C204" s="7" t="s">
        <v>1189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6">
        <v>1</v>
      </c>
    </row>
    <row r="205" spans="2:10" ht="18.75" customHeight="1">
      <c r="B205" s="5">
        <v>196</v>
      </c>
      <c r="C205" s="7" t="s">
        <v>1190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7">
        <v>1</v>
      </c>
      <c r="J205" s="6">
        <v>1</v>
      </c>
    </row>
    <row r="206" spans="2:10" ht="18.75" customHeight="1">
      <c r="B206" s="7">
        <v>197</v>
      </c>
      <c r="C206" s="7" t="s">
        <v>1191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6">
        <v>1</v>
      </c>
      <c r="J206" s="7">
        <v>1</v>
      </c>
    </row>
    <row r="207" spans="2:10" ht="18.75" customHeight="1">
      <c r="B207" s="5">
        <v>198</v>
      </c>
      <c r="C207" s="7" t="s">
        <v>1192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6">
        <v>1</v>
      </c>
    </row>
    <row r="208" spans="2:10" ht="18.75" customHeight="1">
      <c r="B208" s="5">
        <v>199</v>
      </c>
      <c r="C208" s="7" t="s">
        <v>1193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7">
        <v>1</v>
      </c>
      <c r="J208" s="6">
        <v>1</v>
      </c>
    </row>
    <row r="209" spans="2:10" ht="18.75" customHeight="1">
      <c r="B209" s="7">
        <v>200</v>
      </c>
      <c r="C209" s="7" t="s">
        <v>1194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6">
        <v>1</v>
      </c>
      <c r="J209" s="7">
        <v>1</v>
      </c>
    </row>
    <row r="210" spans="2:10" ht="18.75" customHeight="1">
      <c r="B210" s="5">
        <v>201</v>
      </c>
      <c r="C210" s="7" t="s">
        <v>1195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6">
        <v>1</v>
      </c>
    </row>
    <row r="211" spans="2:10" ht="18.75" customHeight="1">
      <c r="B211" s="5">
        <v>202</v>
      </c>
      <c r="C211" s="7" t="s">
        <v>1196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7">
        <v>1</v>
      </c>
      <c r="J211" s="6">
        <v>1</v>
      </c>
    </row>
    <row r="212" spans="2:10" ht="18.75" customHeight="1">
      <c r="B212" s="7">
        <v>203</v>
      </c>
      <c r="C212" s="7" t="s">
        <v>1197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6">
        <v>1</v>
      </c>
      <c r="J212" s="7">
        <v>1</v>
      </c>
    </row>
    <row r="213" spans="2:10" ht="18.75" customHeight="1">
      <c r="B213" s="5">
        <v>204</v>
      </c>
      <c r="C213" s="7" t="s">
        <v>1198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6">
        <v>1</v>
      </c>
    </row>
    <row r="214" spans="2:10" ht="18.75" customHeight="1">
      <c r="B214" s="5">
        <v>205</v>
      </c>
      <c r="C214" s="7" t="s">
        <v>1199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7">
        <v>1</v>
      </c>
      <c r="J214" s="6">
        <v>1</v>
      </c>
    </row>
    <row r="215" spans="2:10" ht="18.75" customHeight="1">
      <c r="B215" s="7">
        <v>206</v>
      </c>
      <c r="C215" s="7" t="s">
        <v>1200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6">
        <v>1</v>
      </c>
      <c r="J215" s="7">
        <v>1</v>
      </c>
    </row>
    <row r="216" spans="2:10" ht="18.75" customHeight="1">
      <c r="B216" s="5">
        <v>207</v>
      </c>
      <c r="C216" s="7" t="s">
        <v>1201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6">
        <v>1</v>
      </c>
    </row>
    <row r="217" spans="2:10" ht="18.75" customHeight="1">
      <c r="B217" s="5">
        <v>208</v>
      </c>
      <c r="C217" s="7" t="s">
        <v>1202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7">
        <v>1</v>
      </c>
      <c r="J217" s="6">
        <v>1</v>
      </c>
    </row>
    <row r="218" spans="2:10" ht="18.75" customHeight="1">
      <c r="B218" s="7">
        <v>209</v>
      </c>
      <c r="C218" s="7" t="s">
        <v>1203</v>
      </c>
      <c r="D218" s="7">
        <v>5</v>
      </c>
      <c r="E218" s="7">
        <v>2</v>
      </c>
      <c r="F218" s="6">
        <v>0</v>
      </c>
      <c r="G218" s="6">
        <v>0</v>
      </c>
      <c r="H218" s="6">
        <v>1</v>
      </c>
      <c r="I218" s="6">
        <v>1</v>
      </c>
      <c r="J218" s="7">
        <v>1</v>
      </c>
    </row>
    <row r="219" spans="2:10" ht="18.75" customHeight="1">
      <c r="B219" s="5">
        <v>210</v>
      </c>
      <c r="C219" s="7" t="s">
        <v>1204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6">
        <v>1</v>
      </c>
    </row>
    <row r="220" spans="2:10" ht="18.75" customHeight="1">
      <c r="B220" s="5">
        <v>211</v>
      </c>
      <c r="C220" s="7" t="s">
        <v>1205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7">
        <v>1</v>
      </c>
      <c r="J220" s="6">
        <v>1</v>
      </c>
    </row>
    <row r="221" spans="2:10" ht="18.75" customHeight="1">
      <c r="B221" s="7">
        <v>212</v>
      </c>
      <c r="C221" s="7" t="s">
        <v>1206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6">
        <v>1</v>
      </c>
      <c r="J221" s="7">
        <v>1</v>
      </c>
    </row>
    <row r="222" spans="2:10" ht="18.75" customHeight="1">
      <c r="B222" s="5">
        <v>213</v>
      </c>
      <c r="C222" s="7" t="s">
        <v>1207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6">
        <v>1</v>
      </c>
    </row>
    <row r="223" spans="2:10" ht="18.75" customHeight="1">
      <c r="B223" s="5">
        <v>214</v>
      </c>
      <c r="C223" s="7" t="s">
        <v>1208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7">
        <v>1</v>
      </c>
      <c r="J223" s="6">
        <v>1</v>
      </c>
    </row>
    <row r="224" spans="2:10" ht="18.75" customHeight="1">
      <c r="B224" s="7">
        <v>215</v>
      </c>
      <c r="C224" s="7" t="s">
        <v>1209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6">
        <v>1</v>
      </c>
      <c r="J224" s="7">
        <v>1</v>
      </c>
    </row>
    <row r="225" spans="2:10" ht="18.75" customHeight="1">
      <c r="B225" s="5">
        <v>216</v>
      </c>
      <c r="C225" s="7" t="s">
        <v>1210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6">
        <v>1</v>
      </c>
    </row>
    <row r="226" spans="2:10" ht="18.75" customHeight="1">
      <c r="B226" s="5">
        <v>217</v>
      </c>
      <c r="C226" s="7" t="s">
        <v>1211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7">
        <v>1</v>
      </c>
      <c r="J226" s="6">
        <v>1</v>
      </c>
    </row>
    <row r="227" spans="2:10" ht="18.75" customHeight="1">
      <c r="B227" s="7">
        <v>218</v>
      </c>
      <c r="C227" s="7" t="s">
        <v>1212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6">
        <v>1</v>
      </c>
      <c r="J227" s="7">
        <v>1</v>
      </c>
    </row>
    <row r="228" spans="2:10" ht="18.75" customHeight="1">
      <c r="B228" s="5">
        <v>219</v>
      </c>
      <c r="C228" s="7" t="s">
        <v>1213</v>
      </c>
      <c r="D228" s="7">
        <v>5</v>
      </c>
      <c r="E228" s="7">
        <v>3</v>
      </c>
      <c r="F228" s="6">
        <v>0</v>
      </c>
      <c r="G228" s="6">
        <v>0</v>
      </c>
      <c r="H228" s="6">
        <v>1</v>
      </c>
      <c r="I228" s="6">
        <v>1</v>
      </c>
      <c r="J228" s="6">
        <v>1</v>
      </c>
    </row>
    <row r="229" spans="2:10" ht="18.75" customHeight="1">
      <c r="B229" s="5">
        <v>220</v>
      </c>
      <c r="C229" s="7" t="s">
        <v>1214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7">
        <v>1</v>
      </c>
      <c r="J229" s="6">
        <v>1</v>
      </c>
    </row>
    <row r="230" spans="2:10" ht="18.75" customHeight="1">
      <c r="B230" s="7">
        <v>221</v>
      </c>
      <c r="C230" s="7" t="s">
        <v>1215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6">
        <v>1</v>
      </c>
      <c r="J230" s="7">
        <v>1</v>
      </c>
    </row>
    <row r="231" spans="2:10" ht="18.75" customHeight="1">
      <c r="B231" s="5">
        <v>222</v>
      </c>
      <c r="C231" s="7" t="s">
        <v>1216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6">
        <v>1</v>
      </c>
    </row>
    <row r="232" spans="2:10" ht="18.75" customHeight="1">
      <c r="B232" s="5">
        <v>223</v>
      </c>
      <c r="C232" s="7" t="s">
        <v>1217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7">
        <v>1</v>
      </c>
      <c r="J232" s="6">
        <v>1</v>
      </c>
    </row>
    <row r="233" spans="2:10" ht="18.75" customHeight="1">
      <c r="B233" s="7">
        <v>224</v>
      </c>
      <c r="C233" s="7" t="s">
        <v>1218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6">
        <v>1</v>
      </c>
      <c r="J233" s="7">
        <v>1</v>
      </c>
    </row>
    <row r="234" spans="2:10" ht="18.75" customHeight="1">
      <c r="B234" s="5">
        <v>225</v>
      </c>
      <c r="C234" s="7" t="s">
        <v>1219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6">
        <v>1</v>
      </c>
    </row>
    <row r="235" spans="2:10" ht="18.75" customHeight="1">
      <c r="B235" s="5">
        <v>226</v>
      </c>
      <c r="C235" s="7" t="s">
        <v>1220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7">
        <v>1</v>
      </c>
      <c r="J235" s="6">
        <v>1</v>
      </c>
    </row>
    <row r="236" spans="2:10" ht="18.75" customHeight="1">
      <c r="B236" s="7">
        <v>227</v>
      </c>
      <c r="C236" s="7" t="s">
        <v>1221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6">
        <v>1</v>
      </c>
      <c r="J236" s="7">
        <v>1</v>
      </c>
    </row>
    <row r="237" spans="2:10" ht="18.75" customHeight="1">
      <c r="B237" s="5">
        <v>228</v>
      </c>
      <c r="C237" s="7" t="s">
        <v>1222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6">
        <v>1</v>
      </c>
    </row>
    <row r="238" spans="2:10" ht="18.75" customHeight="1">
      <c r="B238" s="5">
        <v>229</v>
      </c>
      <c r="C238" s="7" t="s">
        <v>1223</v>
      </c>
      <c r="D238" s="7">
        <v>5</v>
      </c>
      <c r="E238" s="7">
        <v>4</v>
      </c>
      <c r="F238" s="6">
        <v>0</v>
      </c>
      <c r="G238" s="6">
        <v>0</v>
      </c>
      <c r="H238" s="6">
        <v>1</v>
      </c>
      <c r="I238" s="7">
        <v>1</v>
      </c>
      <c r="J238" s="6">
        <v>1</v>
      </c>
    </row>
    <row r="239" spans="2:10" ht="18.75" customHeight="1">
      <c r="B239" s="7">
        <v>230</v>
      </c>
      <c r="C239" s="7" t="s">
        <v>1224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6">
        <v>1</v>
      </c>
      <c r="J239" s="7">
        <v>1</v>
      </c>
    </row>
    <row r="240" spans="2:10" ht="18.75" customHeight="1">
      <c r="B240" s="5">
        <v>231</v>
      </c>
      <c r="C240" s="7" t="s">
        <v>1225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6">
        <v>1</v>
      </c>
    </row>
    <row r="241" spans="2:10" ht="18.75" customHeight="1">
      <c r="B241" s="5">
        <v>232</v>
      </c>
      <c r="C241" s="7" t="s">
        <v>1226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7">
        <v>1</v>
      </c>
      <c r="J241" s="6">
        <v>1</v>
      </c>
    </row>
    <row r="242" spans="2:10" ht="18.75" customHeight="1">
      <c r="B242" s="7">
        <v>233</v>
      </c>
      <c r="C242" s="7" t="s">
        <v>1227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6">
        <v>1</v>
      </c>
      <c r="J242" s="7">
        <v>1</v>
      </c>
    </row>
    <row r="243" spans="2:10" ht="18.75" customHeight="1">
      <c r="B243" s="5">
        <v>234</v>
      </c>
      <c r="C243" s="7" t="s">
        <v>1228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6">
        <v>1</v>
      </c>
    </row>
    <row r="244" spans="2:10" ht="18.75" customHeight="1">
      <c r="B244" s="5">
        <v>235</v>
      </c>
      <c r="C244" s="7" t="s">
        <v>1229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7">
        <v>1</v>
      </c>
      <c r="J244" s="6">
        <v>1</v>
      </c>
    </row>
    <row r="245" spans="2:10" ht="18.75" customHeight="1">
      <c r="B245" s="7">
        <v>236</v>
      </c>
      <c r="C245" s="7" t="s">
        <v>1230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6">
        <v>1</v>
      </c>
      <c r="J245" s="7">
        <v>1</v>
      </c>
    </row>
    <row r="246" spans="2:10" ht="18.75" customHeight="1">
      <c r="B246" s="5">
        <v>237</v>
      </c>
      <c r="C246" s="7" t="s">
        <v>1231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6">
        <v>1</v>
      </c>
    </row>
    <row r="247" spans="2:10" ht="18.75" customHeight="1">
      <c r="B247" s="5">
        <v>238</v>
      </c>
      <c r="C247" s="7" t="s">
        <v>1232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7">
        <v>1</v>
      </c>
      <c r="J247" s="6">
        <v>1</v>
      </c>
    </row>
    <row r="248" spans="2:10" ht="18.75" customHeight="1">
      <c r="B248" s="7">
        <v>239</v>
      </c>
      <c r="C248" s="7" t="s">
        <v>1233</v>
      </c>
      <c r="D248" s="7">
        <v>1</v>
      </c>
      <c r="E248" s="7">
        <v>10</v>
      </c>
      <c r="F248" s="6">
        <v>0</v>
      </c>
      <c r="G248" s="6">
        <v>0</v>
      </c>
      <c r="H248" s="6">
        <v>1</v>
      </c>
      <c r="I248" s="6">
        <v>1</v>
      </c>
      <c r="J248" s="7">
        <v>5</v>
      </c>
    </row>
    <row r="249" spans="2:10" ht="18.75" customHeight="1">
      <c r="B249" s="5">
        <v>240</v>
      </c>
      <c r="C249" s="7" t="s">
        <v>1234</v>
      </c>
      <c r="D249" s="7">
        <v>5</v>
      </c>
      <c r="E249" s="7">
        <v>2</v>
      </c>
      <c r="F249" s="6">
        <v>0</v>
      </c>
      <c r="G249" s="6">
        <v>0</v>
      </c>
      <c r="H249" s="6">
        <v>1</v>
      </c>
      <c r="I249" s="6">
        <v>1</v>
      </c>
      <c r="J249" s="6">
        <v>1</v>
      </c>
    </row>
    <row r="250" spans="2:10" ht="18.75" customHeight="1">
      <c r="B250" s="5">
        <v>241</v>
      </c>
      <c r="C250" s="7" t="s">
        <v>1235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7">
        <v>1</v>
      </c>
      <c r="J250" s="6">
        <v>1</v>
      </c>
    </row>
    <row r="251" spans="2:10" ht="18.75" customHeight="1">
      <c r="B251" s="7">
        <v>242</v>
      </c>
      <c r="C251" s="7" t="s">
        <v>1236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6">
        <v>1</v>
      </c>
      <c r="J251" s="7">
        <v>1</v>
      </c>
    </row>
    <row r="252" spans="2:10" ht="18.75" customHeight="1">
      <c r="B252" s="5">
        <v>243</v>
      </c>
      <c r="C252" s="7" t="s">
        <v>1237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6">
        <v>1</v>
      </c>
    </row>
    <row r="253" spans="2:10" ht="18.75" customHeight="1">
      <c r="B253" s="5">
        <v>244</v>
      </c>
      <c r="C253" s="7" t="s">
        <v>1238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7">
        <v>1</v>
      </c>
      <c r="J253" s="6">
        <v>1</v>
      </c>
    </row>
    <row r="254" spans="2:10" ht="18.75" customHeight="1">
      <c r="B254" s="7">
        <v>245</v>
      </c>
      <c r="C254" s="7" t="s">
        <v>1239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6">
        <v>1</v>
      </c>
      <c r="J254" s="7">
        <v>1</v>
      </c>
    </row>
    <row r="255" spans="2:10" ht="18.75" customHeight="1">
      <c r="B255" s="5">
        <v>246</v>
      </c>
      <c r="C255" s="7" t="s">
        <v>1240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6">
        <v>1</v>
      </c>
    </row>
    <row r="256" spans="2:10" ht="18.75" customHeight="1">
      <c r="B256" s="5">
        <v>247</v>
      </c>
      <c r="C256" s="7" t="s">
        <v>1241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7">
        <v>1</v>
      </c>
      <c r="J256" s="6">
        <v>1</v>
      </c>
    </row>
    <row r="257" spans="2:10" ht="18.75" customHeight="1">
      <c r="B257" s="7">
        <v>248</v>
      </c>
      <c r="C257" s="7" t="s">
        <v>1242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6">
        <v>1</v>
      </c>
      <c r="J257" s="7">
        <v>1</v>
      </c>
    </row>
    <row r="258" spans="2:10" ht="18.75" customHeight="1">
      <c r="B258" s="5">
        <v>249</v>
      </c>
      <c r="C258" s="7" t="s">
        <v>1243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6">
        <v>1</v>
      </c>
    </row>
    <row r="259" spans="2:10" ht="18.75" customHeight="1">
      <c r="B259" s="5">
        <v>250</v>
      </c>
      <c r="C259" s="7" t="s">
        <v>1244</v>
      </c>
      <c r="D259" s="7">
        <v>1</v>
      </c>
      <c r="E259" s="7">
        <v>10</v>
      </c>
      <c r="F259" s="6">
        <v>0</v>
      </c>
      <c r="G259" s="6">
        <v>0</v>
      </c>
      <c r="H259" s="6">
        <v>1</v>
      </c>
      <c r="I259" s="7">
        <v>1</v>
      </c>
      <c r="J259" s="6">
        <v>5</v>
      </c>
    </row>
    <row r="260" spans="2:10" ht="18.75" customHeight="1">
      <c r="B260" s="7">
        <v>251</v>
      </c>
      <c r="C260" s="7" t="s">
        <v>1245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6">
        <v>1</v>
      </c>
      <c r="J260" s="7">
        <v>5</v>
      </c>
    </row>
    <row r="261" spans="2:10" ht="18.75" customHeight="1">
      <c r="B261" s="5">
        <v>252</v>
      </c>
      <c r="C261" s="7" t="s">
        <v>1246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6">
        <v>5</v>
      </c>
    </row>
    <row r="262" spans="2:10" ht="18.75" customHeight="1">
      <c r="B262" s="5">
        <v>253</v>
      </c>
      <c r="C262" s="7" t="s">
        <v>1247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7">
        <v>1</v>
      </c>
      <c r="J262" s="6">
        <v>5</v>
      </c>
    </row>
    <row r="263" spans="2:10" ht="18.75" customHeight="1">
      <c r="B263" s="7">
        <v>254</v>
      </c>
      <c r="C263" s="7" t="s">
        <v>1248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6">
        <v>1</v>
      </c>
      <c r="J263" s="7">
        <v>5</v>
      </c>
    </row>
    <row r="264" spans="2:10" ht="18.75" customHeight="1">
      <c r="B264" s="5">
        <v>255</v>
      </c>
      <c r="C264" s="7" t="s">
        <v>1249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6">
        <v>5</v>
      </c>
    </row>
    <row r="265" spans="2:10" ht="18.75" customHeight="1">
      <c r="B265" s="5">
        <v>256</v>
      </c>
      <c r="C265" s="7" t="s">
        <v>1250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7">
        <v>1</v>
      </c>
      <c r="J265" s="6">
        <v>5</v>
      </c>
    </row>
    <row r="266" spans="2:10" ht="18.75" customHeight="1">
      <c r="B266" s="7">
        <v>257</v>
      </c>
      <c r="C266" s="7" t="s">
        <v>1251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6">
        <v>1</v>
      </c>
      <c r="J266" s="7">
        <v>5</v>
      </c>
    </row>
    <row r="267" spans="2:10" ht="18.75" customHeight="1">
      <c r="B267" s="5">
        <v>258</v>
      </c>
      <c r="C267" s="7" t="s">
        <v>1252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6">
        <v>5</v>
      </c>
    </row>
    <row r="268" spans="2:10" ht="18.75" customHeight="1">
      <c r="B268" s="5">
        <v>259</v>
      </c>
      <c r="C268" s="7" t="s">
        <v>1253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7">
        <v>1</v>
      </c>
      <c r="J268" s="6">
        <v>5</v>
      </c>
    </row>
    <row r="269" spans="2:10" ht="18.75" customHeight="1">
      <c r="B269" s="7">
        <v>260</v>
      </c>
      <c r="C269" s="7" t="s">
        <v>1254</v>
      </c>
      <c r="D269" s="7">
        <v>5</v>
      </c>
      <c r="E269" s="7">
        <v>6</v>
      </c>
      <c r="F269" s="6">
        <v>0</v>
      </c>
      <c r="G269" s="6">
        <v>0</v>
      </c>
      <c r="H269" s="6">
        <v>1</v>
      </c>
      <c r="I269" s="6">
        <v>1</v>
      </c>
      <c r="J269" s="7">
        <v>1</v>
      </c>
    </row>
    <row r="270" spans="2:10" ht="18.75" customHeight="1">
      <c r="B270" s="5">
        <v>261</v>
      </c>
      <c r="C270" s="7" t="s">
        <v>1255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6">
        <v>1</v>
      </c>
    </row>
    <row r="271" spans="2:10" ht="18.75" customHeight="1">
      <c r="B271" s="5">
        <v>262</v>
      </c>
      <c r="C271" s="7" t="s">
        <v>1256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7">
        <v>1</v>
      </c>
      <c r="J271" s="6">
        <v>1</v>
      </c>
    </row>
    <row r="272" spans="2:10" ht="18.75" customHeight="1">
      <c r="B272" s="7">
        <v>263</v>
      </c>
      <c r="C272" s="7" t="s">
        <v>1257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6">
        <v>1</v>
      </c>
      <c r="J272" s="7">
        <v>1</v>
      </c>
    </row>
    <row r="273" spans="2:10" ht="18.75" customHeight="1">
      <c r="B273" s="5">
        <v>264</v>
      </c>
      <c r="C273" s="7" t="s">
        <v>1258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6">
        <v>1</v>
      </c>
    </row>
    <row r="274" spans="2:10" ht="18.75" customHeight="1">
      <c r="B274" s="5">
        <v>265</v>
      </c>
      <c r="C274" s="7" t="s">
        <v>1259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7">
        <v>1</v>
      </c>
      <c r="J274" s="6">
        <v>1</v>
      </c>
    </row>
    <row r="275" spans="2:10" ht="18.75" customHeight="1">
      <c r="B275" s="7">
        <v>266</v>
      </c>
      <c r="C275" s="7" t="s">
        <v>1260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6">
        <v>1</v>
      </c>
      <c r="J275" s="7">
        <v>1</v>
      </c>
    </row>
    <row r="276" spans="2:10" ht="18.75" customHeight="1">
      <c r="B276" s="5">
        <v>267</v>
      </c>
      <c r="C276" s="7" t="s">
        <v>1261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6">
        <v>1</v>
      </c>
    </row>
    <row r="277" spans="2:10" ht="18.75" customHeight="1">
      <c r="B277" s="5">
        <v>268</v>
      </c>
      <c r="C277" s="7" t="s">
        <v>1262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7">
        <v>1</v>
      </c>
      <c r="J277" s="6">
        <v>1</v>
      </c>
    </row>
    <row r="278" spans="2:10" ht="18.75" customHeight="1">
      <c r="B278" s="7">
        <v>269</v>
      </c>
      <c r="C278" s="7" t="s">
        <v>1263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6">
        <v>1</v>
      </c>
      <c r="J278" s="7">
        <v>1</v>
      </c>
    </row>
    <row r="279" spans="2:10" ht="18.75" customHeight="1">
      <c r="B279" s="5">
        <v>270</v>
      </c>
      <c r="C279" s="7" t="s">
        <v>1264</v>
      </c>
      <c r="D279" s="7">
        <v>5</v>
      </c>
      <c r="E279" s="7">
        <v>2</v>
      </c>
      <c r="F279" s="6">
        <v>0</v>
      </c>
      <c r="G279" s="6">
        <v>0</v>
      </c>
      <c r="H279" s="6">
        <v>1</v>
      </c>
      <c r="I279" s="6">
        <v>1</v>
      </c>
      <c r="J279" s="6">
        <v>1</v>
      </c>
    </row>
    <row r="280" spans="2:10" ht="18.75" customHeight="1">
      <c r="B280" s="5">
        <v>271</v>
      </c>
      <c r="C280" s="7" t="s">
        <v>1265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7">
        <v>1</v>
      </c>
      <c r="J280" s="6">
        <v>1</v>
      </c>
    </row>
    <row r="281" spans="2:10" ht="18.75" customHeight="1">
      <c r="B281" s="7">
        <v>272</v>
      </c>
      <c r="C281" s="7" t="s">
        <v>1266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6">
        <v>1</v>
      </c>
      <c r="J281" s="7">
        <v>1</v>
      </c>
    </row>
    <row r="282" spans="2:10" ht="18.75" customHeight="1">
      <c r="B282" s="5">
        <v>273</v>
      </c>
      <c r="C282" s="7" t="s">
        <v>1267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6">
        <v>5</v>
      </c>
    </row>
    <row r="283" spans="2:10" ht="18.75" customHeight="1">
      <c r="B283" s="5">
        <v>274</v>
      </c>
      <c r="C283" s="7" t="s">
        <v>1268</v>
      </c>
      <c r="D283" s="7">
        <v>2</v>
      </c>
      <c r="E283" s="7">
        <v>5</v>
      </c>
      <c r="F283" s="6">
        <v>0</v>
      </c>
      <c r="G283" s="6">
        <v>0</v>
      </c>
      <c r="H283" s="6">
        <v>1</v>
      </c>
      <c r="I283" s="7">
        <v>1</v>
      </c>
      <c r="J283" s="6">
        <v>5</v>
      </c>
    </row>
    <row r="284" spans="2:10" ht="18.75" customHeight="1">
      <c r="B284" s="7">
        <v>275</v>
      </c>
      <c r="C284" s="7" t="s">
        <v>1269</v>
      </c>
      <c r="D284" s="7">
        <v>2</v>
      </c>
      <c r="E284" s="7">
        <v>8</v>
      </c>
      <c r="F284" s="6">
        <v>0</v>
      </c>
      <c r="G284" s="6">
        <v>0</v>
      </c>
      <c r="H284" s="6">
        <v>1</v>
      </c>
      <c r="I284" s="6">
        <v>1</v>
      </c>
      <c r="J284" s="7">
        <v>5</v>
      </c>
    </row>
    <row r="285" spans="2:10" ht="18.75" customHeight="1">
      <c r="B285" s="5">
        <v>276</v>
      </c>
      <c r="C285" s="7" t="s">
        <v>1270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6">
        <v>5</v>
      </c>
    </row>
    <row r="286" spans="2:10" ht="18.75" customHeight="1">
      <c r="B286" s="5">
        <v>277</v>
      </c>
      <c r="C286" s="7" t="s">
        <v>1271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7">
        <v>1</v>
      </c>
      <c r="J286" s="6">
        <v>5</v>
      </c>
    </row>
    <row r="287" spans="2:10" ht="18.75" customHeight="1">
      <c r="B287" s="7">
        <v>278</v>
      </c>
      <c r="C287" s="7" t="s">
        <v>1272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6">
        <v>1</v>
      </c>
      <c r="J287" s="7">
        <v>5</v>
      </c>
    </row>
    <row r="288" spans="2:10" ht="18.75" customHeight="1">
      <c r="B288" s="5">
        <v>279</v>
      </c>
      <c r="C288" s="7" t="s">
        <v>1273</v>
      </c>
      <c r="D288" s="7">
        <v>2</v>
      </c>
      <c r="E288" s="7">
        <v>12</v>
      </c>
      <c r="F288" s="6">
        <v>0</v>
      </c>
      <c r="G288" s="6">
        <v>0</v>
      </c>
      <c r="H288" s="6">
        <v>1</v>
      </c>
      <c r="I288" s="6">
        <v>1</v>
      </c>
      <c r="J288" s="6">
        <v>5</v>
      </c>
    </row>
    <row r="289" spans="2:10" ht="18.75" customHeight="1">
      <c r="B289" s="5">
        <v>280</v>
      </c>
      <c r="C289" s="7" t="s">
        <v>1274</v>
      </c>
      <c r="D289" s="7">
        <v>3</v>
      </c>
      <c r="E289" s="7">
        <v>3</v>
      </c>
      <c r="F289" s="6">
        <v>0</v>
      </c>
      <c r="G289" s="6">
        <v>0</v>
      </c>
      <c r="H289" s="6">
        <v>1</v>
      </c>
      <c r="I289" s="7">
        <v>1</v>
      </c>
      <c r="J289" s="6">
        <v>5</v>
      </c>
    </row>
    <row r="290" spans="2:10" ht="18.75" customHeight="1">
      <c r="B290" s="7">
        <v>281</v>
      </c>
      <c r="C290" s="7" t="s">
        <v>1275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6">
        <v>1</v>
      </c>
      <c r="J290" s="7">
        <v>5</v>
      </c>
    </row>
    <row r="291" spans="2:10" ht="18.75" customHeight="1">
      <c r="B291" s="5">
        <v>282</v>
      </c>
      <c r="C291" s="7" t="s">
        <v>1276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6">
        <v>5</v>
      </c>
    </row>
    <row r="292" spans="2:10" ht="18.75" customHeight="1">
      <c r="B292" s="5">
        <v>283</v>
      </c>
      <c r="C292" s="7" t="s">
        <v>1277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7">
        <v>1</v>
      </c>
      <c r="J292" s="6">
        <v>5</v>
      </c>
    </row>
    <row r="293" spans="2:10" ht="18.75" customHeight="1">
      <c r="B293" s="7">
        <v>284</v>
      </c>
      <c r="C293" s="7" t="s">
        <v>1278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6">
        <v>1</v>
      </c>
      <c r="J293" s="7">
        <v>5</v>
      </c>
    </row>
    <row r="294" spans="2:10" ht="18.75" customHeight="1">
      <c r="B294" s="5">
        <v>285</v>
      </c>
      <c r="C294" s="7" t="s">
        <v>1279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6">
        <v>5</v>
      </c>
    </row>
    <row r="295" spans="2:10" ht="18.75" customHeight="1">
      <c r="B295" s="5">
        <v>286</v>
      </c>
      <c r="C295" s="7" t="s">
        <v>1280</v>
      </c>
      <c r="D295" s="7">
        <v>3</v>
      </c>
      <c r="E295" s="7">
        <v>5</v>
      </c>
      <c r="F295" s="6">
        <v>0</v>
      </c>
      <c r="G295" s="6">
        <v>0</v>
      </c>
      <c r="H295" s="6">
        <v>1</v>
      </c>
      <c r="I295" s="7">
        <v>1</v>
      </c>
      <c r="J295" s="6">
        <v>5</v>
      </c>
    </row>
    <row r="296" spans="2:10" ht="18.75" customHeight="1">
      <c r="B296" s="7">
        <v>287</v>
      </c>
      <c r="C296" s="7" t="s">
        <v>1281</v>
      </c>
      <c r="D296" s="7">
        <v>5</v>
      </c>
      <c r="E296" s="7">
        <v>2</v>
      </c>
      <c r="F296" s="6">
        <v>0</v>
      </c>
      <c r="G296" s="6">
        <v>0</v>
      </c>
      <c r="H296" s="6">
        <v>1</v>
      </c>
      <c r="I296" s="6">
        <v>1</v>
      </c>
      <c r="J296" s="7">
        <v>1</v>
      </c>
    </row>
    <row r="297" spans="2:10" ht="18.75" customHeight="1">
      <c r="B297" s="5">
        <v>288</v>
      </c>
      <c r="C297" s="7" t="s">
        <v>1282</v>
      </c>
      <c r="D297" s="7">
        <v>5</v>
      </c>
      <c r="E297" s="7">
        <v>3</v>
      </c>
      <c r="F297" s="6">
        <v>0</v>
      </c>
      <c r="G297" s="6">
        <v>0</v>
      </c>
      <c r="H297" s="6">
        <v>1</v>
      </c>
      <c r="I297" s="6">
        <v>1</v>
      </c>
      <c r="J297" s="6">
        <v>1</v>
      </c>
    </row>
    <row r="298" spans="2:10" ht="18.75" customHeight="1">
      <c r="B298" s="5">
        <v>289</v>
      </c>
      <c r="C298" s="7" t="s">
        <v>1283</v>
      </c>
      <c r="D298" s="7">
        <v>5</v>
      </c>
      <c r="E298" s="7">
        <v>4</v>
      </c>
      <c r="F298" s="6">
        <v>0</v>
      </c>
      <c r="G298" s="6">
        <v>0</v>
      </c>
      <c r="H298" s="6">
        <v>1</v>
      </c>
      <c r="I298" s="7">
        <v>1</v>
      </c>
      <c r="J298" s="6">
        <v>1</v>
      </c>
    </row>
    <row r="299" spans="2:10" ht="18.75" customHeight="1">
      <c r="B299" s="7">
        <v>290</v>
      </c>
      <c r="C299" s="7" t="s">
        <v>1284</v>
      </c>
      <c r="D299" s="7">
        <v>5</v>
      </c>
      <c r="E299" s="7">
        <v>3</v>
      </c>
      <c r="F299" s="6">
        <v>0</v>
      </c>
      <c r="G299" s="6">
        <v>0</v>
      </c>
      <c r="H299" s="6">
        <v>1</v>
      </c>
      <c r="I299" s="6">
        <v>1</v>
      </c>
      <c r="J299" s="7">
        <v>1</v>
      </c>
    </row>
    <row r="300" spans="2:10" ht="18.75" customHeight="1">
      <c r="B300" s="5">
        <v>291</v>
      </c>
      <c r="C300" s="7" t="s">
        <v>1285</v>
      </c>
      <c r="D300" s="7">
        <v>3</v>
      </c>
      <c r="E300" s="7">
        <v>7</v>
      </c>
      <c r="F300" s="6">
        <v>0</v>
      </c>
      <c r="G300" s="6">
        <v>0</v>
      </c>
      <c r="H300" s="6">
        <v>1</v>
      </c>
      <c r="I300" s="6">
        <v>1</v>
      </c>
      <c r="J300" s="6">
        <v>1</v>
      </c>
    </row>
    <row r="301" spans="2:10" ht="18.75" customHeight="1">
      <c r="B301" s="5">
        <v>292</v>
      </c>
      <c r="C301" s="7" t="s">
        <v>1286</v>
      </c>
      <c r="D301" s="7">
        <v>3</v>
      </c>
      <c r="E301" s="7">
        <v>12</v>
      </c>
      <c r="F301" s="6">
        <v>0</v>
      </c>
      <c r="G301" s="6">
        <v>0</v>
      </c>
      <c r="H301" s="6">
        <v>1</v>
      </c>
      <c r="I301" s="7">
        <v>1</v>
      </c>
      <c r="J301" s="6">
        <v>5</v>
      </c>
    </row>
    <row r="302" spans="2:10" ht="18.75" customHeight="1">
      <c r="B302" s="7">
        <v>293</v>
      </c>
      <c r="C302" s="7" t="s">
        <v>1287</v>
      </c>
      <c r="D302" s="7">
        <v>3</v>
      </c>
      <c r="E302" s="7">
        <v>10</v>
      </c>
      <c r="F302" s="6">
        <v>0</v>
      </c>
      <c r="G302" s="6">
        <v>0</v>
      </c>
      <c r="H302" s="6">
        <v>1</v>
      </c>
      <c r="I302" s="6">
        <v>1</v>
      </c>
      <c r="J302" s="7">
        <v>5</v>
      </c>
    </row>
    <row r="303" spans="2:10" ht="18.75" customHeight="1">
      <c r="B303" s="5">
        <v>294</v>
      </c>
      <c r="C303" s="7" t="s">
        <v>1288</v>
      </c>
      <c r="D303" s="7">
        <v>5</v>
      </c>
      <c r="E303" s="7">
        <v>6</v>
      </c>
      <c r="F303" s="6">
        <v>0</v>
      </c>
      <c r="G303" s="6">
        <v>0</v>
      </c>
      <c r="H303" s="6">
        <v>1</v>
      </c>
      <c r="I303" s="6">
        <v>1</v>
      </c>
      <c r="J303" s="6">
        <v>1</v>
      </c>
    </row>
    <row r="304" spans="2:10" ht="18.75" customHeight="1">
      <c r="B304" s="5">
        <v>295</v>
      </c>
      <c r="C304" s="7" t="s">
        <v>1289</v>
      </c>
      <c r="D304" s="7">
        <v>3</v>
      </c>
      <c r="E304" s="7">
        <v>10</v>
      </c>
      <c r="F304" s="6">
        <v>0</v>
      </c>
      <c r="G304" s="6">
        <v>0</v>
      </c>
      <c r="H304" s="6">
        <v>1</v>
      </c>
      <c r="I304" s="7">
        <v>1</v>
      </c>
      <c r="J304" s="6">
        <v>5</v>
      </c>
    </row>
    <row r="305" spans="2:10" ht="18.75" customHeight="1">
      <c r="B305" s="7">
        <v>296</v>
      </c>
      <c r="C305" s="7" t="s">
        <v>1290</v>
      </c>
      <c r="D305" s="7">
        <v>1</v>
      </c>
      <c r="E305" s="7">
        <v>16</v>
      </c>
      <c r="F305" s="6">
        <v>0</v>
      </c>
      <c r="G305" s="6">
        <v>0</v>
      </c>
      <c r="H305" s="6">
        <v>1</v>
      </c>
      <c r="I305" s="6">
        <v>1</v>
      </c>
      <c r="J305" s="7">
        <v>5</v>
      </c>
    </row>
    <row r="306" spans="2:10" ht="18.75" customHeight="1">
      <c r="B306" s="5">
        <v>297</v>
      </c>
      <c r="C306" s="7" t="s">
        <v>1291</v>
      </c>
      <c r="D306" s="7">
        <v>1</v>
      </c>
      <c r="E306" s="7">
        <v>11</v>
      </c>
      <c r="F306" s="6">
        <v>0</v>
      </c>
      <c r="G306" s="6">
        <v>0</v>
      </c>
      <c r="H306" s="6">
        <v>1</v>
      </c>
      <c r="I306" s="6">
        <v>1</v>
      </c>
      <c r="J306" s="6">
        <v>5</v>
      </c>
    </row>
    <row r="307" spans="2:10" ht="18.75" customHeight="1">
      <c r="B307" s="5">
        <v>298</v>
      </c>
      <c r="C307" s="7" t="s">
        <v>1292</v>
      </c>
      <c r="D307" s="7">
        <v>4</v>
      </c>
      <c r="E307" s="7">
        <v>4</v>
      </c>
      <c r="F307" s="6">
        <v>0</v>
      </c>
      <c r="G307" s="6">
        <v>0</v>
      </c>
      <c r="H307" s="6">
        <v>1</v>
      </c>
      <c r="I307" s="7">
        <v>1</v>
      </c>
      <c r="J307" s="6">
        <v>5</v>
      </c>
    </row>
    <row r="308" spans="2:10" ht="18.75" customHeight="1">
      <c r="B308" s="7">
        <v>299</v>
      </c>
      <c r="C308" s="7" t="s">
        <v>1293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6">
        <v>1</v>
      </c>
      <c r="J308" s="7">
        <v>5</v>
      </c>
    </row>
    <row r="309" spans="2:10" ht="18.75" customHeight="1">
      <c r="B309" s="5">
        <v>300</v>
      </c>
      <c r="C309" s="7" t="s">
        <v>1294</v>
      </c>
      <c r="D309" s="7">
        <v>1</v>
      </c>
      <c r="E309" s="7">
        <v>12</v>
      </c>
      <c r="F309" s="6">
        <v>0</v>
      </c>
      <c r="G309" s="6">
        <v>0</v>
      </c>
      <c r="H309" s="6">
        <v>1</v>
      </c>
      <c r="I309" s="6">
        <v>1</v>
      </c>
      <c r="J309" s="6">
        <v>1</v>
      </c>
    </row>
    <row r="310" spans="2:10" ht="18.75" customHeight="1">
      <c r="B310" s="5">
        <v>301</v>
      </c>
      <c r="C310" s="7" t="s">
        <v>1295</v>
      </c>
      <c r="D310" s="7">
        <v>5</v>
      </c>
      <c r="E310" s="7">
        <v>2</v>
      </c>
      <c r="F310" s="6">
        <v>0</v>
      </c>
      <c r="G310" s="6">
        <v>0</v>
      </c>
      <c r="H310" s="6">
        <v>1</v>
      </c>
      <c r="I310" s="7">
        <v>1</v>
      </c>
      <c r="J310" s="6">
        <v>1</v>
      </c>
    </row>
    <row r="311" spans="2:10" ht="18.75" customHeight="1">
      <c r="B311" s="7">
        <v>302</v>
      </c>
      <c r="C311" s="7" t="s">
        <v>1296</v>
      </c>
      <c r="D311" s="7">
        <v>1</v>
      </c>
      <c r="E311" s="7">
        <v>12</v>
      </c>
      <c r="F311" s="6">
        <v>0</v>
      </c>
      <c r="G311" s="6">
        <v>0</v>
      </c>
      <c r="H311" s="6">
        <v>1</v>
      </c>
      <c r="I311" s="6">
        <v>1</v>
      </c>
      <c r="J311" s="7">
        <v>5</v>
      </c>
    </row>
    <row r="312" spans="2:10" ht="18.75" customHeight="1">
      <c r="B312" s="5">
        <v>303</v>
      </c>
      <c r="C312" s="7" t="s">
        <v>995</v>
      </c>
      <c r="D312" s="7">
        <v>1</v>
      </c>
      <c r="E312" s="7">
        <v>16</v>
      </c>
      <c r="F312" s="6">
        <v>0</v>
      </c>
      <c r="G312" s="6">
        <v>0</v>
      </c>
      <c r="H312" s="6">
        <v>1</v>
      </c>
      <c r="I312" s="6">
        <v>1</v>
      </c>
      <c r="J312" s="6">
        <v>5</v>
      </c>
    </row>
    <row r="313" spans="2:10" ht="18.75" customHeight="1">
      <c r="B313" s="5">
        <v>304</v>
      </c>
      <c r="C313" s="7" t="s">
        <v>1297</v>
      </c>
      <c r="D313" s="7">
        <v>5</v>
      </c>
      <c r="E313" s="7">
        <v>3</v>
      </c>
      <c r="F313" s="6">
        <v>0</v>
      </c>
      <c r="G313" s="6">
        <v>0</v>
      </c>
      <c r="H313" s="6">
        <v>1</v>
      </c>
      <c r="I313" s="7">
        <v>1</v>
      </c>
      <c r="J313" s="6">
        <v>1</v>
      </c>
    </row>
    <row r="314" spans="2:10" ht="18.75" customHeight="1">
      <c r="B314" s="7">
        <v>305</v>
      </c>
      <c r="C314" s="7" t="s">
        <v>1298</v>
      </c>
      <c r="D314" s="7">
        <v>5</v>
      </c>
      <c r="E314" s="7">
        <v>4</v>
      </c>
      <c r="F314" s="6">
        <v>0</v>
      </c>
      <c r="G314" s="6">
        <v>0</v>
      </c>
      <c r="H314" s="6">
        <v>1</v>
      </c>
      <c r="I314" s="6">
        <v>1</v>
      </c>
      <c r="J314" s="7">
        <v>1</v>
      </c>
    </row>
    <row r="315" spans="2:10" ht="18.75" customHeight="1">
      <c r="B315" s="5">
        <v>306</v>
      </c>
      <c r="C315" s="7" t="s">
        <v>1299</v>
      </c>
      <c r="D315" s="7">
        <v>5</v>
      </c>
      <c r="E315" s="7">
        <v>3</v>
      </c>
      <c r="F315" s="6">
        <v>0</v>
      </c>
      <c r="G315" s="6">
        <v>0</v>
      </c>
      <c r="H315" s="6">
        <v>1</v>
      </c>
      <c r="I315" s="6">
        <v>1</v>
      </c>
      <c r="J315" s="6">
        <v>1</v>
      </c>
    </row>
    <row r="316" spans="2:10" ht="18.75" customHeight="1">
      <c r="B316" s="5">
        <v>307</v>
      </c>
      <c r="C316" s="7" t="s">
        <v>1300</v>
      </c>
      <c r="D316" s="7">
        <v>5</v>
      </c>
      <c r="E316" s="7">
        <v>6</v>
      </c>
      <c r="F316" s="6">
        <v>0</v>
      </c>
      <c r="G316" s="6">
        <v>0</v>
      </c>
      <c r="H316" s="6">
        <v>1</v>
      </c>
      <c r="I316" s="7">
        <v>1</v>
      </c>
      <c r="J316" s="6">
        <v>1</v>
      </c>
    </row>
    <row r="317" spans="2:10" ht="18.75" customHeight="1">
      <c r="B317" s="7">
        <v>308</v>
      </c>
      <c r="C317" s="7" t="s">
        <v>1301</v>
      </c>
      <c r="D317" s="7">
        <v>5</v>
      </c>
      <c r="E317" s="7">
        <v>2</v>
      </c>
      <c r="F317" s="6">
        <v>0</v>
      </c>
      <c r="G317" s="6">
        <v>0</v>
      </c>
      <c r="H317" s="6">
        <v>1</v>
      </c>
      <c r="I317" s="6">
        <v>1</v>
      </c>
      <c r="J317" s="7">
        <v>5</v>
      </c>
    </row>
    <row r="318" spans="2:10" ht="18.75" customHeight="1">
      <c r="B318" s="5">
        <v>309</v>
      </c>
      <c r="C318" s="7" t="s">
        <v>1302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6">
        <v>5</v>
      </c>
    </row>
    <row r="319" spans="2:10" ht="18.75" customHeight="1">
      <c r="B319" s="5">
        <v>310</v>
      </c>
      <c r="C319" s="7" t="s">
        <v>1303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7">
        <v>1</v>
      </c>
      <c r="J319" s="6">
        <v>5</v>
      </c>
    </row>
    <row r="320" spans="2:10" ht="18.75" customHeight="1">
      <c r="B320" s="7">
        <v>311</v>
      </c>
      <c r="C320" s="7" t="s">
        <v>1304</v>
      </c>
      <c r="D320" s="7">
        <v>2</v>
      </c>
      <c r="E320" s="7">
        <v>10</v>
      </c>
      <c r="F320" s="6">
        <v>0</v>
      </c>
      <c r="G320" s="6">
        <v>0</v>
      </c>
      <c r="H320" s="6">
        <v>1</v>
      </c>
      <c r="I320" s="6">
        <v>1</v>
      </c>
      <c r="J320" s="7">
        <v>5</v>
      </c>
    </row>
    <row r="321" spans="2:10" ht="18.75" customHeight="1">
      <c r="B321" s="5">
        <v>312</v>
      </c>
      <c r="C321" s="7" t="s">
        <v>1305</v>
      </c>
      <c r="D321" s="7">
        <v>2</v>
      </c>
      <c r="E321" s="7">
        <v>8</v>
      </c>
      <c r="F321" s="6">
        <v>0</v>
      </c>
      <c r="G321" s="6">
        <v>0</v>
      </c>
      <c r="H321" s="6">
        <v>1</v>
      </c>
      <c r="I321" s="6">
        <v>1</v>
      </c>
      <c r="J321" s="6">
        <v>5</v>
      </c>
    </row>
    <row r="322" spans="2:10" ht="18.75" customHeight="1">
      <c r="B322" s="5">
        <v>313</v>
      </c>
      <c r="C322" s="7" t="s">
        <v>1306</v>
      </c>
      <c r="D322" s="7">
        <v>5</v>
      </c>
      <c r="E322" s="7">
        <v>4</v>
      </c>
      <c r="F322" s="6">
        <v>0</v>
      </c>
      <c r="G322" s="6">
        <v>0</v>
      </c>
      <c r="H322" s="6">
        <v>1</v>
      </c>
      <c r="I322" s="7">
        <v>1</v>
      </c>
      <c r="J322" s="6">
        <v>5</v>
      </c>
    </row>
    <row r="323" spans="2:10" ht="18.75" customHeight="1">
      <c r="B323" s="7">
        <v>314</v>
      </c>
      <c r="C323" s="7" t="s">
        <v>1306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6">
        <v>1</v>
      </c>
      <c r="J323" s="6">
        <v>5</v>
      </c>
    </row>
    <row r="324" spans="2:10" ht="18.75" customHeight="1">
      <c r="B324" s="5">
        <v>315</v>
      </c>
      <c r="C324" s="7" t="s">
        <v>1306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316</v>
      </c>
      <c r="C325" s="7" t="s">
        <v>1307</v>
      </c>
      <c r="D325" s="7">
        <v>5</v>
      </c>
      <c r="E325" s="7">
        <v>5</v>
      </c>
      <c r="F325" s="6">
        <v>0</v>
      </c>
      <c r="G325" s="6">
        <v>0</v>
      </c>
      <c r="H325" s="6">
        <v>1</v>
      </c>
      <c r="I325" s="7">
        <v>1</v>
      </c>
      <c r="J325" s="6">
        <v>5</v>
      </c>
    </row>
    <row r="326" spans="2:10" ht="18.75" customHeight="1">
      <c r="B326" s="7">
        <v>317</v>
      </c>
      <c r="C326" s="7" t="s">
        <v>1307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6">
        <v>1</v>
      </c>
      <c r="J326" s="6">
        <v>5</v>
      </c>
    </row>
    <row r="327" spans="2:10" ht="18.75" customHeight="1">
      <c r="B327" s="5">
        <v>318</v>
      </c>
      <c r="C327" s="7" t="s">
        <v>1307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319</v>
      </c>
      <c r="C328" s="7" t="s">
        <v>1308</v>
      </c>
      <c r="D328" s="7">
        <v>5</v>
      </c>
      <c r="E328" s="7">
        <v>4</v>
      </c>
      <c r="F328" s="6">
        <v>0</v>
      </c>
      <c r="G328" s="6">
        <v>0</v>
      </c>
      <c r="H328" s="6">
        <v>1</v>
      </c>
      <c r="I328" s="7">
        <v>1</v>
      </c>
      <c r="J328" s="6">
        <v>5</v>
      </c>
    </row>
    <row r="329" spans="2:10" ht="18.75" customHeight="1">
      <c r="B329" s="7">
        <v>320</v>
      </c>
      <c r="C329" s="7" t="s">
        <v>1308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6">
        <v>1</v>
      </c>
      <c r="J329" s="6">
        <v>5</v>
      </c>
    </row>
    <row r="330" spans="2:10" ht="18.75" customHeight="1">
      <c r="B330" s="5">
        <v>321</v>
      </c>
      <c r="C330" s="7" t="s">
        <v>1308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322</v>
      </c>
      <c r="C331" s="7" t="s">
        <v>1309</v>
      </c>
      <c r="D331" s="7">
        <v>5</v>
      </c>
      <c r="E331" s="7">
        <v>5</v>
      </c>
      <c r="F331" s="6">
        <v>0</v>
      </c>
      <c r="G331" s="6">
        <v>0</v>
      </c>
      <c r="H331" s="6">
        <v>1</v>
      </c>
      <c r="I331" s="7">
        <v>1</v>
      </c>
      <c r="J331" s="6">
        <v>5</v>
      </c>
    </row>
    <row r="332" spans="2:10" ht="18.75" customHeight="1">
      <c r="B332" s="7">
        <v>323</v>
      </c>
      <c r="C332" s="7" t="s">
        <v>1309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6">
        <v>1</v>
      </c>
      <c r="J332" s="6">
        <v>5</v>
      </c>
    </row>
    <row r="333" spans="2:10" ht="18.75" customHeight="1">
      <c r="B333" s="5">
        <v>324</v>
      </c>
      <c r="C333" s="7" t="s">
        <v>1310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325</v>
      </c>
      <c r="C334" s="7" t="s">
        <v>1310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7">
        <v>1</v>
      </c>
      <c r="J334" s="6">
        <v>5</v>
      </c>
    </row>
    <row r="335" spans="2:10" ht="18.75" customHeight="1">
      <c r="B335" s="7">
        <v>326</v>
      </c>
      <c r="C335" s="7" t="s">
        <v>1311</v>
      </c>
      <c r="D335" s="7">
        <v>5</v>
      </c>
      <c r="E335" s="7">
        <v>2</v>
      </c>
      <c r="F335" s="6">
        <v>0</v>
      </c>
      <c r="G335" s="6">
        <v>0</v>
      </c>
      <c r="H335" s="6">
        <v>1</v>
      </c>
      <c r="I335" s="6">
        <v>1</v>
      </c>
      <c r="J335" s="6">
        <v>5</v>
      </c>
    </row>
    <row r="336" spans="2:10" ht="18.75" customHeight="1">
      <c r="B336" s="5">
        <v>327</v>
      </c>
      <c r="C336" s="7" t="s">
        <v>1311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328</v>
      </c>
      <c r="C337" s="7" t="s">
        <v>1312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7">
        <v>1</v>
      </c>
      <c r="J337" s="6">
        <v>1</v>
      </c>
    </row>
    <row r="338" spans="2:10" ht="18.75" customHeight="1">
      <c r="B338" s="7">
        <v>329</v>
      </c>
      <c r="C338" s="7" t="s">
        <v>1312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6">
        <v>1</v>
      </c>
      <c r="J338" s="7">
        <v>1</v>
      </c>
    </row>
    <row r="339" spans="2:10" ht="18.75" customHeight="1">
      <c r="B339" s="5">
        <v>330</v>
      </c>
      <c r="C339" s="7" t="s">
        <v>1313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6">
        <v>1</v>
      </c>
    </row>
    <row r="340" spans="2:10" ht="18.75" customHeight="1">
      <c r="B340" s="5">
        <v>331</v>
      </c>
      <c r="C340" s="7" t="s">
        <v>1313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7">
        <v>1</v>
      </c>
      <c r="J340" s="6">
        <v>1</v>
      </c>
    </row>
    <row r="341" spans="2:10" ht="18.75" customHeight="1">
      <c r="B341" s="7">
        <v>332</v>
      </c>
      <c r="C341" s="7" t="s">
        <v>1314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6">
        <v>1</v>
      </c>
      <c r="J341" s="7">
        <v>1</v>
      </c>
    </row>
    <row r="342" spans="2:10" ht="18.75" customHeight="1">
      <c r="B342" s="5">
        <v>333</v>
      </c>
      <c r="C342" s="7" t="s">
        <v>1314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6">
        <v>1</v>
      </c>
    </row>
    <row r="343" spans="2:10" ht="18.75" customHeight="1">
      <c r="B343" s="5">
        <v>334</v>
      </c>
      <c r="C343" s="7" t="s">
        <v>1315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7">
        <v>1</v>
      </c>
      <c r="J343" s="6">
        <v>1</v>
      </c>
    </row>
    <row r="344" spans="2:10" ht="18.75" customHeight="1">
      <c r="B344" s="7">
        <v>335</v>
      </c>
      <c r="C344" s="7" t="s">
        <v>1315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6">
        <v>1</v>
      </c>
      <c r="J344" s="7">
        <v>1</v>
      </c>
    </row>
    <row r="345" spans="2:10" ht="18.75" customHeight="1">
      <c r="B345" s="5">
        <v>336</v>
      </c>
      <c r="C345" s="7" t="s">
        <v>1316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6">
        <v>1</v>
      </c>
    </row>
    <row r="346" spans="2:10" ht="18.75" customHeight="1">
      <c r="B346" s="5">
        <v>337</v>
      </c>
      <c r="C346" s="7" t="s">
        <v>1316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7">
        <v>1</v>
      </c>
      <c r="J346" s="6">
        <v>1</v>
      </c>
    </row>
    <row r="347" spans="2:10" ht="18.75" customHeight="1">
      <c r="B347" s="7">
        <v>338</v>
      </c>
      <c r="C347" s="7" t="s">
        <v>1317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6">
        <v>1</v>
      </c>
      <c r="J347" s="7">
        <v>1</v>
      </c>
    </row>
    <row r="348" spans="2:10" ht="18.75" customHeight="1">
      <c r="B348" s="5">
        <v>339</v>
      </c>
      <c r="C348" s="7" t="s">
        <v>1317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6">
        <v>1</v>
      </c>
    </row>
    <row r="349" spans="2:10" ht="18.75" customHeight="1">
      <c r="B349" s="5">
        <v>340</v>
      </c>
      <c r="C349" s="7" t="s">
        <v>1318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7">
        <v>1</v>
      </c>
      <c r="J349" s="6">
        <v>1</v>
      </c>
    </row>
    <row r="350" spans="2:10" ht="18.75" customHeight="1">
      <c r="B350" s="7">
        <v>341</v>
      </c>
      <c r="C350" s="7" t="s">
        <v>1318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6">
        <v>1</v>
      </c>
      <c r="J350" s="7">
        <v>1</v>
      </c>
    </row>
    <row r="351" spans="2:10" ht="18.75" customHeight="1">
      <c r="B351" s="5">
        <v>342</v>
      </c>
      <c r="C351" s="7" t="s">
        <v>1319</v>
      </c>
      <c r="D351" s="7">
        <v>2</v>
      </c>
      <c r="E351" s="7">
        <v>5</v>
      </c>
      <c r="F351" s="6">
        <v>0</v>
      </c>
      <c r="G351" s="6">
        <v>0</v>
      </c>
      <c r="H351" s="6">
        <v>1</v>
      </c>
      <c r="I351" s="6">
        <v>1</v>
      </c>
      <c r="J351" s="6">
        <v>5</v>
      </c>
    </row>
    <row r="352" spans="2:10" ht="18.75" customHeight="1">
      <c r="B352" s="5">
        <v>343</v>
      </c>
      <c r="C352" s="7" t="s">
        <v>1319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7">
        <v>1</v>
      </c>
      <c r="J352" s="6">
        <v>5</v>
      </c>
    </row>
    <row r="353" spans="2:10" ht="18.75" customHeight="1">
      <c r="B353" s="7">
        <v>344</v>
      </c>
      <c r="C353" s="7" t="s">
        <v>1320</v>
      </c>
      <c r="D353" s="7">
        <v>3</v>
      </c>
      <c r="E353" s="7">
        <v>6</v>
      </c>
      <c r="F353" s="6">
        <v>0</v>
      </c>
      <c r="G353" s="6">
        <v>0</v>
      </c>
      <c r="H353" s="6">
        <v>1</v>
      </c>
      <c r="I353" s="6">
        <v>1</v>
      </c>
      <c r="J353" s="7">
        <v>5</v>
      </c>
    </row>
    <row r="354" spans="2:10" ht="18.75" customHeight="1">
      <c r="B354" s="5">
        <v>345</v>
      </c>
      <c r="C354" s="7" t="s">
        <v>1320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6">
        <v>5</v>
      </c>
    </row>
    <row r="355" spans="2:10" ht="18.75" customHeight="1">
      <c r="B355" s="5">
        <v>346</v>
      </c>
      <c r="C355" s="7" t="s">
        <v>1321</v>
      </c>
      <c r="D355" s="7">
        <v>5</v>
      </c>
      <c r="E355" s="7">
        <v>1</v>
      </c>
      <c r="F355" s="6">
        <v>0</v>
      </c>
      <c r="G355" s="6">
        <v>0</v>
      </c>
      <c r="H355" s="6">
        <v>1</v>
      </c>
      <c r="I355" s="7">
        <v>1</v>
      </c>
      <c r="J355" s="6">
        <v>1</v>
      </c>
    </row>
    <row r="356" spans="2:10" ht="18.75" customHeight="1">
      <c r="B356" s="7">
        <v>347</v>
      </c>
      <c r="C356" s="7" t="s">
        <v>1321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6">
        <v>1</v>
      </c>
      <c r="J356" s="7">
        <v>1</v>
      </c>
    </row>
    <row r="357" spans="2:10" ht="18.75" customHeight="1">
      <c r="B357" s="5">
        <v>348</v>
      </c>
      <c r="C357" s="7" t="s">
        <v>1322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6">
        <v>1</v>
      </c>
    </row>
    <row r="358" spans="2:10" ht="18.75" customHeight="1">
      <c r="B358" s="5">
        <v>349</v>
      </c>
      <c r="C358" s="7" t="s">
        <v>1322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7">
        <v>1</v>
      </c>
      <c r="J358" s="6">
        <v>1</v>
      </c>
    </row>
    <row r="359" spans="2:10" ht="18.75" customHeight="1">
      <c r="B359" s="7">
        <v>350</v>
      </c>
      <c r="C359" s="7" t="s">
        <v>1323</v>
      </c>
      <c r="D359" s="7">
        <v>5</v>
      </c>
      <c r="E359" s="7">
        <v>2</v>
      </c>
      <c r="F359" s="6">
        <v>0</v>
      </c>
      <c r="G359" s="6">
        <v>0</v>
      </c>
      <c r="H359" s="6">
        <v>1</v>
      </c>
      <c r="I359" s="6">
        <v>1</v>
      </c>
      <c r="J359" s="7">
        <v>1</v>
      </c>
    </row>
    <row r="360" spans="2:10" ht="18.75" customHeight="1">
      <c r="B360" s="5">
        <v>351</v>
      </c>
      <c r="C360" s="7" t="s">
        <v>1323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6">
        <v>1</v>
      </c>
    </row>
    <row r="361" spans="2:10" ht="18.75" customHeight="1">
      <c r="B361" s="5">
        <v>352</v>
      </c>
      <c r="C361" s="7" t="s">
        <v>1324</v>
      </c>
      <c r="D361" s="7">
        <v>5</v>
      </c>
      <c r="E361" s="7">
        <v>1</v>
      </c>
      <c r="F361" s="6">
        <v>0</v>
      </c>
      <c r="G361" s="6">
        <v>0</v>
      </c>
      <c r="H361" s="6">
        <v>1</v>
      </c>
      <c r="I361" s="7">
        <v>1</v>
      </c>
      <c r="J361" s="6">
        <v>1</v>
      </c>
    </row>
    <row r="362" spans="2:10" ht="18.75" customHeight="1">
      <c r="B362" s="7">
        <v>353</v>
      </c>
      <c r="C362" s="7" t="s">
        <v>1324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6">
        <v>1</v>
      </c>
      <c r="J362" s="7">
        <v>1</v>
      </c>
    </row>
    <row r="363" spans="2:10" ht="18.75" customHeight="1">
      <c r="B363" s="5">
        <v>354</v>
      </c>
      <c r="C363" s="7" t="s">
        <v>1325</v>
      </c>
      <c r="D363" s="7">
        <v>5</v>
      </c>
      <c r="E363" s="7">
        <v>2</v>
      </c>
      <c r="F363" s="6">
        <v>0</v>
      </c>
      <c r="G363" s="6">
        <v>0</v>
      </c>
      <c r="H363" s="6">
        <v>1</v>
      </c>
      <c r="I363" s="6">
        <v>1</v>
      </c>
      <c r="J363" s="6">
        <v>1</v>
      </c>
    </row>
    <row r="364" spans="2:10" ht="18.75" customHeight="1">
      <c r="B364" s="5">
        <v>355</v>
      </c>
      <c r="C364" s="7" t="s">
        <v>1325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7">
        <v>1</v>
      </c>
      <c r="J364" s="6">
        <v>1</v>
      </c>
    </row>
    <row r="365" spans="2:10" ht="18.75" customHeight="1">
      <c r="B365" s="7">
        <v>356</v>
      </c>
      <c r="C365" s="7" t="s">
        <v>1326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6">
        <v>1</v>
      </c>
      <c r="J365" s="7">
        <v>1</v>
      </c>
    </row>
    <row r="366" spans="2:10" ht="18.75" customHeight="1">
      <c r="B366" s="5">
        <v>357</v>
      </c>
      <c r="C366" s="7" t="s">
        <v>1326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6">
        <v>1</v>
      </c>
    </row>
    <row r="367" spans="2:10" ht="18.75" customHeight="1">
      <c r="B367" s="5">
        <v>358</v>
      </c>
      <c r="C367" s="7" t="s">
        <v>1327</v>
      </c>
      <c r="D367" s="7">
        <v>5</v>
      </c>
      <c r="E367" s="7">
        <v>1</v>
      </c>
      <c r="F367" s="6">
        <v>0</v>
      </c>
      <c r="G367" s="6">
        <v>0</v>
      </c>
      <c r="H367" s="6">
        <v>1</v>
      </c>
      <c r="I367" s="7">
        <v>1</v>
      </c>
      <c r="J367" s="6">
        <v>1</v>
      </c>
    </row>
    <row r="368" spans="2:10" ht="18.75" customHeight="1">
      <c r="B368" s="7">
        <v>359</v>
      </c>
      <c r="C368" s="7" t="s">
        <v>1327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6">
        <v>1</v>
      </c>
      <c r="J368" s="7">
        <v>1</v>
      </c>
    </row>
    <row r="369" spans="2:10" ht="18.75" customHeight="1">
      <c r="B369" s="5">
        <v>360</v>
      </c>
      <c r="C369" s="7" t="s">
        <v>1328</v>
      </c>
      <c r="D369" s="7">
        <v>5</v>
      </c>
      <c r="E369" s="7">
        <v>3</v>
      </c>
      <c r="F369" s="6">
        <v>0</v>
      </c>
      <c r="G369" s="6">
        <v>0</v>
      </c>
      <c r="H369" s="6">
        <v>1</v>
      </c>
      <c r="I369" s="6">
        <v>1</v>
      </c>
      <c r="J369" s="6">
        <v>1</v>
      </c>
    </row>
    <row r="370" spans="2:10" ht="18.75" customHeight="1">
      <c r="B370" s="5">
        <v>361</v>
      </c>
      <c r="C370" s="7" t="s">
        <v>1328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7">
        <v>1</v>
      </c>
      <c r="J370" s="6">
        <v>1</v>
      </c>
    </row>
    <row r="371" spans="2:10" ht="18.75" customHeight="1">
      <c r="B371" s="7">
        <v>362</v>
      </c>
      <c r="C371" s="7" t="s">
        <v>1329</v>
      </c>
      <c r="D371" s="7">
        <v>5</v>
      </c>
      <c r="E371" s="7">
        <v>2</v>
      </c>
      <c r="F371" s="6">
        <v>0</v>
      </c>
      <c r="G371" s="6">
        <v>0</v>
      </c>
      <c r="H371" s="6">
        <v>1</v>
      </c>
      <c r="I371" s="6">
        <v>1</v>
      </c>
      <c r="J371" s="7">
        <v>1</v>
      </c>
    </row>
    <row r="372" spans="2:10" ht="18.75" customHeight="1">
      <c r="B372" s="5">
        <v>363</v>
      </c>
      <c r="C372" s="7" t="s">
        <v>1329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6">
        <v>1</v>
      </c>
    </row>
    <row r="373" spans="2:10" ht="18.75" customHeight="1">
      <c r="B373" s="5">
        <v>364</v>
      </c>
      <c r="C373" s="7" t="s">
        <v>1330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7">
        <v>1</v>
      </c>
      <c r="J373" s="6">
        <v>1</v>
      </c>
    </row>
    <row r="374" spans="2:10" ht="18.75" customHeight="1">
      <c r="B374" s="7">
        <v>365</v>
      </c>
      <c r="C374" s="7" t="s">
        <v>1330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6">
        <v>1</v>
      </c>
      <c r="J374" s="7">
        <v>1</v>
      </c>
    </row>
    <row r="375" spans="2:10" ht="18.75" customHeight="1">
      <c r="B375" s="5">
        <v>366</v>
      </c>
      <c r="C375" s="7" t="s">
        <v>1331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6">
        <v>1</v>
      </c>
    </row>
    <row r="376" spans="2:10" ht="18.75" customHeight="1">
      <c r="B376" s="5">
        <v>367</v>
      </c>
      <c r="C376" s="7" t="s">
        <v>1331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7">
        <v>1</v>
      </c>
      <c r="J376" s="6">
        <v>1</v>
      </c>
    </row>
    <row r="377" spans="2:10" ht="18.75" customHeight="1">
      <c r="B377" s="7">
        <v>368</v>
      </c>
      <c r="C377" s="7" t="s">
        <v>1332</v>
      </c>
      <c r="D377" s="7">
        <v>2</v>
      </c>
      <c r="E377" s="7">
        <v>5</v>
      </c>
      <c r="F377" s="6">
        <v>0</v>
      </c>
      <c r="G377" s="6">
        <v>0</v>
      </c>
      <c r="H377" s="6">
        <v>1</v>
      </c>
      <c r="I377" s="6">
        <v>1</v>
      </c>
      <c r="J377" s="7">
        <v>5</v>
      </c>
    </row>
    <row r="378" spans="2:10" ht="18.75" customHeight="1">
      <c r="B378" s="5">
        <v>369</v>
      </c>
      <c r="C378" s="7" t="s">
        <v>1333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6">
        <v>5</v>
      </c>
    </row>
    <row r="379" spans="2:10" ht="18.75" customHeight="1">
      <c r="B379" s="5">
        <v>370</v>
      </c>
      <c r="C379" s="7" t="s">
        <v>1334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7">
        <v>1</v>
      </c>
      <c r="J379" s="6">
        <v>5</v>
      </c>
    </row>
    <row r="380" spans="2:10" ht="18.75" customHeight="1">
      <c r="B380" s="7">
        <v>371</v>
      </c>
      <c r="C380" s="7" t="s">
        <v>1335</v>
      </c>
      <c r="D380" s="7">
        <v>5</v>
      </c>
      <c r="E380" s="7">
        <v>2</v>
      </c>
      <c r="F380" s="6">
        <v>0</v>
      </c>
      <c r="G380" s="6">
        <v>0</v>
      </c>
      <c r="H380" s="6">
        <v>1</v>
      </c>
      <c r="I380" s="6">
        <v>1</v>
      </c>
      <c r="J380" s="7">
        <v>1</v>
      </c>
    </row>
    <row r="381" spans="2:10" ht="18.75" customHeight="1">
      <c r="B381" s="5">
        <v>372</v>
      </c>
      <c r="C381" s="7" t="s">
        <v>1335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6">
        <v>1</v>
      </c>
    </row>
    <row r="382" spans="2:10" ht="18.75" customHeight="1">
      <c r="B382" s="5">
        <v>373</v>
      </c>
      <c r="C382" s="7" t="s">
        <v>1336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7">
        <v>1</v>
      </c>
      <c r="J382" s="6">
        <v>1</v>
      </c>
    </row>
    <row r="383" spans="2:10" ht="18.75" customHeight="1">
      <c r="B383" s="7">
        <v>374</v>
      </c>
      <c r="C383" s="7" t="s">
        <v>1336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6">
        <v>1</v>
      </c>
      <c r="J383" s="7">
        <v>1</v>
      </c>
    </row>
    <row r="384" spans="2:10" ht="18.75" customHeight="1">
      <c r="B384" s="5">
        <v>375</v>
      </c>
      <c r="C384" s="7" t="s">
        <v>1337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6">
        <v>1</v>
      </c>
    </row>
    <row r="385" spans="2:10" ht="18.75" customHeight="1">
      <c r="B385" s="5">
        <v>376</v>
      </c>
      <c r="C385" s="7" t="s">
        <v>1337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7">
        <v>1</v>
      </c>
      <c r="J385" s="6">
        <v>1</v>
      </c>
    </row>
    <row r="386" spans="2:10" ht="18.75" customHeight="1">
      <c r="B386" s="7">
        <v>377</v>
      </c>
      <c r="C386" s="7" t="s">
        <v>1338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6">
        <v>1</v>
      </c>
      <c r="J386" s="7">
        <v>1</v>
      </c>
    </row>
    <row r="387" spans="2:10" ht="18.75" customHeight="1">
      <c r="B387" s="5">
        <v>378</v>
      </c>
      <c r="C387" s="7" t="s">
        <v>1338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6">
        <v>1</v>
      </c>
    </row>
    <row r="388" spans="2:10" ht="18.75" customHeight="1">
      <c r="B388" s="5">
        <v>379</v>
      </c>
      <c r="C388" s="7" t="s">
        <v>1339</v>
      </c>
      <c r="D388" s="7">
        <v>3</v>
      </c>
      <c r="E388" s="7">
        <v>6</v>
      </c>
      <c r="F388" s="6">
        <v>0</v>
      </c>
      <c r="G388" s="6">
        <v>0</v>
      </c>
      <c r="H388" s="6">
        <v>1</v>
      </c>
      <c r="I388" s="7">
        <v>1</v>
      </c>
      <c r="J388" s="6">
        <v>1</v>
      </c>
    </row>
    <row r="389" spans="2:10" ht="18.75" customHeight="1">
      <c r="B389" s="7">
        <v>380</v>
      </c>
      <c r="C389" s="7" t="s">
        <v>1339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6">
        <v>1</v>
      </c>
      <c r="J389" s="7">
        <v>5</v>
      </c>
    </row>
    <row r="390" spans="2:10" ht="18.75" customHeight="1">
      <c r="B390" s="5">
        <v>381</v>
      </c>
      <c r="C390" s="7" t="s">
        <v>1340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6">
        <v>1</v>
      </c>
    </row>
    <row r="391" spans="2:10" ht="18.75" customHeight="1">
      <c r="B391" s="5">
        <v>382</v>
      </c>
      <c r="C391" s="7" t="s">
        <v>1340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7">
        <v>1</v>
      </c>
      <c r="J391" s="6">
        <v>5</v>
      </c>
    </row>
    <row r="392" spans="2:10" ht="18.75" customHeight="1">
      <c r="B392" s="7">
        <v>383</v>
      </c>
      <c r="C392" s="7" t="s">
        <v>1341</v>
      </c>
      <c r="D392" s="7">
        <v>5</v>
      </c>
      <c r="E392" s="7">
        <v>2</v>
      </c>
      <c r="F392" s="6">
        <v>0</v>
      </c>
      <c r="G392" s="6">
        <v>0</v>
      </c>
      <c r="H392" s="6">
        <v>1</v>
      </c>
      <c r="I392" s="6">
        <v>1</v>
      </c>
      <c r="J392" s="7">
        <v>1</v>
      </c>
    </row>
    <row r="393" spans="2:10" ht="18.75" customHeight="1">
      <c r="B393" s="5">
        <v>384</v>
      </c>
      <c r="C393" s="7" t="s">
        <v>1341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6">
        <v>1</v>
      </c>
    </row>
    <row r="394" spans="2:10" ht="18.75" customHeight="1">
      <c r="B394" s="5">
        <v>385</v>
      </c>
      <c r="C394" s="7" t="s">
        <v>1342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7">
        <v>1</v>
      </c>
      <c r="J394" s="6">
        <v>1</v>
      </c>
    </row>
    <row r="395" spans="2:10" ht="18.75" customHeight="1">
      <c r="B395" s="7">
        <v>386</v>
      </c>
      <c r="C395" s="7" t="s">
        <v>1342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6">
        <v>1</v>
      </c>
      <c r="J395" s="7">
        <v>1</v>
      </c>
    </row>
    <row r="396" spans="2:10" ht="18.75" customHeight="1">
      <c r="B396" s="5">
        <v>387</v>
      </c>
      <c r="C396" s="7" t="s">
        <v>1343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6">
        <v>1</v>
      </c>
    </row>
    <row r="397" spans="2:10" ht="18.75" customHeight="1">
      <c r="B397" s="5">
        <v>388</v>
      </c>
      <c r="C397" s="7" t="s">
        <v>1343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7">
        <v>1</v>
      </c>
      <c r="J397" s="6">
        <v>1</v>
      </c>
    </row>
    <row r="398" spans="2:10" ht="18.75" customHeight="1">
      <c r="B398" s="7">
        <v>389</v>
      </c>
      <c r="C398" s="7" t="s">
        <v>1344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6">
        <v>1</v>
      </c>
      <c r="J398" s="7">
        <v>1</v>
      </c>
    </row>
    <row r="399" spans="2:10" ht="18.75" customHeight="1">
      <c r="B399" s="5">
        <v>390</v>
      </c>
      <c r="C399" s="7" t="s">
        <v>1344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6">
        <v>1</v>
      </c>
    </row>
    <row r="400" spans="2:10" ht="18.75" customHeight="1">
      <c r="B400" s="5">
        <v>391</v>
      </c>
      <c r="C400" s="7" t="s">
        <v>1345</v>
      </c>
      <c r="D400" s="7">
        <v>3</v>
      </c>
      <c r="E400" s="7">
        <v>6</v>
      </c>
      <c r="F400" s="6">
        <v>0</v>
      </c>
      <c r="G400" s="6">
        <v>0</v>
      </c>
      <c r="H400" s="6">
        <v>1</v>
      </c>
      <c r="I400" s="7">
        <v>1</v>
      </c>
      <c r="J400" s="6">
        <v>1</v>
      </c>
    </row>
    <row r="401" spans="2:10" ht="18.75" customHeight="1">
      <c r="B401" s="7">
        <v>392</v>
      </c>
      <c r="C401" s="7" t="s">
        <v>1345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6">
        <v>1</v>
      </c>
      <c r="J401" s="7">
        <v>5</v>
      </c>
    </row>
    <row r="402" spans="2:10" ht="18.75" customHeight="1">
      <c r="B402" s="5">
        <v>393</v>
      </c>
      <c r="C402" s="7" t="s">
        <v>1346</v>
      </c>
      <c r="D402" s="7">
        <v>5</v>
      </c>
      <c r="E402" s="7">
        <v>3</v>
      </c>
      <c r="F402" s="6">
        <v>0</v>
      </c>
      <c r="G402" s="6">
        <v>0</v>
      </c>
      <c r="H402" s="6">
        <v>1</v>
      </c>
      <c r="I402" s="6">
        <v>1</v>
      </c>
      <c r="J402" s="6">
        <v>1</v>
      </c>
    </row>
    <row r="403" spans="2:10" ht="18.75" customHeight="1">
      <c r="B403" s="5">
        <v>394</v>
      </c>
      <c r="C403" s="7" t="s">
        <v>1347</v>
      </c>
      <c r="D403" s="7">
        <v>3</v>
      </c>
      <c r="E403" s="7">
        <v>6</v>
      </c>
      <c r="F403" s="6">
        <v>0</v>
      </c>
      <c r="G403" s="6">
        <v>0</v>
      </c>
      <c r="H403" s="6">
        <v>1</v>
      </c>
      <c r="I403" s="7">
        <v>1</v>
      </c>
      <c r="J403" s="6">
        <v>1</v>
      </c>
    </row>
    <row r="404" spans="2:10" ht="18.75" customHeight="1">
      <c r="B404" s="7">
        <v>395</v>
      </c>
      <c r="C404" s="7" t="s">
        <v>1346</v>
      </c>
      <c r="D404" s="7">
        <v>5</v>
      </c>
      <c r="E404" s="7">
        <v>3</v>
      </c>
      <c r="F404" s="6">
        <v>0</v>
      </c>
      <c r="G404" s="6">
        <v>0</v>
      </c>
      <c r="H404" s="6">
        <v>1</v>
      </c>
      <c r="I404" s="6">
        <v>1</v>
      </c>
      <c r="J404" s="7">
        <v>5</v>
      </c>
    </row>
    <row r="405" spans="2:10" ht="18.75" customHeight="1">
      <c r="B405" s="5">
        <v>396</v>
      </c>
      <c r="C405" s="7" t="s">
        <v>1347</v>
      </c>
      <c r="D405" s="7">
        <v>3</v>
      </c>
      <c r="E405" s="7">
        <v>6</v>
      </c>
      <c r="F405" s="6">
        <v>0</v>
      </c>
      <c r="G405" s="6">
        <v>0</v>
      </c>
      <c r="H405" s="6">
        <v>1</v>
      </c>
      <c r="I405" s="6">
        <v>1</v>
      </c>
      <c r="J405" s="6">
        <v>5</v>
      </c>
    </row>
    <row r="406" spans="2:10" ht="18.75" customHeight="1">
      <c r="B406" s="5">
        <v>397</v>
      </c>
      <c r="C406" s="7" t="s">
        <v>1348</v>
      </c>
      <c r="D406" s="7">
        <v>5</v>
      </c>
      <c r="E406" s="7">
        <v>3</v>
      </c>
      <c r="F406" s="6">
        <v>0</v>
      </c>
      <c r="G406" s="6">
        <v>0</v>
      </c>
      <c r="H406" s="6">
        <v>1</v>
      </c>
      <c r="I406" s="7">
        <v>1</v>
      </c>
      <c r="J406" s="6">
        <v>5</v>
      </c>
    </row>
    <row r="407" spans="2:10" ht="18.75" customHeight="1">
      <c r="B407" s="7">
        <v>398</v>
      </c>
      <c r="C407" s="7" t="s">
        <v>1348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6">
        <v>1</v>
      </c>
      <c r="J407" s="7">
        <v>5</v>
      </c>
    </row>
    <row r="408" spans="2:10" ht="18.75" customHeight="1">
      <c r="B408" s="5">
        <v>399</v>
      </c>
      <c r="C408" s="7" t="s">
        <v>1349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6">
        <v>5</v>
      </c>
    </row>
    <row r="409" spans="2:10" ht="18.75" customHeight="1">
      <c r="B409" s="5">
        <v>400</v>
      </c>
      <c r="C409" s="7" t="s">
        <v>1349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7">
        <v>1</v>
      </c>
      <c r="J409" s="6">
        <v>5</v>
      </c>
    </row>
    <row r="410" spans="2:10" ht="18.75" customHeight="1">
      <c r="B410" s="7">
        <v>401</v>
      </c>
      <c r="C410" s="7" t="s">
        <v>1350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6">
        <v>1</v>
      </c>
      <c r="J410" s="7">
        <v>5</v>
      </c>
    </row>
    <row r="411" spans="2:10" ht="18.75" customHeight="1">
      <c r="B411" s="5">
        <v>402</v>
      </c>
      <c r="C411" s="7" t="s">
        <v>1350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6">
        <v>5</v>
      </c>
    </row>
    <row r="412" spans="2:10" ht="18.75" customHeight="1">
      <c r="B412" s="5">
        <v>403</v>
      </c>
      <c r="C412" s="7" t="s">
        <v>1351</v>
      </c>
      <c r="D412" s="7">
        <v>5</v>
      </c>
      <c r="E412" s="7">
        <v>4</v>
      </c>
      <c r="F412" s="6">
        <v>0</v>
      </c>
      <c r="G412" s="6">
        <v>0</v>
      </c>
      <c r="H412" s="6">
        <v>1</v>
      </c>
      <c r="I412" s="7">
        <v>1</v>
      </c>
      <c r="J412" s="6">
        <v>1</v>
      </c>
    </row>
    <row r="413" spans="2:10" ht="18.75" customHeight="1">
      <c r="B413" s="7">
        <v>404</v>
      </c>
      <c r="C413" s="7" t="s">
        <v>1351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6">
        <v>1</v>
      </c>
      <c r="J413" s="7">
        <v>1</v>
      </c>
    </row>
    <row r="414" spans="2:10" ht="18.75" customHeight="1">
      <c r="B414" s="5">
        <v>405</v>
      </c>
      <c r="C414" s="7" t="s">
        <v>1352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6">
        <v>1</v>
      </c>
    </row>
    <row r="415" spans="2:10" ht="18.75" customHeight="1">
      <c r="B415" s="5">
        <v>406</v>
      </c>
      <c r="C415" s="7" t="s">
        <v>1352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7">
        <v>1</v>
      </c>
      <c r="J415" s="6">
        <v>1</v>
      </c>
    </row>
    <row r="416" spans="2:10" ht="18.75" customHeight="1">
      <c r="B416" s="7">
        <v>407</v>
      </c>
      <c r="C416" s="7" t="s">
        <v>1353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6">
        <v>1</v>
      </c>
      <c r="J416" s="7">
        <v>1</v>
      </c>
    </row>
    <row r="417" spans="2:10" ht="18.75" customHeight="1">
      <c r="B417" s="5">
        <v>408</v>
      </c>
      <c r="C417" s="7" t="s">
        <v>1353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6">
        <v>1</v>
      </c>
    </row>
    <row r="418" spans="2:10" ht="18.75" customHeight="1">
      <c r="B418" s="5">
        <v>409</v>
      </c>
      <c r="C418" s="7" t="s">
        <v>1354</v>
      </c>
      <c r="D418" s="7">
        <v>5</v>
      </c>
      <c r="E418" s="7">
        <v>3</v>
      </c>
      <c r="F418" s="6">
        <v>0</v>
      </c>
      <c r="G418" s="6">
        <v>0</v>
      </c>
      <c r="H418" s="6">
        <v>1</v>
      </c>
      <c r="I418" s="7">
        <v>1</v>
      </c>
      <c r="J418" s="6">
        <v>1</v>
      </c>
    </row>
    <row r="419" spans="2:10" ht="18.75" customHeight="1">
      <c r="B419" s="7">
        <v>410</v>
      </c>
      <c r="C419" s="7" t="s">
        <v>1354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6">
        <v>1</v>
      </c>
      <c r="J419" s="7">
        <v>1</v>
      </c>
    </row>
    <row r="420" spans="2:10" ht="18.75" customHeight="1">
      <c r="B420" s="5">
        <v>411</v>
      </c>
      <c r="C420" s="7" t="s">
        <v>1355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6">
        <v>1</v>
      </c>
    </row>
    <row r="421" spans="2:10" ht="18.75" customHeight="1">
      <c r="B421" s="5">
        <v>412</v>
      </c>
      <c r="C421" s="7" t="s">
        <v>1355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7">
        <v>1</v>
      </c>
      <c r="J421" s="6">
        <v>1</v>
      </c>
    </row>
    <row r="422" spans="2:10" ht="18.75" customHeight="1">
      <c r="B422" s="7">
        <v>413</v>
      </c>
      <c r="C422" s="7" t="s">
        <v>1356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6">
        <v>1</v>
      </c>
      <c r="J422" s="7">
        <v>1</v>
      </c>
    </row>
    <row r="423" spans="2:10" ht="18.75" customHeight="1">
      <c r="B423" s="5">
        <v>414</v>
      </c>
      <c r="C423" s="7" t="s">
        <v>1356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6">
        <v>1</v>
      </c>
    </row>
    <row r="424" spans="2:10" ht="18.75" customHeight="1">
      <c r="B424" s="5">
        <v>415</v>
      </c>
      <c r="C424" s="7" t="s">
        <v>1357</v>
      </c>
      <c r="D424" s="7">
        <v>5</v>
      </c>
      <c r="E424" s="7">
        <v>4</v>
      </c>
      <c r="F424" s="6">
        <v>0</v>
      </c>
      <c r="G424" s="6">
        <v>0</v>
      </c>
      <c r="H424" s="6">
        <v>1</v>
      </c>
      <c r="I424" s="7">
        <v>1</v>
      </c>
      <c r="J424" s="6">
        <v>1</v>
      </c>
    </row>
    <row r="425" spans="2:10" ht="18.75" customHeight="1">
      <c r="B425" s="7">
        <v>416</v>
      </c>
      <c r="C425" s="7" t="s">
        <v>1357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6">
        <v>1</v>
      </c>
      <c r="J425" s="7">
        <v>1</v>
      </c>
    </row>
    <row r="426" spans="2:10" ht="18.75" customHeight="1">
      <c r="B426" s="5">
        <v>417</v>
      </c>
      <c r="C426" s="7" t="s">
        <v>1358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6">
        <v>1</v>
      </c>
    </row>
    <row r="427" spans="2:10" ht="18.75" customHeight="1">
      <c r="B427" s="5">
        <v>418</v>
      </c>
      <c r="C427" s="7" t="s">
        <v>1358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7">
        <v>1</v>
      </c>
      <c r="J427" s="6">
        <v>1</v>
      </c>
    </row>
    <row r="428" spans="2:10" ht="18.75" customHeight="1">
      <c r="B428" s="7">
        <v>419</v>
      </c>
      <c r="C428" s="7" t="s">
        <v>1359</v>
      </c>
      <c r="D428" s="7">
        <v>5</v>
      </c>
      <c r="E428" s="7">
        <v>3</v>
      </c>
      <c r="F428" s="6">
        <v>0</v>
      </c>
      <c r="G428" s="6">
        <v>0</v>
      </c>
      <c r="H428" s="6">
        <v>1</v>
      </c>
      <c r="I428" s="6">
        <v>1</v>
      </c>
      <c r="J428" s="7">
        <v>1</v>
      </c>
    </row>
    <row r="429" spans="2:10" ht="18.75" customHeight="1">
      <c r="B429" s="5">
        <v>420</v>
      </c>
      <c r="C429" s="7" t="s">
        <v>1359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6">
        <v>1</v>
      </c>
    </row>
    <row r="430" spans="2:10" ht="18.75" customHeight="1">
      <c r="B430" s="5">
        <v>421</v>
      </c>
      <c r="C430" s="7" t="s">
        <v>1360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7">
        <v>1</v>
      </c>
      <c r="J430" s="6">
        <v>1</v>
      </c>
    </row>
    <row r="431" spans="2:10" ht="18.75" customHeight="1">
      <c r="B431" s="7">
        <v>422</v>
      </c>
      <c r="C431" s="7" t="s">
        <v>1361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6">
        <v>1</v>
      </c>
      <c r="J431" s="7">
        <v>1</v>
      </c>
    </row>
    <row r="432" spans="2:10" ht="18.75" customHeight="1">
      <c r="B432" s="5">
        <v>423</v>
      </c>
      <c r="C432" s="7" t="s">
        <v>1362</v>
      </c>
      <c r="D432" s="7">
        <v>5</v>
      </c>
      <c r="E432" s="7">
        <v>4</v>
      </c>
      <c r="F432" s="6">
        <v>0</v>
      </c>
      <c r="G432" s="6">
        <v>0</v>
      </c>
      <c r="H432" s="6">
        <v>1</v>
      </c>
      <c r="I432" s="6">
        <v>1</v>
      </c>
      <c r="J432" s="6">
        <v>5</v>
      </c>
    </row>
    <row r="433" spans="2:10" ht="18.75" customHeight="1">
      <c r="B433" s="5">
        <v>424</v>
      </c>
      <c r="C433" s="7" t="s">
        <v>1363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7">
        <v>1</v>
      </c>
      <c r="J433" s="6">
        <v>5</v>
      </c>
    </row>
    <row r="434" spans="2:10" ht="18.75" customHeight="1">
      <c r="B434" s="7">
        <v>425</v>
      </c>
      <c r="C434" s="7" t="s">
        <v>1364</v>
      </c>
      <c r="D434" s="7">
        <v>5</v>
      </c>
      <c r="E434" s="7">
        <v>5</v>
      </c>
      <c r="F434" s="6">
        <v>0</v>
      </c>
      <c r="G434" s="6">
        <v>0</v>
      </c>
      <c r="H434" s="6">
        <v>1</v>
      </c>
      <c r="I434" s="6">
        <v>1</v>
      </c>
      <c r="J434" s="7">
        <v>5</v>
      </c>
    </row>
    <row r="435" spans="2:10" ht="18.75" customHeight="1">
      <c r="B435" s="5">
        <v>426</v>
      </c>
      <c r="C435" s="7" t="s">
        <v>1365</v>
      </c>
      <c r="D435" s="7">
        <v>5</v>
      </c>
      <c r="E435" s="7">
        <v>1</v>
      </c>
      <c r="F435" s="6">
        <v>0</v>
      </c>
      <c r="G435" s="6">
        <v>0</v>
      </c>
      <c r="H435" s="6">
        <v>1</v>
      </c>
      <c r="I435" s="6">
        <v>1</v>
      </c>
      <c r="J435" s="6">
        <v>5</v>
      </c>
    </row>
    <row r="436" spans="2:10" ht="18.75" customHeight="1">
      <c r="B436" s="5">
        <v>427</v>
      </c>
      <c r="C436" s="7" t="s">
        <v>1366</v>
      </c>
      <c r="D436" s="7">
        <v>5</v>
      </c>
      <c r="E436" s="7">
        <v>3</v>
      </c>
      <c r="F436" s="6">
        <v>0</v>
      </c>
      <c r="G436" s="6">
        <v>0</v>
      </c>
      <c r="H436" s="6">
        <v>1</v>
      </c>
      <c r="I436" s="7">
        <v>1</v>
      </c>
      <c r="J436" s="6">
        <v>1</v>
      </c>
    </row>
    <row r="437" spans="2:10" ht="18.75" customHeight="1">
      <c r="B437" s="7">
        <v>428</v>
      </c>
      <c r="C437" s="7" t="s">
        <v>1366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6">
        <v>1</v>
      </c>
      <c r="J437" s="7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B4" workbookViewId="0">
      <pane xSplit="3" ySplit="6" topLeftCell="E16" activePane="bottomRight" state="frozen"/>
      <selection activeCell="E8" sqref="E8"/>
      <selection pane="topRight" activeCell="E8" sqref="E8"/>
      <selection pane="bottomLeft" activeCell="E8" sqref="E8"/>
      <selection pane="bottomRight" activeCell="E8" sqref="E8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36" ht="12" customHeight="1"/>
    <row r="2" spans="1:36" ht="40.5" customHeight="1">
      <c r="A2" s="57" t="s">
        <v>0</v>
      </c>
      <c r="B2" s="7" t="s">
        <v>301</v>
      </c>
      <c r="C2" s="13"/>
    </row>
    <row r="3" spans="1:36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8.75" customHeight="1">
      <c r="A4" s="57" t="s">
        <v>2</v>
      </c>
      <c r="B4" s="3" t="s">
        <v>3</v>
      </c>
      <c r="C4" s="3" t="s">
        <v>302</v>
      </c>
      <c r="D4" s="3" t="s">
        <v>15</v>
      </c>
      <c r="E4" s="3" t="s">
        <v>258</v>
      </c>
      <c r="F4" s="3" t="s">
        <v>306</v>
      </c>
      <c r="G4" s="3" t="s">
        <v>243</v>
      </c>
      <c r="H4" s="3"/>
      <c r="I4" s="3"/>
      <c r="J4" s="3"/>
      <c r="K4" s="3"/>
      <c r="L4" s="3"/>
      <c r="M4" s="3" t="s">
        <v>308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3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8.75" customHeight="1">
      <c r="A7" s="57" t="s">
        <v>6</v>
      </c>
      <c r="B7" s="4" t="s">
        <v>7</v>
      </c>
      <c r="C7" s="4" t="s">
        <v>20</v>
      </c>
      <c r="D7" s="4" t="s">
        <v>8</v>
      </c>
      <c r="E7" s="4" t="s">
        <v>8</v>
      </c>
      <c r="F7" s="4" t="s">
        <v>20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</row>
    <row r="8" spans="1:36" ht="76.5" customHeight="1">
      <c r="A8" s="57" t="s">
        <v>10</v>
      </c>
      <c r="B8" s="5" t="s">
        <v>11</v>
      </c>
      <c r="C8" s="5" t="s">
        <v>303</v>
      </c>
      <c r="D8" s="5" t="s">
        <v>305</v>
      </c>
      <c r="E8" s="5" t="s">
        <v>266</v>
      </c>
      <c r="F8" s="6" t="s">
        <v>307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5"/>
      <c r="T8" s="5"/>
      <c r="U8" s="5"/>
      <c r="V8" s="5"/>
      <c r="W8" s="5"/>
      <c r="X8" s="5"/>
      <c r="Y8" s="5"/>
      <c r="Z8" s="6"/>
      <c r="AA8" s="6"/>
      <c r="AB8" s="5"/>
      <c r="AC8" s="5"/>
      <c r="AD8" s="5"/>
      <c r="AE8" s="5"/>
      <c r="AF8" s="5"/>
      <c r="AG8" s="5"/>
      <c r="AH8" s="5"/>
      <c r="AI8" s="5"/>
      <c r="AJ8" s="5"/>
    </row>
    <row r="9" spans="1:36" ht="191.25" customHeight="1">
      <c r="A9" s="57" t="s">
        <v>12</v>
      </c>
      <c r="B9" s="18"/>
      <c r="C9" s="19" t="s">
        <v>304</v>
      </c>
      <c r="D9" s="19"/>
      <c r="E9" s="19"/>
      <c r="F9" s="20"/>
      <c r="G9" s="19" t="s">
        <v>309</v>
      </c>
      <c r="H9" s="19"/>
      <c r="I9" s="19"/>
      <c r="J9" s="19" t="s">
        <v>309</v>
      </c>
      <c r="K9" s="19"/>
      <c r="L9" s="19"/>
      <c r="M9" s="19" t="s">
        <v>309</v>
      </c>
      <c r="N9" s="18"/>
      <c r="O9" s="19"/>
      <c r="P9" s="19" t="s">
        <v>309</v>
      </c>
      <c r="Q9" s="19"/>
      <c r="R9" s="19"/>
      <c r="S9" s="19"/>
      <c r="T9" s="19"/>
      <c r="U9" s="19"/>
      <c r="V9" s="19"/>
      <c r="W9" s="19"/>
      <c r="X9" s="18"/>
      <c r="Y9" s="18"/>
      <c r="Z9" s="19"/>
      <c r="AA9" s="19"/>
      <c r="AB9" s="19"/>
      <c r="AC9" s="6"/>
      <c r="AD9" s="6"/>
      <c r="AE9" s="6"/>
      <c r="AF9" s="6"/>
      <c r="AG9" s="6"/>
      <c r="AH9" s="6"/>
      <c r="AI9" s="6"/>
      <c r="AJ9" s="6"/>
    </row>
    <row r="10" spans="1:36" ht="18.75" customHeight="1">
      <c r="A10" s="58" t="s">
        <v>13</v>
      </c>
      <c r="B10" s="14">
        <v>100010001</v>
      </c>
      <c r="C10" s="14">
        <v>1</v>
      </c>
      <c r="D10" s="14" t="s">
        <v>310</v>
      </c>
      <c r="E10" s="14"/>
      <c r="F10" s="5">
        <v>4001001</v>
      </c>
      <c r="G10" s="14"/>
      <c r="H10" s="22"/>
      <c r="I10" s="23"/>
      <c r="J10" s="14"/>
      <c r="K10" s="14"/>
      <c r="L10" s="22"/>
      <c r="M10" s="14">
        <v>1</v>
      </c>
      <c r="N10" s="14">
        <v>100010001</v>
      </c>
      <c r="O10" s="22"/>
      <c r="P10" s="14"/>
      <c r="Q10" s="14"/>
      <c r="R10" s="22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7"/>
      <c r="AE10" s="7"/>
      <c r="AF10" s="7"/>
      <c r="AG10" s="7"/>
      <c r="AH10" s="7"/>
      <c r="AI10" s="7"/>
      <c r="AJ10" s="7"/>
    </row>
    <row r="11" spans="1:36" ht="18.75" customHeight="1">
      <c r="A11" s="8"/>
      <c r="B11" s="14">
        <v>100010002</v>
      </c>
      <c r="C11" s="14">
        <v>1</v>
      </c>
      <c r="D11" s="14" t="s">
        <v>311</v>
      </c>
      <c r="E11" s="14"/>
      <c r="F11" s="14">
        <v>4001002</v>
      </c>
      <c r="G11" s="14">
        <v>5</v>
      </c>
      <c r="H11" s="14">
        <v>100010001</v>
      </c>
      <c r="I11" s="24"/>
      <c r="J11" s="14"/>
      <c r="K11" s="14"/>
      <c r="L11" s="14"/>
      <c r="M11" s="14">
        <v>1</v>
      </c>
      <c r="N11" s="14">
        <v>100010002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36" ht="18.75" customHeight="1">
      <c r="A12" s="8"/>
      <c r="B12" s="14">
        <v>100010003</v>
      </c>
      <c r="C12" s="14">
        <v>1</v>
      </c>
      <c r="D12" s="14" t="s">
        <v>316</v>
      </c>
      <c r="E12" s="14"/>
      <c r="F12" s="14">
        <v>4001003</v>
      </c>
      <c r="G12" s="14">
        <v>5</v>
      </c>
      <c r="H12" s="14">
        <v>100010002</v>
      </c>
      <c r="I12" s="24"/>
      <c r="J12" s="14"/>
      <c r="K12" s="14"/>
      <c r="L12" s="14"/>
      <c r="M12" s="14">
        <v>1</v>
      </c>
      <c r="N12" s="14">
        <v>100060014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36" ht="18.75" customHeight="1">
      <c r="A13" s="8"/>
      <c r="B13" s="14">
        <v>200010001</v>
      </c>
      <c r="C13" s="14">
        <v>2</v>
      </c>
      <c r="D13" s="14" t="s">
        <v>317</v>
      </c>
      <c r="E13" s="14"/>
      <c r="F13" s="7">
        <v>5001001</v>
      </c>
      <c r="G13" s="14"/>
      <c r="H13" s="14"/>
      <c r="I13" s="24"/>
      <c r="J13" s="14"/>
      <c r="K13" s="14"/>
      <c r="L13" s="14"/>
      <c r="M13" s="14">
        <v>12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36" ht="18.75" customHeight="1">
      <c r="A14" s="8"/>
      <c r="B14" s="14">
        <v>200010002</v>
      </c>
      <c r="C14" s="14">
        <v>2</v>
      </c>
      <c r="D14" s="14" t="s">
        <v>318</v>
      </c>
      <c r="E14" s="14"/>
      <c r="F14" s="7">
        <v>5001002</v>
      </c>
      <c r="G14" s="14"/>
      <c r="H14" s="14"/>
      <c r="I14" s="24"/>
      <c r="J14" s="14"/>
      <c r="K14" s="14"/>
      <c r="L14" s="14"/>
      <c r="M14" s="14">
        <v>13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36" ht="18.75" customHeight="1">
      <c r="A15" s="8"/>
      <c r="B15" s="14">
        <v>200010003</v>
      </c>
      <c r="C15" s="14">
        <v>2</v>
      </c>
      <c r="D15" s="14" t="s">
        <v>319</v>
      </c>
      <c r="E15" s="14"/>
      <c r="F15" s="7">
        <v>5001003</v>
      </c>
      <c r="G15" s="14"/>
      <c r="H15" s="14"/>
      <c r="I15" s="24"/>
      <c r="J15" s="14"/>
      <c r="K15" s="14"/>
      <c r="L15" s="14"/>
      <c r="M15" s="14">
        <v>9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36" ht="18.75" customHeight="1">
      <c r="A16" s="8"/>
      <c r="B16" s="14">
        <v>500010001</v>
      </c>
      <c r="C16" s="14">
        <v>5</v>
      </c>
      <c r="D16" s="14" t="s">
        <v>323</v>
      </c>
      <c r="E16" s="14"/>
      <c r="F16" s="14">
        <v>6001001</v>
      </c>
      <c r="G16" s="14"/>
      <c r="H16" s="14"/>
      <c r="I16" s="24"/>
      <c r="J16" s="14"/>
      <c r="K16" s="14"/>
      <c r="L16" s="14"/>
      <c r="M16" s="14">
        <v>1</v>
      </c>
      <c r="N16" s="14">
        <v>200010001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500010002</v>
      </c>
      <c r="C17" s="14">
        <v>5</v>
      </c>
      <c r="D17" s="14" t="s">
        <v>324</v>
      </c>
      <c r="E17" s="14"/>
      <c r="F17" s="14">
        <v>6001002</v>
      </c>
      <c r="G17" s="14"/>
      <c r="H17" s="14"/>
      <c r="I17" s="24"/>
      <c r="J17" s="14"/>
      <c r="K17" s="14"/>
      <c r="L17" s="14"/>
      <c r="M17" s="14">
        <v>1</v>
      </c>
      <c r="N17" s="14">
        <v>200010002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500010003</v>
      </c>
      <c r="C18" s="14">
        <v>5</v>
      </c>
      <c r="D18" s="14" t="s">
        <v>325</v>
      </c>
      <c r="E18" s="14"/>
      <c r="F18" s="14">
        <v>6001003</v>
      </c>
      <c r="G18" s="14"/>
      <c r="H18" s="14"/>
      <c r="I18" s="24"/>
      <c r="J18" s="14"/>
      <c r="K18" s="14"/>
      <c r="L18" s="14"/>
      <c r="M18" s="14">
        <v>1</v>
      </c>
      <c r="N18" s="14">
        <v>200010003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500010004</v>
      </c>
      <c r="C19" s="14">
        <v>5</v>
      </c>
      <c r="D19" s="14" t="s">
        <v>326</v>
      </c>
      <c r="E19" s="14"/>
      <c r="F19" s="14">
        <v>6001004</v>
      </c>
      <c r="G19" s="14"/>
      <c r="H19" s="14"/>
      <c r="I19" s="24"/>
      <c r="J19" s="14"/>
      <c r="K19" s="14"/>
      <c r="L19" s="14"/>
      <c r="M19" s="14">
        <v>1</v>
      </c>
      <c r="N19" s="14">
        <v>200010004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500010005</v>
      </c>
      <c r="C20" s="14">
        <v>5</v>
      </c>
      <c r="D20" s="14" t="s">
        <v>312</v>
      </c>
      <c r="E20" s="14"/>
      <c r="F20" s="14">
        <v>6001005</v>
      </c>
      <c r="G20" s="14"/>
      <c r="H20" s="14"/>
      <c r="I20" s="24"/>
      <c r="J20" s="14"/>
      <c r="K20" s="14"/>
      <c r="L20" s="14"/>
      <c r="M20" s="14">
        <v>1</v>
      </c>
      <c r="N20" s="14">
        <v>200010005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22"/>
      <c r="O32" s="22"/>
      <c r="P32" s="14"/>
      <c r="Q32" s="14"/>
      <c r="R32" s="22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22"/>
      <c r="O35" s="22"/>
      <c r="P35" s="14"/>
      <c r="Q35" s="14"/>
      <c r="R35" s="22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22"/>
      <c r="I38" s="23"/>
      <c r="J38" s="14"/>
      <c r="K38" s="14"/>
      <c r="L38" s="22"/>
      <c r="M38" s="14"/>
      <c r="N38" s="22"/>
      <c r="O38" s="22"/>
      <c r="P38" s="14"/>
      <c r="Q38" s="14"/>
      <c r="R38" s="22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22"/>
      <c r="I41" s="23"/>
      <c r="J41" s="14"/>
      <c r="K41" s="14"/>
      <c r="L41" s="22"/>
      <c r="M41" s="14"/>
      <c r="N41" s="22"/>
      <c r="O41" s="22"/>
      <c r="P41" s="14"/>
      <c r="Q41" s="14"/>
      <c r="R41" s="22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22"/>
      <c r="I44" s="23"/>
      <c r="J44" s="14"/>
      <c r="K44" s="14"/>
      <c r="L44" s="22"/>
      <c r="M44" s="14"/>
      <c r="N44" s="22"/>
      <c r="O44" s="22"/>
      <c r="P44" s="14"/>
      <c r="Q44" s="14"/>
      <c r="R44" s="22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14"/>
      <c r="I45" s="2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7"/>
      <c r="AD52" s="11"/>
      <c r="AE52" s="11"/>
      <c r="AF52" s="11"/>
      <c r="AG52" s="11"/>
      <c r="AH52" s="11"/>
      <c r="AI52" s="11"/>
      <c r="AJ52" s="11"/>
    </row>
    <row r="53" spans="1:36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14"/>
      <c r="N53" s="14"/>
      <c r="O53" s="14"/>
      <c r="P53" s="35"/>
      <c r="Q53" s="35"/>
      <c r="R53" s="14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54"/>
      <c r="AD53" s="35"/>
      <c r="AE53" s="35"/>
      <c r="AF53" s="35"/>
      <c r="AG53" s="35"/>
      <c r="AH53" s="35"/>
      <c r="AI53" s="35"/>
      <c r="AJ53" s="35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4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4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4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4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4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4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4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4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14"/>
      <c r="N62" s="22"/>
      <c r="O62" s="22"/>
      <c r="P62" s="35"/>
      <c r="Q62" s="35"/>
      <c r="R62" s="22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4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14"/>
      <c r="N63" s="14"/>
      <c r="O63" s="14"/>
      <c r="P63" s="35"/>
      <c r="Q63" s="35"/>
      <c r="R63" s="14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4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4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14"/>
      <c r="N65" s="22"/>
      <c r="O65" s="22"/>
      <c r="P65" s="35"/>
      <c r="Q65" s="35"/>
      <c r="R65" s="22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4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14"/>
      <c r="N66" s="14"/>
      <c r="O66" s="14"/>
      <c r="P66" s="35"/>
      <c r="Q66" s="35"/>
      <c r="R66" s="14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4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4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22"/>
      <c r="I68" s="23"/>
      <c r="J68" s="35"/>
      <c r="K68" s="35"/>
      <c r="L68" s="22"/>
      <c r="M68" s="14"/>
      <c r="N68" s="22"/>
      <c r="O68" s="22"/>
      <c r="P68" s="35"/>
      <c r="Q68" s="35"/>
      <c r="R68" s="22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4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14"/>
      <c r="N69" s="14"/>
      <c r="O69" s="14"/>
      <c r="P69" s="35"/>
      <c r="Q69" s="35"/>
      <c r="R69" s="14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4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4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22"/>
      <c r="I71" s="23"/>
      <c r="J71" s="35"/>
      <c r="K71" s="35"/>
      <c r="L71" s="22"/>
      <c r="M71" s="14"/>
      <c r="N71" s="22"/>
      <c r="O71" s="22"/>
      <c r="P71" s="35"/>
      <c r="Q71" s="35"/>
      <c r="R71" s="22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4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14"/>
      <c r="N72" s="14"/>
      <c r="O72" s="14"/>
      <c r="P72" s="35"/>
      <c r="Q72" s="35"/>
      <c r="R72" s="14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4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4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22"/>
      <c r="I74" s="23"/>
      <c r="J74" s="35"/>
      <c r="K74" s="35"/>
      <c r="L74" s="22"/>
      <c r="M74" s="14"/>
      <c r="N74" s="22"/>
      <c r="O74" s="22"/>
      <c r="P74" s="35"/>
      <c r="Q74" s="35"/>
      <c r="R74" s="22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4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14"/>
      <c r="N75" s="14"/>
      <c r="O75" s="14"/>
      <c r="P75" s="35"/>
      <c r="Q75" s="35"/>
      <c r="R75" s="14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4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4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4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4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4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4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4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4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4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4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4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4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4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4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14"/>
      <c r="K89" s="35"/>
      <c r="L89" s="2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4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4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4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4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25"/>
      <c r="H93" s="35"/>
      <c r="I93" s="24"/>
      <c r="J93" s="25"/>
      <c r="K93" s="35"/>
      <c r="L93" s="24"/>
      <c r="M93" s="14"/>
      <c r="N93" s="14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6"/>
    </row>
    <row r="94" spans="2:36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3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39" ht="12" customHeight="1"/>
    <row r="2" spans="1:39" ht="40.5" customHeight="1">
      <c r="A2" s="57" t="s">
        <v>0</v>
      </c>
      <c r="B2" s="7" t="s">
        <v>332</v>
      </c>
    </row>
    <row r="3" spans="1:39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ht="18.75" customHeight="1">
      <c r="A4" s="57" t="s">
        <v>2</v>
      </c>
      <c r="B4" s="3" t="s">
        <v>3</v>
      </c>
      <c r="C4" s="3" t="s">
        <v>15</v>
      </c>
      <c r="D4" s="3" t="s">
        <v>336</v>
      </c>
      <c r="E4" s="3" t="s">
        <v>165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18.75" customHeight="1">
      <c r="A7" s="57" t="s">
        <v>6</v>
      </c>
      <c r="B7" s="4" t="s">
        <v>7</v>
      </c>
      <c r="C7" s="4" t="s">
        <v>8</v>
      </c>
      <c r="D7" s="4" t="s">
        <v>337</v>
      </c>
      <c r="E7" s="4" t="s">
        <v>20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</row>
    <row r="8" spans="1:39" ht="138.94999999999999" customHeight="1">
      <c r="A8" s="57" t="s">
        <v>10</v>
      </c>
      <c r="B8" s="5" t="s">
        <v>11</v>
      </c>
      <c r="C8" s="5" t="s">
        <v>34</v>
      </c>
      <c r="D8" s="5" t="s">
        <v>338</v>
      </c>
      <c r="E8" s="6" t="s">
        <v>169</v>
      </c>
      <c r="F8" s="6" t="s">
        <v>164</v>
      </c>
      <c r="G8" s="5" t="s">
        <v>33</v>
      </c>
      <c r="H8" s="6" t="s">
        <v>201</v>
      </c>
      <c r="I8" s="6" t="s">
        <v>164</v>
      </c>
      <c r="J8" s="5" t="s">
        <v>33</v>
      </c>
      <c r="K8" s="6" t="s">
        <v>201</v>
      </c>
      <c r="L8" s="6" t="s">
        <v>164</v>
      </c>
      <c r="M8" s="5" t="s">
        <v>33</v>
      </c>
      <c r="N8" s="6" t="s">
        <v>201</v>
      </c>
      <c r="O8" s="6" t="s">
        <v>164</v>
      </c>
      <c r="P8" s="5" t="s">
        <v>33</v>
      </c>
      <c r="Q8" s="6" t="s">
        <v>201</v>
      </c>
      <c r="R8" s="6" t="s">
        <v>164</v>
      </c>
      <c r="S8" s="5" t="s">
        <v>33</v>
      </c>
      <c r="T8" s="5"/>
      <c r="U8" s="5"/>
      <c r="V8" s="5"/>
      <c r="W8" s="5"/>
      <c r="X8" s="5"/>
      <c r="Y8" s="5"/>
      <c r="Z8" s="5"/>
      <c r="AA8" s="5"/>
      <c r="AB8" s="5"/>
      <c r="AC8" s="6"/>
      <c r="AD8" s="6"/>
      <c r="AE8" s="5"/>
      <c r="AF8" s="5"/>
      <c r="AG8" s="5"/>
      <c r="AH8" s="5"/>
      <c r="AI8" s="5"/>
      <c r="AJ8" s="5"/>
      <c r="AK8" s="5"/>
      <c r="AL8" s="5"/>
      <c r="AM8" s="5"/>
    </row>
    <row r="9" spans="1:39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5"/>
      <c r="K9" s="5"/>
      <c r="L9" s="5"/>
      <c r="M9" s="5"/>
      <c r="N9" s="6"/>
      <c r="O9" s="5"/>
      <c r="P9" s="5"/>
      <c r="Q9" s="5"/>
      <c r="R9" s="5"/>
      <c r="S9" s="6"/>
      <c r="T9" s="6"/>
      <c r="U9" s="6"/>
      <c r="V9" s="6"/>
      <c r="W9" s="6"/>
      <c r="X9" s="6"/>
      <c r="Y9" s="6"/>
      <c r="Z9" s="6"/>
      <c r="AA9" s="5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ht="20.100000000000001" customHeight="1">
      <c r="A10" s="58" t="s">
        <v>153</v>
      </c>
      <c r="B10" s="5">
        <v>100010001</v>
      </c>
      <c r="C10" s="6" t="s">
        <v>333</v>
      </c>
      <c r="D10" s="6" t="s">
        <v>339</v>
      </c>
      <c r="E10" s="6">
        <v>1</v>
      </c>
      <c r="F10" s="6">
        <v>1</v>
      </c>
      <c r="G10" s="6">
        <v>5</v>
      </c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ht="18.75" customHeight="1">
      <c r="A11" s="58"/>
      <c r="B11" s="5">
        <v>100010002</v>
      </c>
      <c r="C11" s="6" t="s">
        <v>334</v>
      </c>
      <c r="D11" s="6" t="s">
        <v>340</v>
      </c>
      <c r="E11" s="6">
        <v>1</v>
      </c>
      <c r="F11" s="6">
        <v>1</v>
      </c>
      <c r="G11" s="6">
        <v>50</v>
      </c>
      <c r="H11" s="6"/>
      <c r="I11" s="6"/>
      <c r="J11" s="5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ht="18.75" customHeight="1">
      <c r="A12" s="8"/>
      <c r="B12" s="49">
        <v>200010001</v>
      </c>
      <c r="C12" s="50" t="s">
        <v>335</v>
      </c>
      <c r="D12" s="50" t="s">
        <v>341</v>
      </c>
      <c r="E12" s="50">
        <v>1</v>
      </c>
      <c r="F12" s="50">
        <v>1</v>
      </c>
      <c r="G12" s="50">
        <v>50</v>
      </c>
      <c r="H12" s="50">
        <v>2</v>
      </c>
      <c r="I12" s="50">
        <v>5</v>
      </c>
      <c r="J12" s="51">
        <v>1</v>
      </c>
      <c r="K12" s="7">
        <v>1</v>
      </c>
      <c r="L12" s="7">
        <v>2</v>
      </c>
      <c r="M12" s="7">
        <v>10000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39" ht="18.75" customHeight="1">
      <c r="A13" s="8"/>
      <c r="B13" s="5">
        <v>300010001</v>
      </c>
      <c r="C13" s="6" t="s">
        <v>345</v>
      </c>
      <c r="D13" s="6" t="s">
        <v>356</v>
      </c>
      <c r="E13" s="6">
        <v>1</v>
      </c>
      <c r="F13" s="6">
        <v>1</v>
      </c>
      <c r="G13" s="6">
        <v>5</v>
      </c>
      <c r="H13" s="6"/>
      <c r="I13" s="6"/>
      <c r="J13" s="5"/>
      <c r="K13" s="5"/>
      <c r="L13" s="5"/>
      <c r="M13" s="5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39" ht="18.75" customHeight="1">
      <c r="A14" s="8"/>
      <c r="B14" s="5">
        <v>400010001</v>
      </c>
      <c r="C14" s="6" t="s">
        <v>355</v>
      </c>
      <c r="D14" s="6" t="s">
        <v>357</v>
      </c>
      <c r="E14" s="6">
        <v>1</v>
      </c>
      <c r="F14" s="6">
        <v>1</v>
      </c>
      <c r="G14" s="6">
        <v>500</v>
      </c>
      <c r="H14" s="6">
        <v>1</v>
      </c>
      <c r="I14" s="6">
        <v>2</v>
      </c>
      <c r="J14" s="5">
        <v>10000</v>
      </c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39" ht="18.75" customHeight="1">
      <c r="A15" s="8"/>
      <c r="B15" s="5"/>
      <c r="C15" s="6"/>
      <c r="D15" s="6"/>
      <c r="E15" s="6"/>
      <c r="F15" s="6"/>
      <c r="G15" s="6"/>
      <c r="H15" s="6"/>
      <c r="I15" s="6"/>
      <c r="J15" s="5"/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39" ht="18.75" customHeight="1">
      <c r="A16" s="8"/>
      <c r="B16" s="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7"/>
      <c r="C17" s="7"/>
      <c r="D17" s="7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5"/>
      <c r="C28" s="7"/>
      <c r="D28" s="7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5"/>
      <c r="C30" s="7"/>
      <c r="D30" s="7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5"/>
      <c r="C34" s="7"/>
      <c r="D34" s="7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5"/>
      <c r="C38" s="7"/>
      <c r="D38" s="7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5"/>
      <c r="C42" s="7"/>
      <c r="D42" s="7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7"/>
      <c r="C45" s="7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7"/>
      <c r="C49" s="7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B50" s="5"/>
      <c r="C50" s="7"/>
      <c r="D50" s="7"/>
      <c r="E50" s="7"/>
      <c r="F50" s="7"/>
    </row>
    <row r="51" spans="1:39" ht="18.75" customHeight="1">
      <c r="B51" s="7"/>
      <c r="C51" s="7"/>
      <c r="D51" s="7"/>
      <c r="E51" s="7"/>
      <c r="F51" s="7"/>
    </row>
    <row r="52" spans="1:39" ht="18.75" customHeight="1">
      <c r="B52" s="5"/>
      <c r="C52" s="7"/>
      <c r="D52" s="7"/>
      <c r="E52" s="6"/>
      <c r="F52" s="7"/>
    </row>
    <row r="53" spans="1:39" ht="18.75" customHeight="1">
      <c r="B53" s="7"/>
      <c r="C53" s="7"/>
      <c r="D53" s="7"/>
      <c r="E53" s="7"/>
      <c r="F53" s="7"/>
    </row>
    <row r="54" spans="1:39" ht="18.75" customHeight="1">
      <c r="B54" s="5"/>
      <c r="C54" s="7"/>
      <c r="D54" s="7"/>
      <c r="E54" s="7"/>
      <c r="F54" s="7"/>
    </row>
    <row r="55" spans="1:39" ht="18.75" customHeight="1">
      <c r="B55" s="7"/>
      <c r="C55" s="7"/>
      <c r="D55" s="7"/>
      <c r="E55" s="7"/>
      <c r="F55" s="7"/>
    </row>
    <row r="56" spans="1:39" ht="18.75" customHeight="1">
      <c r="B56" s="5"/>
      <c r="C56" s="7"/>
      <c r="D56" s="7"/>
      <c r="E56" s="6"/>
      <c r="F56" s="7"/>
    </row>
    <row r="57" spans="1:39" ht="18.75" customHeight="1">
      <c r="B57" s="7"/>
      <c r="C57" s="7"/>
      <c r="D57" s="7"/>
      <c r="E57" s="7"/>
      <c r="F57" s="7"/>
    </row>
    <row r="58" spans="1:39" ht="18.75" customHeight="1">
      <c r="B58" s="5"/>
      <c r="C58" s="7"/>
      <c r="D58" s="7"/>
      <c r="E58" s="7"/>
      <c r="F58" s="7"/>
    </row>
    <row r="59" spans="1:39" ht="18.75" customHeight="1">
      <c r="B59" s="7"/>
      <c r="C59" s="7"/>
      <c r="D59" s="7"/>
      <c r="E59" s="6"/>
      <c r="F59" s="7"/>
    </row>
    <row r="60" spans="1:39" ht="18.75" customHeight="1">
      <c r="B60" s="5"/>
      <c r="C60" s="7"/>
      <c r="D60" s="7"/>
      <c r="E60" s="7"/>
      <c r="F60" s="7"/>
    </row>
    <row r="61" spans="1:39" ht="18.75" customHeight="1">
      <c r="B61" s="7"/>
      <c r="C61" s="7"/>
      <c r="D61" s="7"/>
      <c r="E61" s="7"/>
      <c r="F61" s="7"/>
    </row>
    <row r="62" spans="1:39" ht="18.75" customHeight="1">
      <c r="B62" s="5"/>
      <c r="C62" s="7"/>
      <c r="D62" s="7"/>
      <c r="E62" s="7"/>
      <c r="F62" s="7"/>
    </row>
    <row r="63" spans="1:39" ht="18.75" customHeight="1">
      <c r="B63" s="7"/>
      <c r="C63" s="7"/>
      <c r="D63" s="7"/>
      <c r="E63" s="6"/>
      <c r="F63" s="7"/>
    </row>
    <row r="64" spans="1:39" ht="18.75" customHeight="1">
      <c r="B64" s="5"/>
      <c r="C64" s="7"/>
      <c r="D64" s="7"/>
      <c r="E64" s="7"/>
      <c r="F64" s="7"/>
    </row>
    <row r="65" spans="2:6" ht="18.75" customHeight="1">
      <c r="B65" s="7"/>
      <c r="C65" s="7"/>
      <c r="D65" s="7"/>
      <c r="E65" s="7"/>
      <c r="F65" s="7"/>
    </row>
    <row r="66" spans="2:6" ht="18.75" customHeight="1">
      <c r="B66" s="5"/>
      <c r="C66" s="7"/>
      <c r="D66" s="7"/>
      <c r="E66" s="6"/>
      <c r="F66" s="7"/>
    </row>
    <row r="67" spans="2:6" ht="18.75" customHeight="1">
      <c r="B67" s="7"/>
      <c r="C67" s="7"/>
      <c r="D67" s="7"/>
      <c r="E67" s="7"/>
      <c r="F67" s="7"/>
    </row>
    <row r="68" spans="2:6" ht="18.75" customHeight="1">
      <c r="B68" s="5"/>
      <c r="C68" s="7"/>
      <c r="D68" s="7"/>
      <c r="E68" s="7"/>
      <c r="F68" s="7"/>
    </row>
    <row r="69" spans="2:6" ht="18.75" customHeight="1">
      <c r="B69" s="7"/>
      <c r="C69" s="7"/>
      <c r="D69" s="7"/>
      <c r="E69" s="7"/>
      <c r="F69" s="7"/>
    </row>
    <row r="70" spans="2:6" ht="18.75" customHeight="1">
      <c r="B70" s="5"/>
      <c r="C70" s="7"/>
      <c r="D70" s="7"/>
      <c r="E70" s="6"/>
      <c r="F70" s="7"/>
    </row>
    <row r="71" spans="2:6" ht="18.75" customHeight="1">
      <c r="B71" s="7"/>
      <c r="C71" s="7"/>
      <c r="D71" s="7"/>
      <c r="E71" s="7"/>
      <c r="F71" s="7"/>
    </row>
    <row r="72" spans="2:6" ht="18.75" customHeight="1">
      <c r="B72" s="5"/>
      <c r="C72" s="7"/>
      <c r="D72" s="7"/>
      <c r="E72" s="7"/>
      <c r="F72" s="7"/>
    </row>
    <row r="73" spans="2:6" ht="18.75" customHeight="1">
      <c r="B73" s="7"/>
      <c r="C73" s="7"/>
      <c r="D73" s="7"/>
      <c r="E73" s="6"/>
      <c r="F73" s="7"/>
    </row>
    <row r="74" spans="2:6" ht="18.75" customHeight="1">
      <c r="B74" s="5"/>
      <c r="C74" s="7"/>
      <c r="D74" s="7"/>
      <c r="E74" s="7"/>
      <c r="F74" s="7"/>
    </row>
    <row r="75" spans="2:6" ht="18.75" customHeight="1">
      <c r="B75" s="7"/>
      <c r="C75" s="7"/>
      <c r="D75" s="7"/>
      <c r="E75" s="7"/>
      <c r="F75" s="7"/>
    </row>
    <row r="76" spans="2:6" ht="18.75" customHeight="1">
      <c r="B76" s="5"/>
      <c r="C76" s="7"/>
      <c r="D76" s="7"/>
      <c r="E76" s="7"/>
      <c r="F76" s="7"/>
    </row>
    <row r="77" spans="2:6" ht="18.75" customHeight="1">
      <c r="B77" s="7"/>
      <c r="C77" s="7"/>
      <c r="D77" s="7"/>
      <c r="E77" s="6"/>
      <c r="F77" s="7"/>
    </row>
    <row r="78" spans="2:6" ht="18.75" customHeight="1">
      <c r="B78" s="5"/>
      <c r="C78" s="7"/>
      <c r="D78" s="7"/>
      <c r="E78" s="7"/>
      <c r="F78" s="7"/>
    </row>
    <row r="79" spans="2:6" ht="18.75" customHeight="1">
      <c r="B79" s="7"/>
      <c r="C79" s="7"/>
      <c r="D79" s="7"/>
      <c r="E79" s="7"/>
      <c r="F79" s="7"/>
    </row>
    <row r="80" spans="2:6" ht="18.75" customHeight="1">
      <c r="B80" s="5"/>
      <c r="C80" s="7"/>
      <c r="D80" s="7"/>
      <c r="E80" s="6"/>
      <c r="F80" s="7"/>
    </row>
    <row r="81" spans="2:6" ht="18.75" customHeight="1">
      <c r="B81" s="7"/>
      <c r="C81" s="7"/>
      <c r="D81" s="7"/>
      <c r="E81" s="7"/>
      <c r="F81" s="7"/>
    </row>
    <row r="82" spans="2:6" ht="18.75" customHeight="1">
      <c r="B82" s="5"/>
      <c r="C82" s="7"/>
      <c r="D82" s="7"/>
      <c r="E82" s="7"/>
      <c r="F82" s="7"/>
    </row>
    <row r="83" spans="2:6" ht="18.75" customHeight="1">
      <c r="B83" s="7"/>
      <c r="C83" s="7"/>
      <c r="D83" s="7"/>
      <c r="E83" s="7"/>
      <c r="F83" s="7"/>
    </row>
    <row r="84" spans="2:6" ht="18.75" customHeight="1">
      <c r="B84" s="5"/>
      <c r="C84" s="7"/>
      <c r="D84" s="7"/>
      <c r="E84" s="6"/>
      <c r="F84" s="7"/>
    </row>
    <row r="85" spans="2:6" ht="18.75" customHeight="1">
      <c r="B85" s="7"/>
      <c r="C85" s="7"/>
      <c r="D85" s="7"/>
      <c r="E85" s="7"/>
      <c r="F85" s="7"/>
    </row>
    <row r="86" spans="2:6" ht="18.75" customHeight="1">
      <c r="B86" s="5"/>
      <c r="C86" s="7"/>
      <c r="D86" s="7"/>
      <c r="E86" s="7"/>
      <c r="F86" s="7"/>
    </row>
    <row r="87" spans="2:6" ht="18.75" customHeight="1">
      <c r="B87" s="7"/>
      <c r="C87" s="7"/>
      <c r="D87" s="7"/>
      <c r="E87" s="6"/>
      <c r="F87" s="7"/>
    </row>
    <row r="88" spans="2:6" ht="18.75" customHeight="1">
      <c r="B88" s="5"/>
      <c r="C88" s="7"/>
      <c r="D88" s="7"/>
      <c r="E88" s="7"/>
      <c r="F88" s="7"/>
    </row>
    <row r="89" spans="2:6" ht="18.75" customHeight="1">
      <c r="B89" s="7"/>
      <c r="C89" s="7"/>
      <c r="D89" s="7"/>
      <c r="E89" s="7"/>
      <c r="F89" s="7"/>
    </row>
    <row r="90" spans="2:6" ht="18.75" customHeight="1">
      <c r="B90" s="5"/>
      <c r="C90" s="7"/>
      <c r="D90" s="7"/>
      <c r="E90" s="7"/>
      <c r="F90" s="7"/>
    </row>
    <row r="91" spans="2:6" ht="18.75" customHeight="1">
      <c r="B91" s="7"/>
      <c r="C91" s="7"/>
      <c r="D91" s="7"/>
      <c r="E91" s="6"/>
      <c r="F91" s="7"/>
    </row>
    <row r="92" spans="2:6" ht="18.75" customHeight="1">
      <c r="B92" s="5"/>
      <c r="C92" s="7"/>
      <c r="D92" s="7"/>
      <c r="E92" s="7"/>
      <c r="F92" s="7"/>
    </row>
    <row r="93" spans="2:6" ht="18.75" customHeight="1">
      <c r="B93" s="7"/>
      <c r="C93" s="7"/>
      <c r="D93" s="7"/>
      <c r="E93" s="7"/>
      <c r="F93" s="7"/>
    </row>
    <row r="94" spans="2:6" ht="18.75" customHeight="1">
      <c r="B94" s="5"/>
      <c r="C94" s="7"/>
      <c r="D94" s="7"/>
      <c r="E94" s="6"/>
      <c r="F94" s="7"/>
    </row>
    <row r="95" spans="2:6" ht="18.75" customHeight="1">
      <c r="B95" s="7"/>
      <c r="C95" s="7"/>
      <c r="D95" s="7"/>
      <c r="E95" s="7"/>
      <c r="F95" s="7"/>
    </row>
    <row r="96" spans="2:6" ht="18.75" customHeight="1">
      <c r="B96" s="5"/>
      <c r="C96" s="7"/>
      <c r="D96" s="7"/>
      <c r="E96" s="7"/>
      <c r="F96" s="7"/>
    </row>
    <row r="97" spans="2:6" ht="18.75" customHeight="1">
      <c r="B97" s="7"/>
      <c r="C97" s="7"/>
      <c r="D97" s="7"/>
      <c r="E97" s="7"/>
      <c r="F97" s="7"/>
    </row>
    <row r="98" spans="2:6" ht="18.75" customHeight="1">
      <c r="B98" s="5"/>
      <c r="C98" s="7"/>
      <c r="D98" s="7"/>
      <c r="E98" s="6"/>
      <c r="F98" s="7"/>
    </row>
    <row r="99" spans="2:6" ht="18.75" customHeight="1">
      <c r="B99" s="7"/>
      <c r="C99" s="7"/>
      <c r="D99" s="7"/>
      <c r="E99" s="7"/>
      <c r="F99" s="7"/>
    </row>
    <row r="100" spans="2:6" ht="18.75" customHeight="1">
      <c r="B100" s="5"/>
      <c r="C100" s="7"/>
      <c r="D100" s="7"/>
      <c r="E100" s="7"/>
      <c r="F100" s="7"/>
    </row>
    <row r="101" spans="2:6" ht="18.75" customHeight="1">
      <c r="B101" s="7"/>
      <c r="C101" s="7"/>
      <c r="D101" s="7"/>
      <c r="E101" s="6"/>
      <c r="F101" s="7"/>
    </row>
    <row r="102" spans="2:6" ht="18.75" customHeight="1">
      <c r="B102" s="5"/>
      <c r="C102" s="7"/>
      <c r="D102" s="7"/>
      <c r="E102" s="7"/>
      <c r="F102" s="7"/>
    </row>
    <row r="103" spans="2:6" ht="18.75" customHeight="1">
      <c r="B103" s="7"/>
      <c r="C103" s="7"/>
      <c r="D103" s="7"/>
      <c r="E103" s="7"/>
      <c r="F103" s="7"/>
    </row>
    <row r="104" spans="2:6" ht="18.75" customHeight="1">
      <c r="B104" s="5"/>
      <c r="C104" s="7"/>
      <c r="D104" s="7"/>
      <c r="E104" s="7"/>
      <c r="F104" s="7"/>
    </row>
    <row r="105" spans="2:6" ht="18.75" customHeight="1">
      <c r="B105" s="7"/>
      <c r="C105" s="7"/>
      <c r="D105" s="7"/>
      <c r="E105" s="6"/>
      <c r="F105" s="7"/>
    </row>
    <row r="106" spans="2:6" ht="18.75" customHeight="1">
      <c r="B106" s="5"/>
      <c r="C106" s="7"/>
      <c r="D106" s="7"/>
      <c r="E106" s="7"/>
      <c r="F106" s="7"/>
    </row>
    <row r="107" spans="2:6" ht="18.75" customHeight="1">
      <c r="B107" s="7"/>
      <c r="C107" s="7"/>
      <c r="D107" s="7"/>
      <c r="E107" s="7"/>
      <c r="F107" s="7"/>
    </row>
    <row r="108" spans="2:6" ht="18.75" customHeight="1">
      <c r="B108" s="5"/>
      <c r="C108" s="7"/>
      <c r="D108" s="7"/>
      <c r="E108" s="6"/>
      <c r="F108" s="7"/>
    </row>
    <row r="109" spans="2:6" ht="18.75" customHeight="1">
      <c r="B109" s="7"/>
      <c r="C109" s="7"/>
      <c r="D109" s="7"/>
      <c r="E109" s="7"/>
      <c r="F109" s="7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342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346</v>
      </c>
      <c r="D4" s="3" t="s">
        <v>336</v>
      </c>
      <c r="E4" s="3" t="s">
        <v>343</v>
      </c>
      <c r="F4" s="3" t="s">
        <v>351</v>
      </c>
      <c r="G4" s="3" t="s">
        <v>350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337</v>
      </c>
      <c r="D7" s="4" t="s">
        <v>337</v>
      </c>
      <c r="E7" s="4" t="s">
        <v>20</v>
      </c>
      <c r="F7" s="4" t="s">
        <v>9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347</v>
      </c>
      <c r="D8" s="5" t="s">
        <v>349</v>
      </c>
      <c r="E8" s="5" t="s">
        <v>344</v>
      </c>
      <c r="F8" s="5" t="s">
        <v>352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8"/>
      <c r="D9" s="18"/>
      <c r="E9" s="19"/>
      <c r="F9" s="19"/>
      <c r="G9" s="19" t="s">
        <v>309</v>
      </c>
      <c r="H9" s="19"/>
      <c r="I9" s="19"/>
      <c r="J9" s="19" t="s">
        <v>309</v>
      </c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100010001</v>
      </c>
      <c r="C10" s="14" t="s">
        <v>345</v>
      </c>
      <c r="D10" s="14"/>
      <c r="E10" s="5">
        <v>300010001</v>
      </c>
      <c r="F10" s="14" t="b">
        <v>1</v>
      </c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200010001</v>
      </c>
      <c r="C11" s="14" t="s">
        <v>348</v>
      </c>
      <c r="D11" s="14"/>
      <c r="E11" s="5">
        <v>400010001</v>
      </c>
      <c r="F11" s="14" t="b">
        <v>0</v>
      </c>
      <c r="G11" s="14">
        <v>3</v>
      </c>
      <c r="H11" s="14"/>
      <c r="I11" s="24" t="s">
        <v>294</v>
      </c>
      <c r="J11" s="14">
        <v>4</v>
      </c>
      <c r="K11" s="14"/>
      <c r="L11" s="24" t="s">
        <v>353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/>
      <c r="C12" s="14"/>
      <c r="D12" s="14"/>
      <c r="E12" s="14"/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workbookViewId="0">
      <selection activeCell="C9" sqref="C9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1371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1372</v>
      </c>
      <c r="D4" s="3" t="s">
        <v>1374</v>
      </c>
      <c r="E4" s="3" t="s">
        <v>1376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1373</v>
      </c>
      <c r="D8" s="5" t="s">
        <v>1375</v>
      </c>
      <c r="E8" s="6" t="s">
        <v>1377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1378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1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70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100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1</v>
      </c>
      <c r="E13" s="14">
        <v>1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2</v>
      </c>
      <c r="E14" s="14">
        <v>80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3</v>
      </c>
      <c r="E15" s="14">
        <v>100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1</v>
      </c>
      <c r="E16" s="14">
        <v>60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2</v>
      </c>
      <c r="E17" s="14">
        <v>90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3</v>
      </c>
      <c r="E18" s="14">
        <v>100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topLeftCell="A7" workbookViewId="0">
      <selection activeCell="E8" sqref="E8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1827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1820</v>
      </c>
      <c r="D4" s="3" t="s">
        <v>1821</v>
      </c>
      <c r="E4" s="3" t="s">
        <v>1822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1823</v>
      </c>
      <c r="D8" s="5" t="s">
        <v>1824</v>
      </c>
      <c r="E8" s="6" t="s">
        <v>1825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1826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2</v>
      </c>
      <c r="D10" s="14">
        <v>0</v>
      </c>
      <c r="E10" s="5">
        <v>30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2</v>
      </c>
      <c r="D11" s="14">
        <v>1</v>
      </c>
      <c r="E11" s="5">
        <v>40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2</v>
      </c>
      <c r="D12" s="14">
        <v>2</v>
      </c>
      <c r="E12" s="14">
        <v>50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3</v>
      </c>
      <c r="E13" s="14">
        <v>60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4</v>
      </c>
      <c r="E14" s="14">
        <v>70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5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0</v>
      </c>
      <c r="E16" s="14">
        <v>40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1</v>
      </c>
      <c r="E17" s="14">
        <v>50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2</v>
      </c>
      <c r="E18" s="14">
        <v>60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3</v>
      </c>
      <c r="D19" s="14">
        <v>3</v>
      </c>
      <c r="E19" s="14">
        <v>70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4</v>
      </c>
      <c r="E20" s="14">
        <v>80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5</v>
      </c>
      <c r="E21" s="14">
        <v>90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4</v>
      </c>
      <c r="D22" s="14">
        <v>0</v>
      </c>
      <c r="E22" s="14">
        <v>50</v>
      </c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4</v>
      </c>
      <c r="D23" s="14">
        <v>1</v>
      </c>
      <c r="E23" s="14">
        <v>60</v>
      </c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4</v>
      </c>
      <c r="D24" s="14">
        <v>2</v>
      </c>
      <c r="E24" s="14">
        <v>70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3</v>
      </c>
      <c r="E25" s="14">
        <v>80</v>
      </c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4</v>
      </c>
      <c r="E26" s="14">
        <v>90</v>
      </c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5</v>
      </c>
      <c r="E27" s="14">
        <v>100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workbookViewId="0">
      <selection activeCell="B2" sqref="B2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1836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1837</v>
      </c>
      <c r="D4" s="3" t="s">
        <v>1838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20</v>
      </c>
      <c r="O7" s="4" t="s">
        <v>7</v>
      </c>
      <c r="P7" s="4" t="s">
        <v>7</v>
      </c>
      <c r="Q7" s="4" t="s">
        <v>20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124.5" customHeight="1">
      <c r="A8" s="57" t="s">
        <v>10</v>
      </c>
      <c r="B8" s="5" t="s">
        <v>11</v>
      </c>
      <c r="C8" s="5" t="s">
        <v>1840</v>
      </c>
      <c r="D8" s="5" t="s">
        <v>1839</v>
      </c>
      <c r="E8" s="6" t="s">
        <v>169</v>
      </c>
      <c r="F8" s="6" t="s">
        <v>164</v>
      </c>
      <c r="G8" s="5" t="s">
        <v>33</v>
      </c>
      <c r="H8" s="6" t="s">
        <v>169</v>
      </c>
      <c r="I8" s="6" t="s">
        <v>164</v>
      </c>
      <c r="J8" s="5" t="s">
        <v>33</v>
      </c>
      <c r="K8" s="6" t="s">
        <v>169</v>
      </c>
      <c r="L8" s="6" t="s">
        <v>164</v>
      </c>
      <c r="M8" s="5" t="s">
        <v>33</v>
      </c>
      <c r="N8" s="6" t="s">
        <v>169</v>
      </c>
      <c r="O8" s="6" t="s">
        <v>164</v>
      </c>
      <c r="P8" s="5" t="s">
        <v>33</v>
      </c>
      <c r="Q8" s="6" t="s">
        <v>169</v>
      </c>
      <c r="R8" s="6" t="s">
        <v>164</v>
      </c>
      <c r="S8" s="5" t="s">
        <v>33</v>
      </c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6" t="s">
        <v>150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3</v>
      </c>
      <c r="F10" s="14">
        <v>1</v>
      </c>
      <c r="G10" s="14">
        <v>10</v>
      </c>
      <c r="H10" s="22"/>
      <c r="I10" s="33"/>
      <c r="J10" s="34"/>
      <c r="K10" s="34"/>
      <c r="L10" s="33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3</v>
      </c>
      <c r="F11" s="14">
        <v>1</v>
      </c>
      <c r="G11" s="14">
        <v>25</v>
      </c>
      <c r="H11" s="14">
        <v>3</v>
      </c>
      <c r="I11" s="34">
        <v>6</v>
      </c>
      <c r="J11" s="34">
        <v>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3</v>
      </c>
      <c r="F12" s="14">
        <v>1</v>
      </c>
      <c r="G12" s="14">
        <v>50</v>
      </c>
      <c r="H12" s="14">
        <v>3</v>
      </c>
      <c r="I12" s="34">
        <v>6</v>
      </c>
      <c r="J12" s="34">
        <v>25</v>
      </c>
      <c r="K12" s="34">
        <v>3</v>
      </c>
      <c r="L12" s="34">
        <v>11</v>
      </c>
      <c r="M12" s="34">
        <v>10</v>
      </c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1</v>
      </c>
      <c r="D13" s="14">
        <v>4</v>
      </c>
      <c r="E13" s="14">
        <v>3</v>
      </c>
      <c r="F13" s="14">
        <v>1</v>
      </c>
      <c r="G13" s="14">
        <v>100</v>
      </c>
      <c r="H13" s="14">
        <v>3</v>
      </c>
      <c r="I13" s="34">
        <v>6</v>
      </c>
      <c r="J13" s="34">
        <v>50</v>
      </c>
      <c r="K13" s="34">
        <v>3</v>
      </c>
      <c r="L13" s="34">
        <v>11</v>
      </c>
      <c r="M13" s="34">
        <v>25</v>
      </c>
      <c r="N13" s="34">
        <v>3</v>
      </c>
      <c r="O13" s="34">
        <v>16</v>
      </c>
      <c r="P13" s="34">
        <v>10</v>
      </c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1</v>
      </c>
      <c r="D14" s="14">
        <v>5</v>
      </c>
      <c r="E14" s="5">
        <v>3</v>
      </c>
      <c r="F14" s="14">
        <v>1</v>
      </c>
      <c r="G14" s="14">
        <v>200</v>
      </c>
      <c r="H14" s="14">
        <v>3</v>
      </c>
      <c r="I14" s="34">
        <v>6</v>
      </c>
      <c r="J14" s="34">
        <v>100</v>
      </c>
      <c r="K14" s="34">
        <v>3</v>
      </c>
      <c r="L14" s="34">
        <v>11</v>
      </c>
      <c r="M14" s="34">
        <v>50</v>
      </c>
      <c r="N14" s="34">
        <v>3</v>
      </c>
      <c r="O14" s="34">
        <v>16</v>
      </c>
      <c r="P14" s="34">
        <v>25</v>
      </c>
      <c r="Q14" s="34">
        <v>3</v>
      </c>
      <c r="R14" s="34">
        <v>21</v>
      </c>
      <c r="S14" s="34">
        <v>1</v>
      </c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1</v>
      </c>
      <c r="E15" s="5">
        <v>3</v>
      </c>
      <c r="F15" s="14">
        <v>2</v>
      </c>
      <c r="G15" s="14">
        <v>10</v>
      </c>
      <c r="H15" s="22"/>
      <c r="I15" s="33"/>
      <c r="J15" s="34"/>
      <c r="K15" s="34"/>
      <c r="L15" s="33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2</v>
      </c>
      <c r="D16" s="14">
        <v>2</v>
      </c>
      <c r="E16" s="5">
        <v>3</v>
      </c>
      <c r="F16" s="14">
        <v>2</v>
      </c>
      <c r="G16" s="14">
        <v>25</v>
      </c>
      <c r="H16" s="14">
        <v>3</v>
      </c>
      <c r="I16" s="34">
        <v>7</v>
      </c>
      <c r="J16" s="34"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2</v>
      </c>
      <c r="D17" s="14">
        <v>3</v>
      </c>
      <c r="E17" s="14">
        <v>3</v>
      </c>
      <c r="F17" s="14">
        <v>2</v>
      </c>
      <c r="G17" s="14">
        <v>50</v>
      </c>
      <c r="H17" s="14">
        <v>3</v>
      </c>
      <c r="I17" s="34">
        <v>7</v>
      </c>
      <c r="J17" s="34">
        <v>25</v>
      </c>
      <c r="K17" s="34">
        <v>3</v>
      </c>
      <c r="L17" s="34">
        <v>12</v>
      </c>
      <c r="M17" s="34">
        <v>10</v>
      </c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2</v>
      </c>
      <c r="D18" s="14">
        <v>4</v>
      </c>
      <c r="E18" s="14">
        <v>3</v>
      </c>
      <c r="F18" s="14">
        <v>2</v>
      </c>
      <c r="G18" s="14">
        <v>100</v>
      </c>
      <c r="H18" s="14">
        <v>3</v>
      </c>
      <c r="I18" s="34">
        <v>7</v>
      </c>
      <c r="J18" s="34">
        <v>50</v>
      </c>
      <c r="K18" s="34">
        <v>3</v>
      </c>
      <c r="L18" s="34">
        <v>12</v>
      </c>
      <c r="M18" s="34">
        <v>25</v>
      </c>
      <c r="N18" s="34">
        <v>3</v>
      </c>
      <c r="O18" s="34">
        <v>17</v>
      </c>
      <c r="P18" s="34">
        <v>10</v>
      </c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2</v>
      </c>
      <c r="D19" s="14">
        <v>5</v>
      </c>
      <c r="E19" s="5">
        <v>3</v>
      </c>
      <c r="F19" s="14">
        <v>2</v>
      </c>
      <c r="G19" s="14">
        <v>200</v>
      </c>
      <c r="H19" s="14">
        <v>3</v>
      </c>
      <c r="I19" s="34">
        <v>7</v>
      </c>
      <c r="J19" s="34">
        <v>100</v>
      </c>
      <c r="K19" s="34">
        <v>3</v>
      </c>
      <c r="L19" s="34">
        <v>12</v>
      </c>
      <c r="M19" s="34">
        <v>50</v>
      </c>
      <c r="N19" s="34">
        <v>3</v>
      </c>
      <c r="O19" s="34">
        <v>17</v>
      </c>
      <c r="P19" s="34">
        <v>25</v>
      </c>
      <c r="Q19" s="34">
        <v>3</v>
      </c>
      <c r="R19" s="34">
        <v>21</v>
      </c>
      <c r="S19" s="34">
        <v>1</v>
      </c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1</v>
      </c>
      <c r="E20" s="5">
        <v>3</v>
      </c>
      <c r="F20" s="14">
        <v>3</v>
      </c>
      <c r="G20" s="14">
        <v>10</v>
      </c>
      <c r="H20" s="22"/>
      <c r="I20" s="33"/>
      <c r="J20" s="34"/>
      <c r="K20" s="34"/>
      <c r="L20" s="33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2</v>
      </c>
      <c r="E21" s="5">
        <v>3</v>
      </c>
      <c r="F21" s="14">
        <v>3</v>
      </c>
      <c r="G21" s="14">
        <v>25</v>
      </c>
      <c r="H21" s="14">
        <v>3</v>
      </c>
      <c r="I21" s="34">
        <v>8</v>
      </c>
      <c r="J21" s="34">
        <v>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3</v>
      </c>
      <c r="D22" s="14">
        <v>3</v>
      </c>
      <c r="E22" s="14">
        <v>3</v>
      </c>
      <c r="F22" s="14">
        <v>3</v>
      </c>
      <c r="G22" s="14">
        <v>50</v>
      </c>
      <c r="H22" s="14">
        <v>3</v>
      </c>
      <c r="I22" s="34">
        <v>8</v>
      </c>
      <c r="J22" s="34">
        <v>25</v>
      </c>
      <c r="K22" s="34">
        <v>3</v>
      </c>
      <c r="L22" s="34">
        <v>13</v>
      </c>
      <c r="M22" s="34">
        <v>10</v>
      </c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3</v>
      </c>
      <c r="D23" s="14">
        <v>4</v>
      </c>
      <c r="E23" s="14">
        <v>3</v>
      </c>
      <c r="F23" s="14">
        <v>3</v>
      </c>
      <c r="G23" s="14">
        <v>100</v>
      </c>
      <c r="H23" s="14">
        <v>3</v>
      </c>
      <c r="I23" s="34">
        <v>8</v>
      </c>
      <c r="J23" s="34">
        <v>50</v>
      </c>
      <c r="K23" s="34">
        <v>3</v>
      </c>
      <c r="L23" s="34">
        <v>13</v>
      </c>
      <c r="M23" s="34">
        <v>25</v>
      </c>
      <c r="N23" s="34">
        <v>3</v>
      </c>
      <c r="O23" s="34">
        <v>18</v>
      </c>
      <c r="P23" s="34">
        <v>10</v>
      </c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3</v>
      </c>
      <c r="D24" s="14">
        <v>5</v>
      </c>
      <c r="E24" s="5">
        <v>3</v>
      </c>
      <c r="F24" s="14">
        <v>3</v>
      </c>
      <c r="G24" s="14">
        <v>200</v>
      </c>
      <c r="H24" s="14">
        <v>3</v>
      </c>
      <c r="I24" s="34">
        <v>8</v>
      </c>
      <c r="J24" s="34">
        <v>100</v>
      </c>
      <c r="K24" s="34">
        <v>3</v>
      </c>
      <c r="L24" s="34">
        <v>13</v>
      </c>
      <c r="M24" s="34">
        <v>50</v>
      </c>
      <c r="N24" s="34">
        <v>3</v>
      </c>
      <c r="O24" s="34">
        <v>18</v>
      </c>
      <c r="P24" s="34">
        <v>25</v>
      </c>
      <c r="Q24" s="34">
        <v>3</v>
      </c>
      <c r="R24" s="34">
        <v>21</v>
      </c>
      <c r="S24" s="34">
        <v>1</v>
      </c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1</v>
      </c>
      <c r="E25" s="5">
        <v>3</v>
      </c>
      <c r="F25" s="14">
        <v>4</v>
      </c>
      <c r="G25" s="14">
        <v>10</v>
      </c>
      <c r="H25" s="22"/>
      <c r="I25" s="33"/>
      <c r="J25" s="34"/>
      <c r="K25" s="34"/>
      <c r="L25" s="33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2</v>
      </c>
      <c r="E26" s="5">
        <v>3</v>
      </c>
      <c r="F26" s="14">
        <v>4</v>
      </c>
      <c r="G26" s="14">
        <v>25</v>
      </c>
      <c r="H26" s="14">
        <v>3</v>
      </c>
      <c r="I26" s="34">
        <v>9</v>
      </c>
      <c r="J26" s="34">
        <v>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3</v>
      </c>
      <c r="E27" s="14">
        <v>3</v>
      </c>
      <c r="F27" s="14">
        <v>4</v>
      </c>
      <c r="G27" s="14">
        <v>50</v>
      </c>
      <c r="H27" s="14">
        <v>3</v>
      </c>
      <c r="I27" s="34">
        <v>9</v>
      </c>
      <c r="J27" s="34">
        <v>25</v>
      </c>
      <c r="K27" s="34">
        <v>3</v>
      </c>
      <c r="L27" s="34">
        <v>14</v>
      </c>
      <c r="M27" s="34">
        <v>10</v>
      </c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19</v>
      </c>
      <c r="C28" s="14">
        <v>4</v>
      </c>
      <c r="D28" s="14">
        <v>4</v>
      </c>
      <c r="E28" s="14">
        <v>3</v>
      </c>
      <c r="F28" s="14">
        <v>4</v>
      </c>
      <c r="G28" s="14">
        <v>100</v>
      </c>
      <c r="H28" s="14">
        <v>3</v>
      </c>
      <c r="I28" s="34">
        <v>9</v>
      </c>
      <c r="J28" s="34">
        <v>50</v>
      </c>
      <c r="K28" s="34">
        <v>3</v>
      </c>
      <c r="L28" s="34">
        <v>14</v>
      </c>
      <c r="M28" s="34">
        <v>25</v>
      </c>
      <c r="N28" s="34">
        <v>3</v>
      </c>
      <c r="O28" s="34">
        <v>19</v>
      </c>
      <c r="P28" s="34">
        <v>10</v>
      </c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20</v>
      </c>
      <c r="C29" s="14">
        <v>4</v>
      </c>
      <c r="D29" s="14">
        <v>5</v>
      </c>
      <c r="E29" s="5">
        <v>3</v>
      </c>
      <c r="F29" s="14">
        <v>4</v>
      </c>
      <c r="G29" s="14">
        <v>200</v>
      </c>
      <c r="H29" s="14">
        <v>3</v>
      </c>
      <c r="I29" s="34">
        <v>9</v>
      </c>
      <c r="J29" s="34">
        <v>100</v>
      </c>
      <c r="K29" s="34">
        <v>3</v>
      </c>
      <c r="L29" s="34">
        <v>14</v>
      </c>
      <c r="M29" s="34">
        <v>50</v>
      </c>
      <c r="N29" s="34">
        <v>3</v>
      </c>
      <c r="O29" s="34">
        <v>19</v>
      </c>
      <c r="P29" s="34">
        <v>25</v>
      </c>
      <c r="Q29" s="34">
        <v>3</v>
      </c>
      <c r="R29" s="34">
        <v>21</v>
      </c>
      <c r="S29" s="34">
        <v>1</v>
      </c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21</v>
      </c>
      <c r="C30" s="14">
        <v>5</v>
      </c>
      <c r="D30" s="14">
        <v>1</v>
      </c>
      <c r="E30" s="5">
        <v>3</v>
      </c>
      <c r="F30" s="14">
        <v>5</v>
      </c>
      <c r="G30" s="14">
        <v>10</v>
      </c>
      <c r="H30" s="22"/>
      <c r="I30" s="33"/>
      <c r="J30" s="34"/>
      <c r="K30" s="34"/>
      <c r="L30" s="33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22</v>
      </c>
      <c r="C31" s="14">
        <v>5</v>
      </c>
      <c r="D31" s="14">
        <v>2</v>
      </c>
      <c r="E31" s="5">
        <v>3</v>
      </c>
      <c r="F31" s="14">
        <v>5</v>
      </c>
      <c r="G31" s="14">
        <v>25</v>
      </c>
      <c r="H31" s="14">
        <v>3</v>
      </c>
      <c r="I31" s="34">
        <v>10</v>
      </c>
      <c r="J31" s="34">
        <v>10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23</v>
      </c>
      <c r="C32" s="14">
        <v>5</v>
      </c>
      <c r="D32" s="14">
        <v>3</v>
      </c>
      <c r="E32" s="14">
        <v>3</v>
      </c>
      <c r="F32" s="14">
        <v>5</v>
      </c>
      <c r="G32" s="14">
        <v>50</v>
      </c>
      <c r="H32" s="14">
        <v>3</v>
      </c>
      <c r="I32" s="34">
        <v>10</v>
      </c>
      <c r="J32" s="34">
        <v>25</v>
      </c>
      <c r="K32" s="34">
        <v>3</v>
      </c>
      <c r="L32" s="34">
        <v>15</v>
      </c>
      <c r="M32" s="34">
        <v>10</v>
      </c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24</v>
      </c>
      <c r="C33" s="14">
        <v>5</v>
      </c>
      <c r="D33" s="14">
        <v>4</v>
      </c>
      <c r="E33" s="14">
        <v>3</v>
      </c>
      <c r="F33" s="14">
        <v>5</v>
      </c>
      <c r="G33" s="14">
        <v>100</v>
      </c>
      <c r="H33" s="14">
        <v>3</v>
      </c>
      <c r="I33" s="34">
        <v>10</v>
      </c>
      <c r="J33" s="34">
        <v>50</v>
      </c>
      <c r="K33" s="34">
        <v>3</v>
      </c>
      <c r="L33" s="34">
        <v>15</v>
      </c>
      <c r="M33" s="34">
        <v>25</v>
      </c>
      <c r="N33" s="34">
        <v>3</v>
      </c>
      <c r="O33" s="34">
        <v>20</v>
      </c>
      <c r="P33" s="34">
        <v>10</v>
      </c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25</v>
      </c>
      <c r="C34" s="14">
        <v>5</v>
      </c>
      <c r="D34" s="14">
        <v>5</v>
      </c>
      <c r="E34" s="5">
        <v>3</v>
      </c>
      <c r="F34" s="14">
        <v>5</v>
      </c>
      <c r="G34" s="14">
        <v>200</v>
      </c>
      <c r="H34" s="14">
        <v>3</v>
      </c>
      <c r="I34" s="34">
        <v>10</v>
      </c>
      <c r="J34" s="34">
        <v>100</v>
      </c>
      <c r="K34" s="34">
        <v>3</v>
      </c>
      <c r="L34" s="34">
        <v>15</v>
      </c>
      <c r="M34" s="34">
        <v>50</v>
      </c>
      <c r="N34" s="34">
        <v>3</v>
      </c>
      <c r="O34" s="34">
        <v>20</v>
      </c>
      <c r="P34" s="34">
        <v>25</v>
      </c>
      <c r="Q34" s="34">
        <v>3</v>
      </c>
      <c r="R34" s="34">
        <v>21</v>
      </c>
      <c r="S34" s="34">
        <v>1</v>
      </c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34"/>
      <c r="J43" s="53"/>
      <c r="K43" s="53"/>
      <c r="L43" s="34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3"/>
      <c r="K44" s="53"/>
      <c r="L44" s="34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3"/>
      <c r="K45" s="53"/>
      <c r="L45" s="34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3"/>
      <c r="K46" s="53"/>
      <c r="L46" s="34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3"/>
      <c r="K47" s="53"/>
      <c r="L47" s="34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3"/>
      <c r="K48" s="53"/>
      <c r="L48" s="34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3"/>
      <c r="K49" s="53"/>
      <c r="L49" s="34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3"/>
      <c r="K50" s="53"/>
      <c r="L50" s="34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3"/>
      <c r="K51" s="53"/>
      <c r="L51" s="34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33"/>
      <c r="J52" s="53"/>
      <c r="K52" s="53"/>
      <c r="L52" s="3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34"/>
      <c r="J53" s="53"/>
      <c r="K53" s="53"/>
      <c r="L53" s="34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3"/>
      <c r="K54" s="53"/>
      <c r="L54" s="34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33"/>
      <c r="J55" s="53"/>
      <c r="K55" s="53"/>
      <c r="L55" s="3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34"/>
      <c r="J56" s="53"/>
      <c r="K56" s="53"/>
      <c r="L56" s="34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3"/>
      <c r="K57" s="53"/>
      <c r="L57" s="34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33"/>
      <c r="J58" s="53"/>
      <c r="K58" s="53"/>
      <c r="L58" s="3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34"/>
      <c r="J59" s="53"/>
      <c r="K59" s="53"/>
      <c r="L59" s="34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3"/>
      <c r="K60" s="53"/>
      <c r="L60" s="34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33"/>
      <c r="J61" s="53"/>
      <c r="K61" s="53"/>
      <c r="L61" s="3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34"/>
      <c r="J62" s="53"/>
      <c r="K62" s="53"/>
      <c r="L62" s="34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3"/>
      <c r="K63" s="53"/>
      <c r="L63" s="34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33"/>
      <c r="J64" s="53"/>
      <c r="K64" s="53"/>
      <c r="L64" s="3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34"/>
      <c r="J65" s="53"/>
      <c r="K65" s="53"/>
      <c r="L65" s="34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3"/>
      <c r="K66" s="53"/>
      <c r="L66" s="34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19"/>
  <sheetViews>
    <sheetView tabSelected="1" topLeftCell="C3" workbookViewId="0">
      <selection activeCell="I8" sqref="I8"/>
    </sheetView>
  </sheetViews>
  <sheetFormatPr defaultRowHeight="14.25"/>
  <cols>
    <col min="1" max="1" width="9" style="59" hidden="1" customWidth="1"/>
    <col min="2" max="2" width="10.625" style="59" hidden="1" customWidth="1"/>
    <col min="3" max="3" width="3.75" style="59" customWidth="1"/>
    <col min="4" max="15" width="13.25" style="59" customWidth="1"/>
    <col min="16" max="16384" width="9" style="59"/>
  </cols>
  <sheetData>
    <row r="1" spans="2:15" ht="15" hidden="1" thickBot="1"/>
    <row r="2" spans="2:15" ht="15" hidden="1" customHeight="1" thickBot="1">
      <c r="B2" s="60" t="s">
        <v>1983</v>
      </c>
    </row>
    <row r="3" spans="2:15" ht="15" customHeight="1" thickBot="1">
      <c r="B3" s="76"/>
    </row>
    <row r="4" spans="2:15" ht="15" thickBot="1">
      <c r="D4" s="64" t="s">
        <v>1989</v>
      </c>
      <c r="E4" s="63" t="s">
        <v>1520</v>
      </c>
      <c r="F4" s="62" t="s">
        <v>1985</v>
      </c>
      <c r="G4" s="62" t="s">
        <v>1987</v>
      </c>
      <c r="H4" s="61" t="s">
        <v>1988</v>
      </c>
      <c r="I4" s="76"/>
      <c r="J4" s="76"/>
    </row>
    <row r="5" spans="2:15">
      <c r="D5" s="65" t="s">
        <v>1984</v>
      </c>
      <c r="E5" s="69">
        <v>27</v>
      </c>
      <c r="F5" s="70">
        <v>1</v>
      </c>
      <c r="G5" s="70">
        <v>0</v>
      </c>
      <c r="H5" s="71">
        <v>0</v>
      </c>
      <c r="I5" s="76"/>
      <c r="J5" s="76"/>
    </row>
    <row r="6" spans="2:15" ht="15" thickBot="1">
      <c r="D6" s="66" t="s">
        <v>1986</v>
      </c>
      <c r="E6" s="72">
        <v>35</v>
      </c>
      <c r="F6" s="73">
        <v>1</v>
      </c>
      <c r="G6" s="73">
        <v>0</v>
      </c>
      <c r="H6" s="74">
        <v>0</v>
      </c>
      <c r="I6" s="76"/>
      <c r="J6" s="76"/>
    </row>
    <row r="7" spans="2:15" ht="15" thickBot="1"/>
    <row r="8" spans="2:15" ht="15" thickBot="1">
      <c r="D8" s="64" t="s">
        <v>1995</v>
      </c>
      <c r="E8" s="68">
        <v>150</v>
      </c>
    </row>
    <row r="9" spans="2:15" ht="15" thickBot="1"/>
    <row r="10" spans="2:15" ht="15" thickBot="1">
      <c r="D10" s="64" t="s">
        <v>1990</v>
      </c>
      <c r="E10" s="63" t="s">
        <v>2015</v>
      </c>
      <c r="F10" s="68" t="s">
        <v>2016</v>
      </c>
      <c r="G10" s="76"/>
      <c r="H10" s="76"/>
      <c r="I10" s="76"/>
      <c r="J10" s="76"/>
    </row>
    <row r="11" spans="2:15" ht="15" thickBot="1">
      <c r="D11" s="67" t="s">
        <v>2001</v>
      </c>
      <c r="E11" s="78">
        <v>31</v>
      </c>
      <c r="F11" s="75">
        <v>252</v>
      </c>
      <c r="G11" s="76"/>
      <c r="H11" s="76"/>
      <c r="I11" s="76"/>
      <c r="J11" s="76"/>
    </row>
    <row r="12" spans="2:15" ht="15" thickBot="1"/>
    <row r="13" spans="2:15" ht="15" thickBot="1">
      <c r="D13" s="77" t="s">
        <v>1999</v>
      </c>
      <c r="E13" s="63" t="s">
        <v>2000</v>
      </c>
      <c r="F13" s="62" t="s">
        <v>1991</v>
      </c>
      <c r="G13" s="62" t="s">
        <v>1992</v>
      </c>
      <c r="H13" s="62" t="s">
        <v>1993</v>
      </c>
      <c r="I13" s="62" t="s">
        <v>2019</v>
      </c>
      <c r="J13" s="62" t="s">
        <v>2020</v>
      </c>
      <c r="K13" s="62" t="s">
        <v>1994</v>
      </c>
      <c r="L13" s="63" t="s">
        <v>2011</v>
      </c>
      <c r="M13" s="62" t="s">
        <v>2012</v>
      </c>
      <c r="N13" s="62" t="s">
        <v>2013</v>
      </c>
      <c r="O13" s="61" t="s">
        <v>2014</v>
      </c>
    </row>
    <row r="14" spans="2:15">
      <c r="D14" s="65" t="s">
        <v>1984</v>
      </c>
      <c r="E14" s="69" t="str">
        <f>_xlfn.XLOOKUP($E$5,MonsterMB!$B:$B,MonsterMB!$C:$C)</f>
        <v>水の魔老人</v>
      </c>
      <c r="F14" s="70">
        <f>ROUNDDOWN(($L$14*2+$G$11+$H$11/4)*F5/100+F5+10,0)</f>
        <v>12</v>
      </c>
      <c r="G14" s="70">
        <f>ROUNDDOWN(($M$14*2+$E$11+$F$11/4)*$F$5/100+5,0)</f>
        <v>7</v>
      </c>
      <c r="H14" s="70">
        <f>ROUNDDOWN(($N$14*2+$E$11+$F$11/4)*$F$5/100+5,0)</f>
        <v>7</v>
      </c>
      <c r="I14" s="70">
        <f>ROUNDDOWN(ROUNDDOWN(($M$14*2+$E$11+$F$11/4)*$F$5/100+5,0)*(100+G5)/100,0)</f>
        <v>7</v>
      </c>
      <c r="J14" s="70">
        <f>ROUNDDOWN(ROUNDDOWN(($N$14*2+$E$11+$F$11/4)*$F$5/100+5,0)*(100+H5)/100,0)</f>
        <v>7</v>
      </c>
      <c r="K14" s="70">
        <f>ROUNDDOWN(($O$14*2+$E$11+$F$11/4)*$F$5/100+5,0)</f>
        <v>7</v>
      </c>
      <c r="L14" s="69">
        <f>_xlfn.XLOOKUP($E$5,MonsterMB!$B:$B,MonsterMB!$I:$I)</f>
        <v>80</v>
      </c>
      <c r="M14" s="70">
        <f>_xlfn.XLOOKUP($E$5,MonsterMB!$B:$B,MonsterMB!$J:$J)</f>
        <v>80</v>
      </c>
      <c r="N14" s="70">
        <f>_xlfn.XLOOKUP($E$5,MonsterMB!$B:$B,MonsterMB!$K:$K)</f>
        <v>80</v>
      </c>
      <c r="O14" s="71">
        <f>_xlfn.XLOOKUP($E$5,MonsterMB!$B:$B,MonsterMB!$L:$L)</f>
        <v>80</v>
      </c>
    </row>
    <row r="15" spans="2:15" ht="15" thickBot="1">
      <c r="D15" s="66" t="s">
        <v>1986</v>
      </c>
      <c r="E15" s="72" t="str">
        <f>_xlfn.XLOOKUP($E$6,MonsterMB!$B:$B,MonsterMB!$C:$C)</f>
        <v>闇のドラゴン</v>
      </c>
      <c r="F15" s="73">
        <f>ROUNDDOWN(($L$15*2+$G$11+$H$11/4)*F6/100+F6+10,0)</f>
        <v>12</v>
      </c>
      <c r="G15" s="73">
        <f>ROUNDDOWN(($M$15*2+$E$11+$F$11/4)*$F$6/100+5,0)</f>
        <v>7</v>
      </c>
      <c r="H15" s="73">
        <f>ROUNDDOWN(($N$15*2+$E$11+$F$11/4)*$F$6/100+5,0)</f>
        <v>7</v>
      </c>
      <c r="I15" s="73">
        <f>ROUNDDOWN(ROUNDDOWN(($M$15*2+$E$11+$F$11/4)*$F$6/100+5,0)*(100+G6)/100,0)</f>
        <v>7</v>
      </c>
      <c r="J15" s="73">
        <f>ROUNDDOWN(ROUNDDOWN(($N$15*2+$E$11+$F$11/4)*$F$6/100+5,0)*(100+H6)/100,0)</f>
        <v>7</v>
      </c>
      <c r="K15" s="73">
        <f>ROUNDDOWN(($O$15*2+$E$11+$F$11/4)*$F$6/100+5,0)</f>
        <v>7</v>
      </c>
      <c r="L15" s="73">
        <f>_xlfn.XLOOKUP($E$6,MonsterMB!$B:$B,MonsterMB!$I:$I)</f>
        <v>80</v>
      </c>
      <c r="M15" s="73">
        <f>_xlfn.XLOOKUP($E$6,MonsterMB!$B:$B,MonsterMB!$J:$J)</f>
        <v>80</v>
      </c>
      <c r="N15" s="73">
        <f>_xlfn.XLOOKUP($E$6,MonsterMB!$B:$B,MonsterMB!$K:$K)</f>
        <v>80</v>
      </c>
      <c r="O15" s="74">
        <f>_xlfn.XLOOKUP($E$6,MonsterMB!$B:$B,MonsterMB!$L:$L)</f>
        <v>80</v>
      </c>
    </row>
    <row r="16" spans="2:15" ht="15" thickBot="1"/>
    <row r="17" spans="4:9" ht="15" thickBot="1">
      <c r="D17" s="79" t="s">
        <v>1996</v>
      </c>
      <c r="E17" s="63" t="s">
        <v>1997</v>
      </c>
      <c r="F17" s="62" t="s">
        <v>1998</v>
      </c>
      <c r="G17" s="62" t="s">
        <v>2021</v>
      </c>
      <c r="H17" s="62" t="s">
        <v>2022</v>
      </c>
      <c r="I17" s="80" t="s">
        <v>2023</v>
      </c>
    </row>
    <row r="18" spans="4:9">
      <c r="D18" s="65" t="s">
        <v>2017</v>
      </c>
      <c r="E18" s="69">
        <f>ROUNDDOWN((ROUNDDOWN(ROUNDDOWN(ROUNDDOWN($F$5*2/5+2,0)*$E$8*$I$14/$J$15,0)/50,0)+2)*0.85,0)</f>
        <v>6</v>
      </c>
      <c r="F18" s="70">
        <f>ROUNDDOWN((ROUNDDOWN(ROUNDDOWN(ROUNDDOWN($F$5*2/5+2,0)*$E$8*$I$14/$J$15,0)/50,0)+2)*1,0)</f>
        <v>8</v>
      </c>
      <c r="G18" s="70"/>
      <c r="H18" s="70"/>
      <c r="I18" s="71"/>
    </row>
    <row r="19" spans="4:9" ht="15" thickBot="1">
      <c r="D19" s="66" t="s">
        <v>2018</v>
      </c>
      <c r="E19" s="72">
        <f>ROUNDDOWN((I14*(E8/100)*(1-(J15/(180+20*F6))))*0.85,0)</f>
        <v>8</v>
      </c>
      <c r="F19" s="73">
        <f>ROUNDDOWN(I14*(E8/100)*(1-(J15/(180+20*F6))),0)</f>
        <v>10</v>
      </c>
      <c r="G19" s="73"/>
      <c r="H19" s="73"/>
      <c r="I19" s="74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2022-04-06T04:25:39Z</dcterms:modified>
</cp:coreProperties>
</file>