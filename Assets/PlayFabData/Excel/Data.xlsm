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56AB7BF2-470C-4132-82E8-058685047057}" xr6:coauthVersionLast="47" xr6:coauthVersionMax="47" xr10:uidLastSave="{00000000-0000-0000-0000-000000000000}"/>
  <bookViews>
    <workbookView xWindow="-120" yWindow="-120" windowWidth="29040" windowHeight="15840" firstSheet="20" activeTab="26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  <sheet name="SkillLevelUpTableMB" sheetId="28" r:id="rId25"/>
    <sheet name="MaxMonsterLevelMB" sheetId="29" r:id="rId26"/>
    <sheet name="GradeUpTableMB" sheetId="30" r:id="rId27"/>
    <sheet name="LockableMB" sheetId="33" r:id="rId28"/>
    <sheet name="ダメージシミュレーション" sheetId="31" r:id="rId2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0" roundtripDataSignature="AMtx7mi1iiCHMCpdZRORiJYO+zEEYvYOEw=="/>
    </ext>
  </extLst>
</workbook>
</file>

<file path=xl/calcChain.xml><?xml version="1.0" encoding="utf-8"?>
<calcChain xmlns="http://schemas.openxmlformats.org/spreadsheetml/2006/main">
  <c r="CG71" i="7" l="1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D14" i="10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D13" i="10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3" i="1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D110" i="11" s="1"/>
  <c r="E12" i="11"/>
  <c r="E12" i="10"/>
  <c r="I31" i="31" l="1"/>
  <c r="I23" i="31"/>
  <c r="J32" i="31"/>
  <c r="F19" i="31"/>
  <c r="E19" i="31"/>
  <c r="F18" i="31"/>
  <c r="E18" i="31"/>
  <c r="E27" i="31"/>
  <c r="E26" i="31"/>
  <c r="F27" i="31"/>
  <c r="E13" i="1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E13" i="10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F35" i="31" l="1"/>
  <c r="E35" i="31"/>
  <c r="E34" i="31"/>
  <c r="G19" i="31"/>
  <c r="F34" i="31"/>
  <c r="G18" i="31"/>
  <c r="G27" i="31"/>
  <c r="F26" i="31"/>
  <c r="G26" i="31" s="1"/>
  <c r="G35" i="31" l="1"/>
  <c r="G34" i="31"/>
</calcChain>
</file>

<file path=xl/sharedStrings.xml><?xml version="1.0" encoding="utf-8"?>
<sst xmlns="http://schemas.openxmlformats.org/spreadsheetml/2006/main" count="5382" uniqueCount="2030">
  <si>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</si>
  <si>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</si>
  <si>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</si>
  <si>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</si>
  <si>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</si>
  <si>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</si>
  <si>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</si>
  <si>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</si>
  <si>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</si>
  <si>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</si>
  <si>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</si>
  <si>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</si>
  <si>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</si>
  <si>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</si>
  <si>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</si>
  <si>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</si>
  <si>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</si>
  <si>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</si>
  <si>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</si>
  <si>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</si>
  <si>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</si>
  <si>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</si>
  <si>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</si>
  <si>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</si>
  <si>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</si>
  <si>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</si>
  <si>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</si>
  <si>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</si>
  <si>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</si>
  <si>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</si>
  <si>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</si>
  <si>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</si>
  <si>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</si>
  <si>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</si>
  <si>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</si>
  <si>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</si>
  <si>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</si>
  <si>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</si>
  <si>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</si>
  <si>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</si>
  <si>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</si>
  <si>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</si>
  <si>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</si>
  <si>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</si>
  <si>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</si>
  <si>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</si>
  <si>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</si>
  <si>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</si>
  <si>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</si>
  <si>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</si>
  <si>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</si>
  <si>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</si>
  <si>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</si>
  <si>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</si>
  <si>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</si>
  <si>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</si>
  <si>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</si>
  <si>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</si>
  <si>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</si>
  <si>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</si>
  <si>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</si>
  <si>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</si>
  <si>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</si>
  <si>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</si>
  <si>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</si>
  <si>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</si>
  <si>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</si>
  <si>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</si>
  <si>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</si>
  <si>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</si>
  <si>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</si>
  <si>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</si>
  <si>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</si>
  <si>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</si>
  <si>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</si>
  <si>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</si>
  <si>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</si>
  <si>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</si>
  <si>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</si>
  <si>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</si>
  <si>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</si>
  <si>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</si>
  <si>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</si>
  <si>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</si>
  <si>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</si>
  <si>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</si>
  <si>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</si>
  <si>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</si>
  <si>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</si>
  <si>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</si>
  <si>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</si>
  <si>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</si>
  <si>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</si>
  <si>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</si>
  <si>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</si>
  <si>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</si>
  <si>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</si>
  <si>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</si>
  <si>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</si>
  <si>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</si>
  <si>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</si>
  <si>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</si>
  <si>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</si>
  <si>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</si>
  <si>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</si>
  <si>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</si>
  <si>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</si>
  <si>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</si>
  <si>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</si>
  <si>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</si>
  <si>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</si>
  <si>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</si>
  <si>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</si>
  <si>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</si>
  <si>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</si>
  <si>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</si>
  <si>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</si>
  <si>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</si>
  <si>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</si>
  <si>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</si>
  <si>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</si>
  <si>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</si>
  <si>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</si>
  <si>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</si>
  <si>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</si>
  <si>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</si>
  <si>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</si>
  <si>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</si>
  <si>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</si>
  <si>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</si>
  <si>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</si>
  <si>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</si>
  <si>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</si>
  <si>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</si>
  <si>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</si>
  <si>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</si>
  <si>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</si>
  <si>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</si>
  <si>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</si>
  <si>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</si>
  <si>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</si>
  <si>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</si>
  <si>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</si>
  <si>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</si>
  <si>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</si>
  <si>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</si>
  <si>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</si>
  <si>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</si>
  <si>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</si>
  <si>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</si>
  <si>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</si>
  <si>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</si>
  <si>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</si>
  <si>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</si>
  <si>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</si>
  <si>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</si>
  <si>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</si>
  <si>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</si>
  <si>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</si>
  <si>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</si>
  <si>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</si>
  <si>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</si>
  <si>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</si>
  <si>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</si>
  <si>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</si>
  <si>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</si>
  <si>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</si>
  <si>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</si>
  <si>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</si>
  <si>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</si>
  <si>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</si>
  <si>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</si>
  <si>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</si>
  <si>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</si>
  <si>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</si>
  <si>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</si>
  <si>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</si>
  <si>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</si>
  <si>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</si>
  <si>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</si>
  <si>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</si>
  <si>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</si>
  <si>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</si>
  <si>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</si>
  <si>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</si>
  <si>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</si>
  <si>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</si>
  <si>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</si>
  <si>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</si>
  <si>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</si>
  <si>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</si>
  <si>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</si>
  <si>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</si>
  <si>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</si>
  <si>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</si>
  <si>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</si>
  <si>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</si>
  <si>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</si>
  <si>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</si>
  <si>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</si>
  <si>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</si>
  <si>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</si>
  <si>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</si>
  <si>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</si>
  <si>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</si>
  <si>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</si>
  <si>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</si>
  <si>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</si>
  <si>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</si>
  <si>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</si>
  <si>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</si>
  <si>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</si>
  <si>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</si>
  <si>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</si>
  <si>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</si>
  <si>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</si>
  <si>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</si>
  <si>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</si>
  <si>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</si>
  <si>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</si>
  <si>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</si>
  <si>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</si>
  <si>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</si>
  <si>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</si>
  <si>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gachaExecuteType</t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</si>
  <si>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</si>
  <si>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</si>
  <si>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</si>
  <si>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</si>
  <si>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</si>
  <si>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</si>
  <si>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</si>
  <si>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</si>
  <si>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</si>
  <si>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</si>
  <si>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</si>
  <si>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</si>
  <si>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</si>
  <si>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</si>
  <si>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</si>
  <si>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</si>
  <si>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</si>
  <si>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</si>
  <si>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</si>
  <si>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</si>
  <si>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</si>
  <si>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</si>
  <si>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</si>
  <si>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</si>
  <si>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</si>
  <si>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</si>
  <si>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</si>
  <si>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</si>
  <si>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</si>
  <si>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</si>
  <si>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</si>
  <si>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</si>
  <si>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</si>
  <si>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</si>
  <si>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</si>
  <si>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</si>
  <si>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</si>
  <si>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</si>
  <si>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</si>
  <si>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</si>
  <si>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</si>
  <si>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</si>
  <si>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</si>
  <si>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</si>
  <si>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</si>
  <si>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</si>
  <si>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</si>
  <si>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</si>
  <si>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</si>
  <si>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</si>
  <si>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</si>
  <si>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</si>
  <si>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</si>
  <si>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</si>
  <si>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</si>
  <si>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</si>
  <si>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</si>
  <si>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</si>
  <si>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</si>
  <si>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</si>
  <si>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</si>
  <si>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</si>
  <si>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</si>
  <si>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</si>
  <si>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</si>
  <si>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</si>
  <si>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</si>
  <si>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</si>
  <si>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</si>
  <si>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</si>
  <si>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</si>
  <si>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</si>
  <si>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</si>
  <si>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</si>
  <si>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</si>
  <si>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</si>
  <si>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</si>
  <si>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</si>
  <si>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</si>
  <si>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</si>
  <si>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</si>
  <si>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</si>
  <si>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</si>
  <si>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</si>
  <si>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</si>
  <si>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</si>
  <si>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</si>
  <si>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</si>
  <si>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</si>
  <si>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</si>
  <si>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</si>
  <si>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</si>
  <si>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</si>
  <si>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</si>
  <si>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</si>
  <si>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</si>
  <si>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</si>
  <si>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</si>
  <si>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</si>
  <si>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</si>
  <si>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</si>
  <si>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</si>
  <si>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</si>
  <si>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</si>
  <si>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</si>
  <si>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</si>
  <si>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</si>
  <si>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</si>
  <si>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</si>
  <si>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</si>
  <si>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</si>
  <si>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</si>
  <si>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</si>
  <si>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</si>
  <si>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</si>
  <si>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</si>
  <si>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</si>
  <si>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</si>
  <si>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</si>
  <si>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</si>
  <si>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</si>
  <si>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</si>
  <si>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</si>
  <si>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</si>
  <si>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</si>
  <si>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</si>
  <si>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</si>
  <si>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</si>
  <si>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</si>
  <si>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</si>
  <si>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</si>
  <si>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</si>
  <si>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</si>
  <si>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</si>
  <si>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</si>
  <si>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</si>
  <si>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</si>
  <si>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</si>
  <si>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</si>
  <si>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</si>
  <si>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</si>
  <si>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</si>
  <si>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</si>
  <si>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</si>
  <si>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</si>
  <si>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</si>
  <si>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</si>
  <si>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</si>
  <si>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</si>
  <si>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</si>
  <si>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</si>
  <si>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</si>
  <si>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</si>
  <si>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</si>
  <si>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</si>
  <si>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</si>
  <si>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</si>
  <si>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</si>
  <si>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</si>
  <si>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</si>
  <si>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</si>
  <si>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</si>
  <si>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</si>
  <si>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</si>
  <si>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</si>
  <si>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</si>
  <si>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</si>
  <si>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</si>
  <si>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</si>
  <si>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</si>
  <si>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</si>
  <si>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</si>
  <si>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</si>
  <si>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</si>
  <si>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</si>
  <si>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</si>
  <si>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</si>
  <si>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</si>
  <si>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</si>
  <si>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</si>
  <si>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</si>
  <si>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</si>
  <si>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</si>
  <si>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</si>
  <si>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</si>
  <si>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</si>
  <si>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</si>
  <si>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</si>
  <si>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</si>
  <si>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</si>
  <si>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</si>
  <si>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</si>
  <si>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</si>
  <si>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</si>
  <si>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</si>
  <si>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</si>
  <si>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</si>
  <si>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</si>
  <si>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</si>
  <si>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</si>
  <si>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</si>
  <si>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</si>
  <si>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</si>
  <si>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</si>
  <si>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</si>
  <si>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</si>
  <si>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</si>
  <si>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</si>
  <si>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</si>
  <si>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</si>
  <si>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</si>
  <si>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</si>
  <si>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</si>
  <si>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</si>
  <si>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</si>
  <si>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</si>
  <si>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</si>
  <si>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</si>
  <si>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</si>
  <si>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</si>
  <si>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</si>
  <si>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</si>
  <si>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</si>
  <si>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</si>
  <si>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</si>
  <si>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</si>
  <si>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</si>
  <si>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</si>
  <si>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</si>
  <si>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</si>
  <si>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</si>
  <si>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</si>
  <si>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</si>
  <si>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</si>
  <si>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</si>
  <si>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</si>
  <si>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</si>
  <si>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</si>
  <si>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</si>
  <si>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</si>
  <si>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</si>
  <si>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</si>
  <si>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</si>
  <si>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</si>
  <si>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</si>
  <si>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</si>
  <si>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</si>
  <si>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</si>
  <si>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</si>
  <si>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</si>
  <si>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</si>
  <si>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</si>
  <si>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</si>
  <si>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</si>
  <si>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</si>
  <si>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</si>
  <si>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</si>
  <si>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</si>
  <si>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</si>
  <si>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</si>
  <si>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</si>
  <si>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</si>
  <si>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</si>
  <si>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</si>
  <si>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</si>
  <si>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</si>
  <si>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</si>
  <si>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</si>
  <si>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</si>
  <si>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</si>
  <si>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</si>
  <si>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</si>
  <si>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</si>
  <si>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</si>
  <si>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</si>
  <si>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</si>
  <si>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</si>
  <si>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</si>
  <si>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</si>
  <si>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</si>
  <si>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</si>
  <si>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</si>
  <si>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</si>
  <si>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</si>
  <si>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</si>
  <si>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</si>
  <si>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</si>
  <si>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</si>
  <si>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</si>
  <si>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</si>
  <si>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</si>
  <si>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</si>
  <si>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</si>
  <si>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</si>
  <si>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</si>
  <si>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</si>
  <si>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</si>
  <si>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</si>
  <si>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</si>
  <si>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</si>
  <si>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</si>
  <si>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</si>
  <si>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</si>
  <si>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</si>
  <si>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</si>
  <si>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</si>
  <si>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</si>
  <si>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</si>
  <si>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</si>
  <si>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</si>
  <si>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</si>
  <si>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</si>
  <si>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</si>
  <si>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</si>
  <si>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</si>
  <si>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</si>
  <si>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</si>
  <si>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</si>
  <si>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</si>
  <si>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</si>
  <si>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</si>
  <si>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</si>
  <si>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</si>
  <si>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</si>
  <si>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</si>
  <si>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</si>
  <si>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</si>
  <si>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</si>
  <si>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</si>
  <si>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</si>
  <si>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</si>
  <si>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</si>
  <si>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</si>
  <si>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</si>
  <si>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</si>
  <si>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</si>
  <si>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</si>
  <si>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</si>
  <si>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</si>
  <si>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</si>
  <si>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</si>
  <si>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</si>
  <si>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</si>
  <si>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</si>
  <si>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</si>
  <si>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</si>
  <si>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</si>
  <si>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</si>
  <si>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</si>
  <si>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</si>
  <si>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</si>
  <si>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</si>
  <si>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</si>
  <si>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</si>
  <si>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</si>
  <si>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</si>
  <si>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</si>
  <si>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</si>
  <si>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</si>
  <si>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</si>
  <si>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</si>
  <si>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</si>
  <si>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</si>
  <si>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</si>
  <si>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</si>
  <si>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</si>
  <si>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</si>
  <si>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</si>
  <si>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</si>
  <si>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</si>
  <si>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</si>
  <si>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</si>
  <si>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</si>
  <si>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</si>
  <si>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</si>
  <si>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</si>
  <si>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</si>
  <si>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</si>
  <si>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</si>
  <si>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</si>
  <si>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</si>
  <si>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</si>
  <si>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</si>
  <si>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</si>
  <si>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</si>
  <si>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</si>
  <si>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</si>
  <si>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</si>
  <si>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</si>
  <si>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</si>
  <si>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</si>
  <si>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</si>
  <si>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</si>
  <si>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</si>
  <si>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</si>
  <si>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</si>
  <si>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</si>
  <si>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</si>
  <si>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</si>
  <si>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</si>
  <si>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</si>
  <si>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</si>
  <si>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</si>
  <si>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</si>
  <si>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</si>
  <si>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</si>
  <si>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</si>
  <si>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</si>
  <si>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</si>
  <si>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</si>
  <si>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</si>
  <si>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</si>
  <si>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</si>
  <si>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</si>
  <si>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</si>
  <si>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</si>
  <si>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</si>
  <si>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</si>
  <si>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</si>
  <si>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</si>
  <si>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</si>
  <si>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</si>
  <si>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</si>
  <si>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</si>
  <si>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</si>
  <si>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</si>
  <si>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</si>
  <si>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</si>
  <si>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</si>
  <si>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</si>
  <si>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</si>
  <si>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</si>
  <si>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</si>
  <si>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</si>
  <si>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</si>
  <si>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</si>
  <si>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</si>
  <si>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</si>
  <si>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</si>
  <si>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</si>
  <si>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</si>
  <si>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</si>
  <si>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</si>
  <si>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</si>
  <si>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</si>
  <si>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</si>
  <si>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</si>
  <si>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</si>
  <si>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</si>
  <si>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</si>
  <si>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</si>
  <si>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</si>
  <si>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</si>
  <si>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</si>
  <si>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</si>
  <si>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</si>
  <si>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</si>
  <si>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</si>
  <si>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</si>
  <si>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</si>
  <si>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</si>
  <si>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</si>
  <si>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</si>
  <si>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</si>
  <si>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</si>
  <si>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</si>
  <si>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</si>
  <si>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</si>
  <si>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</si>
  <si>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</si>
  <si>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</si>
  <si>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</si>
  <si>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</si>
  <si>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</si>
  <si>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</si>
  <si>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</si>
  <si>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</si>
  <si>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</si>
  <si>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</si>
  <si>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</si>
  <si>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</si>
  <si>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</si>
  <si>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</si>
  <si>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</si>
  <si>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</si>
  <si>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</si>
  <si>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</si>
  <si>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</si>
  <si>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</si>
  <si>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</si>
  <si>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</si>
  <si>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</si>
  <si>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</si>
  <si>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</si>
  <si>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</si>
  <si>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</si>
  <si>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</si>
  <si>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</si>
  <si>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</si>
  <si>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</si>
  <si>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</si>
  <si>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</si>
  <si>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</si>
  <si>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</si>
  <si>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</si>
  <si>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</si>
  <si>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</si>
  <si>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</si>
  <si>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</si>
  <si>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</si>
  <si>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</si>
  <si>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</si>
  <si>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</si>
  <si>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</si>
  <si>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</si>
  <si>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</si>
  <si>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</si>
  <si>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</si>
  <si>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</si>
  <si>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</si>
  <si>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</si>
  <si>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</si>
  <si>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</si>
  <si>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</si>
  <si>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</si>
  <si>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</si>
  <si>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</si>
  <si>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</si>
  <si>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</si>
  <si>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</si>
  <si>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</si>
  <si>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</si>
  <si>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</si>
  <si>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</si>
  <si>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</si>
  <si>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</si>
  <si>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</si>
  <si>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</si>
  <si>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</si>
  <si>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</si>
  <si>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</si>
  <si>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</si>
  <si>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</si>
  <si>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</si>
  <si>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</si>
  <si>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</si>
  <si>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</si>
  <si>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</si>
  <si>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</si>
  <si>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</si>
  <si>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</si>
  <si>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</si>
  <si>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</si>
  <si>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</si>
  <si>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</si>
  <si>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</si>
  <si>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</si>
  <si>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</si>
  <si>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</si>
  <si>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</si>
  <si>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</si>
  <si>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</si>
  <si>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</si>
  <si>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</si>
  <si>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</si>
  <si>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</si>
  <si>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</si>
  <si>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</si>
  <si>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</si>
  <si>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</si>
  <si>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</si>
  <si>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</si>
  <si>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</si>
  <si>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</si>
  <si>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</si>
  <si>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</si>
  <si>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</si>
  <si>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</si>
  <si>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</si>
  <si>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</si>
  <si>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</si>
  <si>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</si>
  <si>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</si>
  <si>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</si>
  <si>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</si>
  <si>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</si>
  <si>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</si>
  <si>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</si>
  <si>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</si>
  <si>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</si>
  <si>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</si>
  <si>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</si>
  <si>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</si>
  <si>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</si>
  <si>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</si>
  <si>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</si>
  <si>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</si>
  <si>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</si>
  <si>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</si>
  <si>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</si>
  <si>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</si>
  <si>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</si>
  <si>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</si>
  <si>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</si>
  <si>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</si>
  <si>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</si>
  <si>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</si>
  <si>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</si>
  <si>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</si>
  <si>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</si>
  <si>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</si>
  <si>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</si>
  <si>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</si>
  <si>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</si>
  <si>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</si>
  <si>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</si>
  <si>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</si>
  <si>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</si>
  <si>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</si>
  <si>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</si>
  <si>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</si>
  <si>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</si>
  <si>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</si>
  <si>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</si>
  <si>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</si>
  <si>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</si>
  <si>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</si>
  <si>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</si>
  <si>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</si>
  <si>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</si>
  <si>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</si>
  <si>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</si>
  <si>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</si>
  <si>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</si>
  <si>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</si>
  <si>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</si>
  <si>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</si>
  <si>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</si>
  <si>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</si>
  <si>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</si>
  <si>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</si>
  <si>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</si>
  <si>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</si>
  <si>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</si>
  <si>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</si>
  <si>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</si>
  <si>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</si>
  <si>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</si>
  <si>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</si>
  <si>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</si>
  <si>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</si>
  <si>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</si>
  <si>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</si>
  <si>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</si>
  <si>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</si>
  <si>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</si>
  <si>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</si>
  <si>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</si>
  <si>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</si>
  <si>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</si>
  <si>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</si>
  <si>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</si>
  <si>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</si>
  <si>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</si>
  <si>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</si>
  <si>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</si>
  <si>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</si>
  <si>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</si>
  <si>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</si>
  <si>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</si>
  <si>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</si>
  <si>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</si>
  <si>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</si>
  <si>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</si>
  <si>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</si>
  <si>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</si>
  <si>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</si>
  <si>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</si>
  <si>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</si>
  <si>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</si>
  <si>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</si>
  <si>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</si>
  <si>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</si>
  <si>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</si>
  <si>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</si>
  <si>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</si>
  <si>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</si>
  <si>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</si>
  <si>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</si>
  <si>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</si>
  <si>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</si>
  <si>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</si>
  <si>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</si>
  <si>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</si>
  <si>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</si>
  <si>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</si>
  <si>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</si>
  <si>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</si>
  <si>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</si>
  <si>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</si>
  <si>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</si>
  <si>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</si>
  <si>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</si>
  <si>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</si>
  <si>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</si>
  <si>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</si>
  <si>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</si>
  <si>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</si>
  <si>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</si>
  <si>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</si>
  <si>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</si>
  <si>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</si>
  <si>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</si>
  <si>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</si>
  <si>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</si>
  <si>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</si>
  <si>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</si>
  <si>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</si>
  <si>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</si>
  <si>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</si>
  <si>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</si>
  <si>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</si>
  <si>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</si>
  <si>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</si>
  <si>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</si>
  <si>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</si>
  <si>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</si>
  <si>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</si>
  <si>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</si>
  <si>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</si>
  <si>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</si>
  <si>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</si>
  <si>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</si>
  <si>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</si>
  <si>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</si>
  <si>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</si>
  <si>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</si>
  <si>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</si>
  <si>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</si>
  <si>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</si>
  <si>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</si>
  <si>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</si>
  <si>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</si>
  <si>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</si>
  <si>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</si>
  <si>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</si>
  <si>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</si>
  <si>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</si>
  <si>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</si>
  <si>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</si>
  <si>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</si>
  <si>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</si>
  <si>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</si>
  <si>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</si>
  <si>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</si>
  <si>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</si>
  <si>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</si>
  <si>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</si>
  <si>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</si>
  <si>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</si>
  <si>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</si>
  <si>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</si>
  <si>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</si>
  <si>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</si>
  <si>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</si>
  <si>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</si>
  <si>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</si>
  <si>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</si>
  <si>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</si>
  <si>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</si>
  <si>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</si>
  <si>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</si>
  <si>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</si>
  <si>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</si>
  <si>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</si>
  <si>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</si>
  <si>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</si>
  <si>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</si>
  <si>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</si>
  <si>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</si>
  <si>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</si>
  <si>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</si>
  <si>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</si>
  <si>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</si>
  <si>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</si>
  <si>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</si>
  <si>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</si>
  <si>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</si>
  <si>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</si>
  <si>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</si>
  <si>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</si>
  <si>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</si>
  <si>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</si>
  <si>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</si>
  <si>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</si>
  <si>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</si>
  <si>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</si>
  <si>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</si>
  <si>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</si>
  <si>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</si>
  <si>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</si>
  <si>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</si>
  <si>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</si>
  <si>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</si>
  <si>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</si>
  <si>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</si>
  <si>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</si>
  <si>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</si>
  <si>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</si>
  <si>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</si>
  <si>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</si>
  <si>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</si>
  <si>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</si>
  <si>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</si>
  <si>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</si>
  <si>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</si>
  <si>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</si>
  <si>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</si>
  <si>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</si>
  <si>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</si>
  <si>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</si>
  <si>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</si>
  <si>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</si>
  <si>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</si>
  <si>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</si>
  <si>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</si>
  <si>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</si>
  <si>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</si>
  <si>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</si>
  <si>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</si>
  <si>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</si>
  <si>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</si>
  <si>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</si>
  <si>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</si>
  <si>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</si>
  <si>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</si>
  <si>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</si>
  <si>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</si>
  <si>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</si>
  <si>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</si>
  <si>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</si>
  <si>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</si>
  <si>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</si>
  <si>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</si>
  <si>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</si>
  <si>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</si>
  <si>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</si>
  <si>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</si>
  <si>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</si>
  <si>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</si>
  <si>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</si>
  <si>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</si>
  <si>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</si>
  <si>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</si>
  <si>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</si>
  <si>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</si>
  <si>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</si>
  <si>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</si>
  <si>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</si>
  <si>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</si>
  <si>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</si>
  <si>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</si>
  <si>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</si>
  <si>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</si>
  <si>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</si>
  <si>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</si>
  <si>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</si>
  <si>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</si>
  <si>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</si>
  <si>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</si>
  <si>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</si>
  <si>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</si>
  <si>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</si>
  <si>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</si>
  <si>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</si>
  <si>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</si>
  <si>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</si>
  <si>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</si>
  <si>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</si>
  <si>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</si>
  <si>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</si>
  <si>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</si>
  <si>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</si>
  <si>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</si>
  <si>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</si>
  <si>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</si>
  <si>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</si>
  <si>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</si>
  <si>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</si>
  <si>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</si>
  <si>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</si>
  <si>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</si>
  <si>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</si>
  <si>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</si>
  <si>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</si>
  <si>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</si>
  <si>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</si>
  <si>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</si>
  <si>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</si>
  <si>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</si>
  <si>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</si>
  <si>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</si>
  <si>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</si>
  <si>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</si>
  <si>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</si>
  <si>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</si>
  <si>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</si>
  <si>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</si>
  <si>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</si>
  <si>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</si>
  <si>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</si>
  <si>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</si>
  <si>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</si>
  <si>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</si>
  <si>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</si>
  <si>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</si>
  <si>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</si>
  <si>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</si>
  <si>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</si>
  <si>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</si>
  <si>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</si>
  <si>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</si>
  <si>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</si>
  <si>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</si>
  <si>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</si>
  <si>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</si>
  <si>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</si>
  <si>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</si>
  <si>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</si>
  <si>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</si>
  <si>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</si>
  <si>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</si>
  <si>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</si>
  <si>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</si>
  <si>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</si>
  <si>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</si>
  <si>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</si>
  <si>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</si>
  <si>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</si>
  <si>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</si>
  <si>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</si>
  <si>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</si>
  <si>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</si>
  <si>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</si>
  <si>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</si>
  <si>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</si>
  <si>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</si>
  <si>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</si>
  <si>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</si>
  <si>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</si>
  <si>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</si>
  <si>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</si>
  <si>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</si>
  <si>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</si>
  <si>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</si>
  <si>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</si>
  <si>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</si>
  <si>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</si>
  <si>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</si>
  <si>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</si>
  <si>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</si>
  <si>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</si>
  <si>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</si>
  <si>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</si>
  <si>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</si>
  <si>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</si>
  <si>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</si>
  <si>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</si>
  <si>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</si>
  <si>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</si>
  <si>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</si>
  <si>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</si>
  <si>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</si>
  <si>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</si>
  <si>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</si>
  <si>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</si>
  <si>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</si>
  <si>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</si>
  <si>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</si>
  <si>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</si>
  <si>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</si>
  <si>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</si>
  <si>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</si>
  <si>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</si>
  <si>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</si>
  <si>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</si>
  <si>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</si>
  <si>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</si>
  <si>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</si>
  <si>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</si>
  <si>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</si>
  <si>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</si>
  <si>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</si>
  <si>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</si>
  <si>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</si>
  <si>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</si>
  <si>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</si>
  <si>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</si>
  <si>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</si>
  <si>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</si>
  <si>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</si>
  <si>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</si>
  <si>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</si>
  <si>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</si>
  <si>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</si>
  <si>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</si>
  <si>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</si>
  <si>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</si>
  <si>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</si>
  <si>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</si>
  <si>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</si>
  <si>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</si>
  <si>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</si>
  <si>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</si>
  <si>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</si>
  <si>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</si>
  <si>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</si>
  <si>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</si>
  <si>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</si>
  <si>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</si>
  <si>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</si>
  <si>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</si>
  <si>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</si>
  <si>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</si>
  <si>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</si>
  <si>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</si>
  <si>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</si>
  <si>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</si>
  <si>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</si>
  <si>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</si>
  <si>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</si>
  <si>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</si>
  <si>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</si>
  <si>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</si>
  <si>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</si>
  <si>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</si>
  <si>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</si>
  <si>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</si>
  <si>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</si>
  <si>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</si>
  <si>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</si>
  <si>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</si>
  <si>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</si>
  <si>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</si>
  <si>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</si>
  <si>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</si>
  <si>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</si>
  <si>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</si>
  <si>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</si>
  <si>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</si>
  <si>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</si>
  <si>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</si>
  <si>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</si>
  <si>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</si>
  <si>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</si>
  <si>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</si>
  <si>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</si>
  <si>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</si>
  <si>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</si>
  <si>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</si>
  <si>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</si>
  <si>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</si>
  <si>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</si>
  <si>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</si>
  <si>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</si>
  <si>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</si>
  <si>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</si>
  <si>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</si>
  <si>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</si>
  <si>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</si>
  <si>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</si>
  <si>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</si>
  <si>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</si>
  <si>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</si>
  <si>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</si>
  <si>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</si>
  <si>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</si>
  <si>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</si>
  <si>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</si>
  <si>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</si>
  <si>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</si>
  <si>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</si>
  <si>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</si>
  <si>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</si>
  <si>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</si>
  <si>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</si>
  <si>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</si>
  <si>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</si>
  <si>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</si>
  <si>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</si>
  <si>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</si>
  <si>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</si>
  <si>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</si>
  <si>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</si>
  <si>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</si>
  <si>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</si>
  <si>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</si>
  <si>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</si>
  <si>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</si>
  <si>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</si>
  <si>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</si>
  <si>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</si>
  <si>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</si>
  <si>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</si>
  <si>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</si>
  <si>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</si>
  <si>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</si>
  <si>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</si>
  <si>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</si>
  <si>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</si>
  <si>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</si>
  <si>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</si>
  <si>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</si>
  <si>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</si>
  <si>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</si>
  <si>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</si>
  <si>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</si>
  <si>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</si>
  <si>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</si>
  <si>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</si>
  <si>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</si>
  <si>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</si>
  <si>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</si>
  <si>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</si>
  <si>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</si>
  <si>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</si>
  <si>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</si>
  <si>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</si>
  <si>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</si>
  <si>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</si>
  <si>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</si>
  <si>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</si>
  <si>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</si>
  <si>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</si>
  <si>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</si>
  <si>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</si>
  <si>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</si>
  <si>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</si>
  <si>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</si>
  <si>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</si>
  <si>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</si>
  <si>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</si>
  <si>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</si>
  <si>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</si>
  <si>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</si>
  <si>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</si>
  <si>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</si>
  <si>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</si>
  <si>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</si>
  <si>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</si>
  <si>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</si>
  <si>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</si>
  <si>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</si>
  <si>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</si>
  <si>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</si>
  <si>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</si>
  <si>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</si>
  <si>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</si>
  <si>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</si>
  <si>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</si>
  <si>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</si>
  <si>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</si>
  <si>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</si>
  <si>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</si>
  <si>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</si>
  <si>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</si>
  <si>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</si>
  <si>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</si>
  <si>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</si>
  <si>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</si>
  <si>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</si>
  <si>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</si>
  <si>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</si>
  <si>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</si>
  <si>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</si>
  <si>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</si>
  <si>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</si>
  <si>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</si>
  <si>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</si>
  <si>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</si>
  <si>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</si>
  <si>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</si>
  <si>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</si>
  <si>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</si>
  <si>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</si>
  <si>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</si>
  <si>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</si>
  <si>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</si>
  <si>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</si>
  <si>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</si>
  <si>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</si>
  <si>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</si>
  <si>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</si>
  <si>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</si>
  <si>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</si>
  <si>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</si>
  <si>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</si>
  <si>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</si>
  <si>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</si>
  <si>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</si>
  <si>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</si>
  <si>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</si>
  <si>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</si>
  <si>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</si>
  <si>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</si>
  <si>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</si>
  <si>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</si>
  <si>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</si>
  <si>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</si>
  <si>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</si>
  <si>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</si>
  <si>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</si>
  <si>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</si>
  <si>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</si>
  <si>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</si>
  <si>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</si>
  <si>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</si>
  <si>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</si>
  <si>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</si>
  <si>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</si>
  <si>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</si>
  <si>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</si>
  <si>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</si>
  <si>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</si>
  <si>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</si>
  <si>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</si>
  <si>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</si>
  <si>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</si>
  <si>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</si>
  <si>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</si>
  <si>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</si>
  <si>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</si>
  <si>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</si>
  <si>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</si>
  <si>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</si>
  <si>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</si>
  <si>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</si>
  <si>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</si>
  <si>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</si>
  <si>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</si>
  <si>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</si>
  <si>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</si>
  <si>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</si>
  <si>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</si>
  <si>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</si>
  <si>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</si>
  <si>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</si>
  <si>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</si>
  <si>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</si>
  <si>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</si>
  <si>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</si>
  <si>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</si>
  <si>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</si>
  <si>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</si>
  <si>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</si>
  <si>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</si>
  <si>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</si>
  <si>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</si>
  <si>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</si>
  <si>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</si>
  <si>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</si>
  <si>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</si>
  <si>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</si>
  <si>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</si>
  <si>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</si>
  <si>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</si>
  <si>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</si>
  <si>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</si>
  <si>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</si>
  <si>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</si>
  <si>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</si>
  <si>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</si>
  <si>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</si>
  <si>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</si>
  <si>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</si>
  <si>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</si>
  <si>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</si>
  <si>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</si>
  <si>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</si>
  <si>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</si>
  <si>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</si>
  <si>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</si>
  <si>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</si>
  <si>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</si>
  <si>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</si>
  <si>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</si>
  <si>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</si>
  <si>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</si>
  <si>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</si>
  <si>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</si>
  <si>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</si>
  <si>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</si>
  <si>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</si>
  <si>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</si>
  <si>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</si>
  <si>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</si>
  <si>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</si>
  <si>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</si>
  <si>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</si>
  <si>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</si>
  <si>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</si>
  <si>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</si>
  <si>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</si>
  <si>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</si>
  <si>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</si>
  <si>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</si>
  <si>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</si>
  <si>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</si>
  <si>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</si>
  <si>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</si>
  <si>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</si>
  <si>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</si>
  <si>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</si>
  <si>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</si>
  <si>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</si>
  <si>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</si>
  <si>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</si>
  <si>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</si>
  <si>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</si>
  <si>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</si>
  <si>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</si>
  <si>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</si>
  <si>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</si>
  <si>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</si>
  <si>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</si>
  <si>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</si>
  <si>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</si>
  <si>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</si>
  <si>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</si>
  <si>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</si>
  <si>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</si>
  <si>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</si>
  <si>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</si>
  <si>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</si>
  <si>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</si>
  <si>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</si>
  <si>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</si>
  <si>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</si>
  <si>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</si>
  <si>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</si>
  <si>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</si>
  <si>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</si>
  <si>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</si>
  <si>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</si>
  <si>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</si>
  <si>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</si>
  <si>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</si>
  <si>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</si>
  <si>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</si>
  <si>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</si>
  <si>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</si>
  <si>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</si>
  <si>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</si>
  <si>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</si>
  <si>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</si>
  <si>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</si>
  <si>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</si>
  <si>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</si>
  <si>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</si>
  <si>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</si>
  <si>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</si>
  <si>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</si>
  <si>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</si>
  <si>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</si>
  <si>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</si>
  <si>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</si>
  <si>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</si>
  <si>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</si>
  <si>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</si>
  <si>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</si>
  <si>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</si>
  <si>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</si>
  <si>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</si>
  <si>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</si>
  <si>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</si>
  <si>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</si>
  <si>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</si>
  <si>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</si>
  <si>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</si>
  <si>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</si>
  <si>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</si>
  <si>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</si>
  <si>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</si>
  <si>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</si>
  <si>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</si>
  <si>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</si>
  <si>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</si>
  <si>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</si>
  <si>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</si>
  <si>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</si>
  <si>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</si>
  <si>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</si>
  <si>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</si>
  <si>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</si>
  <si>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</si>
  <si>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</si>
  <si>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</si>
  <si>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</si>
  <si>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</si>
  <si>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</si>
  <si>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</si>
  <si>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</si>
  <si>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</si>
  <si>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</si>
  <si>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</si>
  <si>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</si>
  <si>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</si>
  <si>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</si>
  <si>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</si>
  <si>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</si>
  <si>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</si>
  <si>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</si>
  <si>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</si>
  <si>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</si>
  <si>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</si>
  <si>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</si>
  <si>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</si>
  <si>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</si>
  <si>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</si>
  <si>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</si>
  <si>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</si>
  <si>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</si>
  <si>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</si>
  <si>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</si>
  <si>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</si>
  <si>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</si>
  <si>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</si>
  <si>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</si>
  <si>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</si>
  <si>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</si>
  <si>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</si>
  <si>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</si>
  <si>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</si>
  <si>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</si>
  <si>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</si>
  <si>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</si>
  <si>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</si>
  <si>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</si>
  <si>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</si>
  <si>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</si>
  <si>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</si>
  <si>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</si>
  <si>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</si>
  <si>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</si>
  <si>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</si>
  <si>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</si>
  <si>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</si>
  <si>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</si>
  <si>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</si>
  <si>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</si>
  <si>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</si>
  <si>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</si>
  <si>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</si>
  <si>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</si>
  <si>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</si>
  <si>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</si>
  <si>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</si>
  <si>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</si>
  <si>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</si>
  <si>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</si>
  <si>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</si>
  <si>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</si>
  <si>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</si>
  <si>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</si>
  <si>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</si>
  <si>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</si>
  <si>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</si>
  <si>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</si>
  <si>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</si>
  <si>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</si>
  <si>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</si>
  <si>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</si>
  <si>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</si>
  <si>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</si>
  <si>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</si>
  <si>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</si>
  <si>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</si>
  <si>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</si>
  <si>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</si>
  <si>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</si>
  <si>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</si>
  <si>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</si>
  <si>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</si>
  <si>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</si>
  <si>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</si>
  <si>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</si>
  <si>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</si>
  <si>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</si>
  <si>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</si>
  <si>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</si>
  <si>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</si>
  <si>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</si>
  <si>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</si>
  <si>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</si>
  <si>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</si>
  <si>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</si>
  <si>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</si>
  <si>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</si>
  <si>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</si>
  <si>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</si>
  <si>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</si>
  <si>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</si>
  <si>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</si>
  <si>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</si>
  <si>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</si>
  <si>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</si>
  <si>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</si>
  <si>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</si>
  <si>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</si>
  <si>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</si>
  <si>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</si>
  <si>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</si>
  <si>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</si>
  <si>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</si>
  <si>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</si>
  <si>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</si>
  <si>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</si>
  <si>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</si>
  <si>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</si>
  <si>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</si>
  <si>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</si>
  <si>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</si>
  <si>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</si>
  <si>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</si>
  <si>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</si>
  <si>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</si>
  <si>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</si>
  <si>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</si>
  <si>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</si>
  <si>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</si>
  <si>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</si>
  <si>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</si>
  <si>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</si>
  <si>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</si>
  <si>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</si>
  <si>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</si>
  <si>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</si>
  <si>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</si>
  <si>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</si>
  <si>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</si>
  <si>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</si>
  <si>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</si>
  <si>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</si>
  <si>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</si>
  <si>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</si>
  <si>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</si>
  <si>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</si>
  <si>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</si>
  <si>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</si>
  <si>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</si>
  <si>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</si>
  <si>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</si>
  <si>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</si>
  <si>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</si>
  <si>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</si>
  <si>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</si>
  <si>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</si>
  <si>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</si>
  <si>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</si>
  <si>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</si>
  <si>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</si>
  <si>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</si>
  <si>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</si>
  <si>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</si>
  <si>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</si>
  <si>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</si>
  <si>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</si>
  <si>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</si>
  <si>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</si>
  <si>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</si>
  <si>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</si>
  <si>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</si>
  <si>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</si>
  <si>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</si>
  <si>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</si>
  <si>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</si>
  <si>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</si>
  <si>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</si>
  <si>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</si>
  <si>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</si>
  <si>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</si>
  <si>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</si>
  <si>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</si>
  <si>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</si>
  <si>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</si>
  <si>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</si>
  <si>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</si>
  <si>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</si>
  <si>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</si>
  <si>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</si>
  <si>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</si>
  <si>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</si>
  <si>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</si>
  <si>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</si>
  <si>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</si>
  <si>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</si>
  <si>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</si>
  <si>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</si>
  <si>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</si>
  <si>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</si>
  <si>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</si>
  <si>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</si>
  <si>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</si>
  <si>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</si>
  <si>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</si>
  <si>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</si>
  <si>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</si>
  <si>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</si>
  <si>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</si>
  <si>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</si>
  <si>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</si>
  <si>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</si>
  <si>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</si>
  <si>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</si>
  <si>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</si>
  <si>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</si>
  <si>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</si>
  <si>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</si>
  <si>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</si>
  <si>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</si>
  <si>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</si>
  <si>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</si>
  <si>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</si>
  <si>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</si>
  <si>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</si>
  <si>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</si>
  <si>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</si>
  <si>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</si>
  <si>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</si>
  <si>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</si>
  <si>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</si>
  <si>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</si>
  <si>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</si>
  <si>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</si>
  <si>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</si>
  <si>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</si>
  <si>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</si>
  <si>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</si>
  <si>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</si>
  <si>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</si>
  <si>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</si>
  <si>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</si>
  <si>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</si>
  <si>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</si>
  <si>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</si>
  <si>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</si>
  <si>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</si>
  <si>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</si>
  <si>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</si>
  <si>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</si>
  <si>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</si>
  <si>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</si>
  <si>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</si>
  <si>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</si>
  <si>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</si>
  <si>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</si>
  <si>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</si>
  <si>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</si>
  <si>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</si>
  <si>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</si>
  <si>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</si>
  <si>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</si>
  <si>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</si>
  <si>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</si>
  <si>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</si>
  <si>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</si>
  <si>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</si>
  <si>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</si>
  <si>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</si>
  <si>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</si>
  <si>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</si>
  <si>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</si>
  <si>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</si>
  <si>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</si>
  <si>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</si>
  <si>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</si>
  <si>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</si>
  <si>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</si>
  <si>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</si>
  <si>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</si>
  <si>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</si>
  <si>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</si>
  <si>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</si>
  <si>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</si>
  <si>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</si>
  <si>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</si>
  <si>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</si>
  <si>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</si>
  <si>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</si>
  <si>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</si>
  <si>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</si>
  <si>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</si>
  <si>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</si>
  <si>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</si>
  <si>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</si>
  <si>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</si>
  <si>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</si>
  <si>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</si>
  <si>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</si>
  <si>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</si>
  <si>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</si>
  <si>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</si>
  <si>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</si>
  <si>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</si>
  <si>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</si>
  <si>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</si>
  <si>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</si>
  <si>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</si>
  <si>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</si>
  <si>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</si>
  <si>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</si>
  <si>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</si>
  <si>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</si>
  <si>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</si>
  <si>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</si>
  <si>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</si>
  <si>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</si>
  <si>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</si>
  <si>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</si>
  <si>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</si>
  <si>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</si>
  <si>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</si>
  <si>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</si>
  <si>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</si>
  <si>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</si>
  <si>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</si>
  <si>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</si>
  <si>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</si>
  <si>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</si>
  <si>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</si>
  <si>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</si>
  <si>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</si>
  <si>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</si>
  <si>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</si>
  <si>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</si>
  <si>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</si>
  <si>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</si>
  <si>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</si>
  <si>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</si>
  <si>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</si>
  <si>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</si>
  <si>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</si>
  <si>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</si>
  <si>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</si>
  <si>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</si>
  <si>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</si>
  <si>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</si>
  <si>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</si>
  <si>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</si>
  <si>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</si>
  <si>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</si>
  <si>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</si>
  <si>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</si>
  <si>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</si>
  <si>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</si>
  <si>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</si>
  <si>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</si>
  <si>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</si>
  <si>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</si>
  <si>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</si>
  <si>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</si>
  <si>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</si>
  <si>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</si>
  <si>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</si>
  <si>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</si>
  <si>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</si>
  <si>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</si>
  <si>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</si>
  <si>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</si>
  <si>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</si>
  <si>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</si>
  <si>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</si>
  <si>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</si>
  <si>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</si>
  <si>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ピックアップSSRモンスター1体の排出確率</t>
    <rPh sb="15" eb="16">
      <t>タイ</t>
    </rPh>
    <rPh sb="17" eb="19">
      <t>ハイシュツ</t>
    </rPh>
    <rPh sb="19" eb="21">
      <t>カクリツ</t>
    </rPh>
    <phoneticPr fontId="5"/>
  </si>
  <si>
    <t>SSR全体の排出確率</t>
    <rPh sb="3" eb="5">
      <t>ゼンタイ</t>
    </rPh>
    <rPh sb="6" eb="8">
      <t>ハイシュツ</t>
    </rPh>
    <rPh sb="8" eb="10">
      <t>カクリツ</t>
    </rPh>
    <phoneticPr fontId="5"/>
  </si>
  <si>
    <t>SR全体の排出確率</t>
    <rPh sb="2" eb="4">
      <t>ゼンタイ</t>
    </rPh>
    <rPh sb="5" eb="7">
      <t>ハイシュツ</t>
    </rPh>
    <rPh sb="7" eb="9">
      <t>カクリツ</t>
    </rPh>
    <phoneticPr fontId="5"/>
  </si>
  <si>
    <t>R全体の排出確率</t>
    <rPh sb="1" eb="3">
      <t>ゼンタイ</t>
    </rPh>
    <rPh sb="4" eb="6">
      <t>ハイシュツ</t>
    </rPh>
    <rPh sb="6" eb="8">
      <t>カクリツ</t>
    </rPh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</si>
  <si>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</si>
  <si>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</si>
  <si>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</si>
  <si>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</si>
  <si>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</si>
  <si>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</si>
  <si>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</si>
  <si>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</si>
  <si>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</si>
  <si>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</si>
  <si>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</si>
  <si>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</si>
  <si>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</si>
  <si>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</si>
  <si>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</si>
  <si>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</si>
  <si>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</si>
  <si>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2022-06-06 04:00:00</t>
    <phoneticPr fontId="3"/>
  </si>
  <si>
    <t>2022-06-07 04:00:00</t>
    <phoneticPr fontId="3"/>
  </si>
  <si>
    <t>2022-06-08 04:00:00</t>
    <phoneticPr fontId="3"/>
  </si>
  <si>
    <t>2022-06-09 04:00:00</t>
    <phoneticPr fontId="3"/>
  </si>
  <si>
    <t>2022-06-10 04:00:00</t>
    <phoneticPr fontId="3"/>
  </si>
  <si>
    <t>2022-06-11 04:00:00</t>
    <phoneticPr fontId="3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</si>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</sst>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</cellXfs>
  <cellStyles count="1">
    <cellStyle name="標準" xfId="0" builtinId="0"/>
  </cellStyles>
  <dxfs count="6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customschemas.google.com/relationships/workbookmetadata" Target="metadata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P1001"/>
  <sheetViews>
    <sheetView workbookViewId="0">
      <selection activeCell="C60" sqref="C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2" width="12.625" style="36" customWidth="1"/>
    <col min="13" max="19" width="14.75" style="36" customWidth="1"/>
    <col min="20" max="20" width="15.25" style="36" customWidth="1"/>
    <col min="21" max="21" width="17.5" style="36" customWidth="1"/>
    <col min="22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14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1737</v>
      </c>
      <c r="F4" s="3" t="s">
        <v>1771</v>
      </c>
      <c r="G4" s="3" t="s">
        <v>22</v>
      </c>
      <c r="H4" s="3"/>
      <c r="I4" s="3" t="s">
        <v>1897</v>
      </c>
      <c r="J4" s="3" t="s">
        <v>1898</v>
      </c>
      <c r="K4" s="3" t="s">
        <v>1899</v>
      </c>
      <c r="L4" s="3" t="s">
        <v>1900</v>
      </c>
      <c r="M4" s="3" t="s">
        <v>1711</v>
      </c>
      <c r="N4" s="3" t="s">
        <v>1712</v>
      </c>
      <c r="O4" s="3" t="s">
        <v>1713</v>
      </c>
      <c r="P4" s="3" t="s">
        <v>1717</v>
      </c>
      <c r="Q4" s="3" t="s">
        <v>1719</v>
      </c>
      <c r="R4" s="3" t="s">
        <v>1720</v>
      </c>
      <c r="S4" s="3" t="s">
        <v>1723</v>
      </c>
      <c r="T4" s="3" t="s">
        <v>1727</v>
      </c>
      <c r="U4" s="3" t="s">
        <v>1728</v>
      </c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1901</v>
      </c>
      <c r="J8" s="4" t="s">
        <v>1901</v>
      </c>
      <c r="K8" s="4" t="s">
        <v>1901</v>
      </c>
      <c r="L8" s="4" t="s">
        <v>1901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6" t="s">
        <v>11</v>
      </c>
      <c r="C9" s="6" t="s">
        <v>16</v>
      </c>
      <c r="D9" s="6" t="s">
        <v>1739</v>
      </c>
      <c r="E9" s="6" t="s">
        <v>1738</v>
      </c>
      <c r="F9" s="6" t="s">
        <v>1772</v>
      </c>
      <c r="G9" s="6" t="s">
        <v>2005</v>
      </c>
      <c r="H9" s="6" t="s">
        <v>2005</v>
      </c>
      <c r="I9" s="6" t="s">
        <v>1902</v>
      </c>
      <c r="J9" s="6" t="s">
        <v>1903</v>
      </c>
      <c r="K9" s="6" t="s">
        <v>1904</v>
      </c>
      <c r="L9" s="6" t="s">
        <v>1905</v>
      </c>
      <c r="M9" s="6" t="s">
        <v>1714</v>
      </c>
      <c r="N9" s="6" t="s">
        <v>1715</v>
      </c>
      <c r="O9" s="6" t="s">
        <v>1716</v>
      </c>
      <c r="P9" s="6" t="s">
        <v>1718</v>
      </c>
      <c r="Q9" s="6" t="s">
        <v>1721</v>
      </c>
      <c r="R9" s="6" t="s">
        <v>1722</v>
      </c>
      <c r="S9" s="6" t="s">
        <v>1724</v>
      </c>
      <c r="T9" s="6" t="s">
        <v>1725</v>
      </c>
      <c r="U9" s="6" t="s">
        <v>1726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132" customHeight="1">
      <c r="A10" s="55" t="s">
        <v>12</v>
      </c>
      <c r="B10" s="6"/>
      <c r="C10" s="6"/>
      <c r="D10" s="6" t="s">
        <v>104</v>
      </c>
      <c r="E10" s="6" t="s">
        <v>1740</v>
      </c>
      <c r="F10" s="6"/>
      <c r="G10" s="6" t="s">
        <v>23</v>
      </c>
      <c r="H10" s="6"/>
      <c r="I10" s="6"/>
      <c r="J10" s="6"/>
      <c r="K10" s="6"/>
      <c r="L10" s="6"/>
      <c r="M10" s="5"/>
      <c r="N10" s="5"/>
      <c r="O10" s="5"/>
      <c r="P10" s="5"/>
      <c r="Q10" s="5"/>
      <c r="R10" s="5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6" t="s">
        <v>13</v>
      </c>
      <c r="B11" s="7">
        <v>1</v>
      </c>
      <c r="C11" s="7" t="s">
        <v>524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v>100010001</v>
      </c>
      <c r="N11" s="7">
        <v>100010002</v>
      </c>
      <c r="O11" s="7">
        <v>100010003</v>
      </c>
      <c r="P11" s="7">
        <v>10001</v>
      </c>
      <c r="Q11" s="7">
        <v>10002</v>
      </c>
      <c r="R11" s="7">
        <v>10003</v>
      </c>
      <c r="S11" s="7">
        <v>10001</v>
      </c>
      <c r="T11" s="7">
        <v>10002</v>
      </c>
      <c r="U11" s="7">
        <v>10003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8"/>
      <c r="B12" s="7">
        <v>2</v>
      </c>
      <c r="C12" s="7" t="s">
        <v>525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v>200010001</v>
      </c>
      <c r="N12" s="7">
        <v>200010002</v>
      </c>
      <c r="O12" s="7">
        <v>200010003</v>
      </c>
      <c r="P12" s="7">
        <v>20001</v>
      </c>
      <c r="Q12" s="7">
        <v>20002</v>
      </c>
      <c r="R12" s="7">
        <v>20003</v>
      </c>
      <c r="S12" s="7">
        <v>20001</v>
      </c>
      <c r="T12" s="7">
        <v>20002</v>
      </c>
      <c r="U12" s="7">
        <v>20003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7">
        <v>3</v>
      </c>
      <c r="C13" s="7" t="s">
        <v>526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v>300010001</v>
      </c>
      <c r="N13" s="7">
        <v>300010002</v>
      </c>
      <c r="O13" s="7">
        <v>300010003</v>
      </c>
      <c r="P13" s="7">
        <v>30001</v>
      </c>
      <c r="Q13" s="7">
        <v>30002</v>
      </c>
      <c r="R13" s="7">
        <v>30003</v>
      </c>
      <c r="S13" s="7">
        <v>30001</v>
      </c>
      <c r="T13" s="7">
        <v>30002</v>
      </c>
      <c r="U13" s="7">
        <v>30003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7">
        <v>4</v>
      </c>
      <c r="C14" s="7" t="s">
        <v>527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v>400010001</v>
      </c>
      <c r="N14" s="7">
        <v>400010002</v>
      </c>
      <c r="O14" s="7">
        <v>400010003</v>
      </c>
      <c r="P14" s="7">
        <v>40001</v>
      </c>
      <c r="Q14" s="7">
        <v>40002</v>
      </c>
      <c r="R14" s="7">
        <v>40003</v>
      </c>
      <c r="S14" s="7">
        <v>40001</v>
      </c>
      <c r="T14" s="7">
        <v>40002</v>
      </c>
      <c r="U14" s="7">
        <v>40003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7">
        <v>5</v>
      </c>
      <c r="C15" s="7" t="s">
        <v>528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v>500010001</v>
      </c>
      <c r="N15" s="7">
        <v>500010002</v>
      </c>
      <c r="O15" s="7">
        <v>500010003</v>
      </c>
      <c r="P15" s="7">
        <v>50001</v>
      </c>
      <c r="Q15" s="7">
        <v>50002</v>
      </c>
      <c r="R15" s="7">
        <v>50003</v>
      </c>
      <c r="S15" s="7">
        <v>50001</v>
      </c>
      <c r="T15" s="7">
        <v>50002</v>
      </c>
      <c r="U15" s="7">
        <v>50003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7">
        <v>6</v>
      </c>
      <c r="C16" s="7" t="s">
        <v>529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v>600010001</v>
      </c>
      <c r="N16" s="7">
        <v>600010002</v>
      </c>
      <c r="O16" s="7">
        <v>600010003</v>
      </c>
      <c r="P16" s="7">
        <v>60001</v>
      </c>
      <c r="Q16" s="7">
        <v>60002</v>
      </c>
      <c r="R16" s="7">
        <v>60003</v>
      </c>
      <c r="S16" s="7">
        <v>60001</v>
      </c>
      <c r="T16" s="7">
        <v>60002</v>
      </c>
      <c r="U16" s="7">
        <v>60003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7</v>
      </c>
      <c r="C17" s="7" t="s">
        <v>530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v>700010001</v>
      </c>
      <c r="N17" s="7">
        <v>700010002</v>
      </c>
      <c r="O17" s="7">
        <v>700010003</v>
      </c>
      <c r="P17" s="7">
        <v>70001</v>
      </c>
      <c r="Q17" s="7">
        <v>70002</v>
      </c>
      <c r="R17" s="7">
        <v>70003</v>
      </c>
      <c r="S17" s="7">
        <v>70001</v>
      </c>
      <c r="T17" s="7">
        <v>70002</v>
      </c>
      <c r="U17" s="7">
        <v>70003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8</v>
      </c>
      <c r="C18" s="7" t="s">
        <v>531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v>800010001</v>
      </c>
      <c r="N18" s="7">
        <v>800010002</v>
      </c>
      <c r="O18" s="7">
        <v>800010003</v>
      </c>
      <c r="P18" s="7">
        <v>80001</v>
      </c>
      <c r="Q18" s="7">
        <v>80002</v>
      </c>
      <c r="R18" s="7">
        <v>80003</v>
      </c>
      <c r="S18" s="7">
        <v>80001</v>
      </c>
      <c r="T18" s="7">
        <v>80002</v>
      </c>
      <c r="U18" s="7">
        <v>80003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9</v>
      </c>
      <c r="C19" s="7" t="s">
        <v>532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v>900010001</v>
      </c>
      <c r="N19" s="7">
        <v>900010002</v>
      </c>
      <c r="O19" s="7">
        <v>900010003</v>
      </c>
      <c r="P19" s="7">
        <v>90001</v>
      </c>
      <c r="Q19" s="7">
        <v>90002</v>
      </c>
      <c r="R19" s="7">
        <v>90003</v>
      </c>
      <c r="S19" s="7">
        <v>90001</v>
      </c>
      <c r="T19" s="7">
        <v>90002</v>
      </c>
      <c r="U19" s="7">
        <v>90003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>
        <v>10</v>
      </c>
      <c r="C20" s="7" t="s">
        <v>533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v>1000010001</v>
      </c>
      <c r="N20" s="7">
        <v>1000010002</v>
      </c>
      <c r="O20" s="7">
        <v>1000010003</v>
      </c>
      <c r="P20" s="7">
        <v>100001</v>
      </c>
      <c r="Q20" s="7">
        <v>100002</v>
      </c>
      <c r="R20" s="7">
        <v>100003</v>
      </c>
      <c r="S20" s="7">
        <v>100001</v>
      </c>
      <c r="T20" s="7">
        <v>100002</v>
      </c>
      <c r="U20" s="7">
        <v>100003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>
        <v>11</v>
      </c>
      <c r="C21" s="7" t="s">
        <v>534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v>1100010001</v>
      </c>
      <c r="N21" s="7">
        <v>1100010002</v>
      </c>
      <c r="O21" s="7">
        <v>1100010003</v>
      </c>
      <c r="P21" s="7">
        <v>110001</v>
      </c>
      <c r="Q21" s="7">
        <v>110002</v>
      </c>
      <c r="R21" s="7">
        <v>110003</v>
      </c>
      <c r="S21" s="7">
        <v>110001</v>
      </c>
      <c r="T21" s="7">
        <v>110002</v>
      </c>
      <c r="U21" s="7">
        <v>110003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>
        <v>12</v>
      </c>
      <c r="C22" s="7" t="s">
        <v>535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v>1200010001</v>
      </c>
      <c r="N22" s="7">
        <v>1200010002</v>
      </c>
      <c r="O22" s="7">
        <v>1200010003</v>
      </c>
      <c r="P22" s="7">
        <v>120001</v>
      </c>
      <c r="Q22" s="7">
        <v>120002</v>
      </c>
      <c r="R22" s="7">
        <v>120003</v>
      </c>
      <c r="S22" s="7">
        <v>120001</v>
      </c>
      <c r="T22" s="7">
        <v>120002</v>
      </c>
      <c r="U22" s="7">
        <v>120003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>
        <v>13</v>
      </c>
      <c r="C23" s="7" t="s">
        <v>536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v>1300010001</v>
      </c>
      <c r="N23" s="7">
        <v>1300010002</v>
      </c>
      <c r="O23" s="7">
        <v>1300010003</v>
      </c>
      <c r="P23" s="7">
        <v>130001</v>
      </c>
      <c r="Q23" s="7">
        <v>130002</v>
      </c>
      <c r="R23" s="7">
        <v>130003</v>
      </c>
      <c r="S23" s="7">
        <v>130001</v>
      </c>
      <c r="T23" s="7">
        <v>130002</v>
      </c>
      <c r="U23" s="7">
        <v>130003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>
        <v>14</v>
      </c>
      <c r="C24" s="7" t="s">
        <v>537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v>1400010001</v>
      </c>
      <c r="N24" s="7">
        <v>1400010002</v>
      </c>
      <c r="O24" s="7">
        <v>1400010003</v>
      </c>
      <c r="P24" s="7">
        <v>140001</v>
      </c>
      <c r="Q24" s="7">
        <v>140002</v>
      </c>
      <c r="R24" s="7">
        <v>140003</v>
      </c>
      <c r="S24" s="7">
        <v>140001</v>
      </c>
      <c r="T24" s="7">
        <v>140002</v>
      </c>
      <c r="U24" s="7">
        <v>140003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>
        <v>15</v>
      </c>
      <c r="C25" s="7" t="s">
        <v>538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v>1500010001</v>
      </c>
      <c r="N25" s="7">
        <v>1500010002</v>
      </c>
      <c r="O25" s="7">
        <v>1500010003</v>
      </c>
      <c r="P25" s="7">
        <v>150001</v>
      </c>
      <c r="Q25" s="7">
        <v>150002</v>
      </c>
      <c r="R25" s="7">
        <v>150003</v>
      </c>
      <c r="S25" s="7">
        <v>150001</v>
      </c>
      <c r="T25" s="7">
        <v>150002</v>
      </c>
      <c r="U25" s="7">
        <v>150003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>
        <v>16</v>
      </c>
      <c r="C26" s="7" t="s">
        <v>539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v>1600010001</v>
      </c>
      <c r="N26" s="7">
        <v>1600010002</v>
      </c>
      <c r="O26" s="7">
        <v>1600010003</v>
      </c>
      <c r="P26" s="7">
        <v>160001</v>
      </c>
      <c r="Q26" s="7">
        <v>160002</v>
      </c>
      <c r="R26" s="7">
        <v>160003</v>
      </c>
      <c r="S26" s="7">
        <v>160001</v>
      </c>
      <c r="T26" s="7">
        <v>160002</v>
      </c>
      <c r="U26" s="7">
        <v>160003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>
        <v>17</v>
      </c>
      <c r="C27" s="7" t="s">
        <v>540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v>1700010001</v>
      </c>
      <c r="N27" s="7">
        <v>1700010002</v>
      </c>
      <c r="O27" s="7">
        <v>1700010003</v>
      </c>
      <c r="P27" s="7">
        <v>170001</v>
      </c>
      <c r="Q27" s="7">
        <v>170002</v>
      </c>
      <c r="R27" s="7">
        <v>170003</v>
      </c>
      <c r="S27" s="7">
        <v>170001</v>
      </c>
      <c r="T27" s="7">
        <v>170002</v>
      </c>
      <c r="U27" s="7">
        <v>170003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>
        <v>18</v>
      </c>
      <c r="C28" s="7" t="s">
        <v>541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v>1800010001</v>
      </c>
      <c r="N28" s="7">
        <v>1800010002</v>
      </c>
      <c r="O28" s="7">
        <v>1800010003</v>
      </c>
      <c r="P28" s="7">
        <v>180001</v>
      </c>
      <c r="Q28" s="7">
        <v>180002</v>
      </c>
      <c r="R28" s="7">
        <v>180003</v>
      </c>
      <c r="S28" s="7">
        <v>180001</v>
      </c>
      <c r="T28" s="7">
        <v>180002</v>
      </c>
      <c r="U28" s="7">
        <v>180003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>
        <v>19</v>
      </c>
      <c r="C29" s="7" t="s">
        <v>542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v>1900010001</v>
      </c>
      <c r="N29" s="7">
        <v>1900010002</v>
      </c>
      <c r="O29" s="7">
        <v>1900010003</v>
      </c>
      <c r="P29" s="7">
        <v>190001</v>
      </c>
      <c r="Q29" s="7">
        <v>190002</v>
      </c>
      <c r="R29" s="7">
        <v>190003</v>
      </c>
      <c r="S29" s="7">
        <v>190001</v>
      </c>
      <c r="T29" s="7">
        <v>190002</v>
      </c>
      <c r="U29" s="7">
        <v>190003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>
        <v>20</v>
      </c>
      <c r="C30" s="7" t="s">
        <v>543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v>2000010001</v>
      </c>
      <c r="N30" s="7">
        <v>2000010002</v>
      </c>
      <c r="O30" s="7">
        <v>2000010003</v>
      </c>
      <c r="P30" s="7">
        <v>200001</v>
      </c>
      <c r="Q30" s="7">
        <v>200002</v>
      </c>
      <c r="R30" s="7">
        <v>200003</v>
      </c>
      <c r="S30" s="7">
        <v>200001</v>
      </c>
      <c r="T30" s="7">
        <v>200002</v>
      </c>
      <c r="U30" s="7">
        <v>200003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>
        <v>21</v>
      </c>
      <c r="C31" s="7" t="s">
        <v>544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v>2100010001</v>
      </c>
      <c r="N31" s="7">
        <v>2100010002</v>
      </c>
      <c r="O31" s="7">
        <v>2100010003</v>
      </c>
      <c r="P31" s="7">
        <v>210001</v>
      </c>
      <c r="Q31" s="7">
        <v>210002</v>
      </c>
      <c r="R31" s="7">
        <v>210003</v>
      </c>
      <c r="S31" s="7">
        <v>210001</v>
      </c>
      <c r="T31" s="7">
        <v>210002</v>
      </c>
      <c r="U31" s="7">
        <v>210003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>
        <v>22</v>
      </c>
      <c r="C32" s="7" t="s">
        <v>545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v>2200010001</v>
      </c>
      <c r="N32" s="7">
        <v>2200010002</v>
      </c>
      <c r="O32" s="7">
        <v>2200010003</v>
      </c>
      <c r="P32" s="7">
        <v>220001</v>
      </c>
      <c r="Q32" s="7">
        <v>220002</v>
      </c>
      <c r="R32" s="7">
        <v>220003</v>
      </c>
      <c r="S32" s="7">
        <v>220001</v>
      </c>
      <c r="T32" s="7">
        <v>220002</v>
      </c>
      <c r="U32" s="7">
        <v>220003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>
        <v>23</v>
      </c>
      <c r="C33" s="7" t="s">
        <v>546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v>2300010001</v>
      </c>
      <c r="N33" s="7">
        <v>2300010002</v>
      </c>
      <c r="O33" s="7">
        <v>2300010003</v>
      </c>
      <c r="P33" s="7">
        <v>230001</v>
      </c>
      <c r="Q33" s="7">
        <v>230002</v>
      </c>
      <c r="R33" s="7">
        <v>230003</v>
      </c>
      <c r="S33" s="7">
        <v>230001</v>
      </c>
      <c r="T33" s="7">
        <v>230002</v>
      </c>
      <c r="U33" s="7">
        <v>230003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>
        <v>24</v>
      </c>
      <c r="C34" s="7" t="s">
        <v>547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v>2400010001</v>
      </c>
      <c r="N34" s="7">
        <v>2400010002</v>
      </c>
      <c r="O34" s="7">
        <v>2400010003</v>
      </c>
      <c r="P34" s="7">
        <v>240001</v>
      </c>
      <c r="Q34" s="7">
        <v>240002</v>
      </c>
      <c r="R34" s="7">
        <v>240003</v>
      </c>
      <c r="S34" s="7">
        <v>240001</v>
      </c>
      <c r="T34" s="7">
        <v>240002</v>
      </c>
      <c r="U34" s="7">
        <v>240003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>
        <v>25</v>
      </c>
      <c r="C35" s="7" t="s">
        <v>548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v>2500010001</v>
      </c>
      <c r="N35" s="7">
        <v>2500010002</v>
      </c>
      <c r="O35" s="7">
        <v>2500010003</v>
      </c>
      <c r="P35" s="7">
        <v>250001</v>
      </c>
      <c r="Q35" s="7">
        <v>250002</v>
      </c>
      <c r="R35" s="7">
        <v>250003</v>
      </c>
      <c r="S35" s="7">
        <v>250001</v>
      </c>
      <c r="T35" s="7">
        <v>250002</v>
      </c>
      <c r="U35" s="7">
        <v>250003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>
        <v>26</v>
      </c>
      <c r="C36" s="7" t="s">
        <v>549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v>2600010001</v>
      </c>
      <c r="N36" s="7">
        <v>2600010002</v>
      </c>
      <c r="O36" s="7">
        <v>2600010003</v>
      </c>
      <c r="P36" s="7">
        <v>260001</v>
      </c>
      <c r="Q36" s="7">
        <v>260002</v>
      </c>
      <c r="R36" s="7">
        <v>260003</v>
      </c>
      <c r="S36" s="7">
        <v>260001</v>
      </c>
      <c r="T36" s="7">
        <v>260002</v>
      </c>
      <c r="U36" s="7">
        <v>260003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>
        <v>27</v>
      </c>
      <c r="C37" s="7" t="s">
        <v>550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v>2700010001</v>
      </c>
      <c r="N37" s="7">
        <v>2700010002</v>
      </c>
      <c r="O37" s="7">
        <v>2700010003</v>
      </c>
      <c r="P37" s="7">
        <v>270001</v>
      </c>
      <c r="Q37" s="7">
        <v>270002</v>
      </c>
      <c r="R37" s="7">
        <v>270003</v>
      </c>
      <c r="S37" s="7">
        <v>270001</v>
      </c>
      <c r="T37" s="7">
        <v>270002</v>
      </c>
      <c r="U37" s="7">
        <v>270003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>
        <v>28</v>
      </c>
      <c r="C38" s="7" t="s">
        <v>551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v>2800010001</v>
      </c>
      <c r="N38" s="7">
        <v>2800010002</v>
      </c>
      <c r="O38" s="7">
        <v>2800010003</v>
      </c>
      <c r="P38" s="7">
        <v>280001</v>
      </c>
      <c r="Q38" s="7">
        <v>280002</v>
      </c>
      <c r="R38" s="7">
        <v>280003</v>
      </c>
      <c r="S38" s="7">
        <v>280001</v>
      </c>
      <c r="T38" s="7">
        <v>280002</v>
      </c>
      <c r="U38" s="7">
        <v>280003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>
        <v>29</v>
      </c>
      <c r="C39" s="7" t="s">
        <v>552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v>2900010001</v>
      </c>
      <c r="N39" s="7">
        <v>2900010002</v>
      </c>
      <c r="O39" s="7">
        <v>2900010003</v>
      </c>
      <c r="P39" s="7">
        <v>290001</v>
      </c>
      <c r="Q39" s="7">
        <v>290002</v>
      </c>
      <c r="R39" s="7">
        <v>290003</v>
      </c>
      <c r="S39" s="7">
        <v>290001</v>
      </c>
      <c r="T39" s="7">
        <v>290002</v>
      </c>
      <c r="U39" s="7">
        <v>290003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>
        <v>30</v>
      </c>
      <c r="C40" s="7" t="s">
        <v>553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v>3000010001</v>
      </c>
      <c r="N40" s="7">
        <v>3000010002</v>
      </c>
      <c r="O40" s="7">
        <v>3000010003</v>
      </c>
      <c r="P40" s="7">
        <v>300001</v>
      </c>
      <c r="Q40" s="7">
        <v>300002</v>
      </c>
      <c r="R40" s="7">
        <v>300003</v>
      </c>
      <c r="S40" s="7">
        <v>300001</v>
      </c>
      <c r="T40" s="7">
        <v>300002</v>
      </c>
      <c r="U40" s="7">
        <v>300003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>
        <v>31</v>
      </c>
      <c r="C41" s="7" t="s">
        <v>1958</v>
      </c>
      <c r="D41" s="7">
        <v>1</v>
      </c>
      <c r="E41" s="7">
        <v>4</v>
      </c>
      <c r="F41" s="7" t="b">
        <v>0</v>
      </c>
      <c r="G41" s="7">
        <v>1</v>
      </c>
      <c r="H41" s="7"/>
      <c r="I41" s="7">
        <v>70</v>
      </c>
      <c r="J41" s="7">
        <v>100</v>
      </c>
      <c r="K41" s="7">
        <v>65</v>
      </c>
      <c r="L41" s="7">
        <v>120</v>
      </c>
      <c r="M41" s="7">
        <v>3100010001</v>
      </c>
      <c r="N41" s="7">
        <v>3100010002</v>
      </c>
      <c r="O41" s="7">
        <v>3100010003</v>
      </c>
      <c r="P41" s="7">
        <v>310001</v>
      </c>
      <c r="Q41" s="7">
        <v>310002</v>
      </c>
      <c r="R41" s="7">
        <v>310003</v>
      </c>
      <c r="S41" s="7">
        <v>310001</v>
      </c>
      <c r="T41" s="7">
        <v>310002</v>
      </c>
      <c r="U41" s="7">
        <v>310003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32</v>
      </c>
      <c r="C42" s="7" t="s">
        <v>1959</v>
      </c>
      <c r="D42" s="7">
        <v>2</v>
      </c>
      <c r="E42" s="7">
        <v>4</v>
      </c>
      <c r="F42" s="7" t="b">
        <v>0</v>
      </c>
      <c r="G42" s="7">
        <v>1</v>
      </c>
      <c r="H42" s="7"/>
      <c r="I42" s="7">
        <v>50</v>
      </c>
      <c r="J42" s="7">
        <v>90</v>
      </c>
      <c r="K42" s="7">
        <v>110</v>
      </c>
      <c r="L42" s="7">
        <v>70</v>
      </c>
      <c r="M42" s="7">
        <v>3200010001</v>
      </c>
      <c r="N42" s="7">
        <v>3200010002</v>
      </c>
      <c r="O42" s="7">
        <v>3200010003</v>
      </c>
      <c r="P42" s="7">
        <v>320001</v>
      </c>
      <c r="Q42" s="7">
        <v>320002</v>
      </c>
      <c r="R42" s="7">
        <v>320003</v>
      </c>
      <c r="S42" s="7">
        <v>320001</v>
      </c>
      <c r="T42" s="7">
        <v>320002</v>
      </c>
      <c r="U42" s="7">
        <v>320003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1960</v>
      </c>
      <c r="D43" s="7">
        <v>3</v>
      </c>
      <c r="E43" s="7">
        <v>4</v>
      </c>
      <c r="F43" s="7" t="b">
        <v>0</v>
      </c>
      <c r="G43" s="7">
        <v>1</v>
      </c>
      <c r="H43" s="7"/>
      <c r="I43" s="7">
        <v>100</v>
      </c>
      <c r="J43" s="7">
        <v>92</v>
      </c>
      <c r="K43" s="7">
        <v>80</v>
      </c>
      <c r="L43" s="7">
        <v>85</v>
      </c>
      <c r="M43" s="7">
        <v>3300010001</v>
      </c>
      <c r="N43" s="7">
        <v>3300010002</v>
      </c>
      <c r="O43" s="7">
        <v>3300010003</v>
      </c>
      <c r="P43" s="7">
        <v>330001</v>
      </c>
      <c r="Q43" s="7">
        <v>330002</v>
      </c>
      <c r="R43" s="7">
        <v>330003</v>
      </c>
      <c r="S43" s="7">
        <v>330001</v>
      </c>
      <c r="T43" s="7">
        <v>330002</v>
      </c>
      <c r="U43" s="7">
        <v>330003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34</v>
      </c>
      <c r="C44" s="7" t="s">
        <v>580</v>
      </c>
      <c r="D44" s="7">
        <v>4</v>
      </c>
      <c r="E44" s="7">
        <v>4</v>
      </c>
      <c r="F44" s="7" t="b">
        <v>0</v>
      </c>
      <c r="G44" s="7">
        <v>1</v>
      </c>
      <c r="H44" s="7"/>
      <c r="I44" s="7">
        <v>80</v>
      </c>
      <c r="J44" s="7">
        <v>90</v>
      </c>
      <c r="K44" s="7">
        <v>75</v>
      </c>
      <c r="L44" s="7">
        <v>119</v>
      </c>
      <c r="M44" s="7">
        <v>3400010001</v>
      </c>
      <c r="N44" s="7">
        <v>3400010002</v>
      </c>
      <c r="O44" s="7">
        <v>3400010003</v>
      </c>
      <c r="P44" s="7">
        <v>340001</v>
      </c>
      <c r="Q44" s="7">
        <v>340002</v>
      </c>
      <c r="R44" s="7">
        <v>340003</v>
      </c>
      <c r="S44" s="7">
        <v>340001</v>
      </c>
      <c r="T44" s="7">
        <v>340002</v>
      </c>
      <c r="U44" s="7">
        <v>340003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581</v>
      </c>
      <c r="D45" s="7">
        <v>5</v>
      </c>
      <c r="E45" s="7">
        <v>4</v>
      </c>
      <c r="F45" s="7" t="b">
        <v>0</v>
      </c>
      <c r="G45" s="7">
        <v>1</v>
      </c>
      <c r="H45" s="7"/>
      <c r="I45" s="7">
        <v>75</v>
      </c>
      <c r="J45" s="7">
        <v>90</v>
      </c>
      <c r="K45" s="7">
        <v>115</v>
      </c>
      <c r="L45" s="7">
        <v>40</v>
      </c>
      <c r="M45" s="7">
        <v>3500010001</v>
      </c>
      <c r="N45" s="7">
        <v>3500010002</v>
      </c>
      <c r="O45" s="7">
        <v>3500010003</v>
      </c>
      <c r="P45" s="7">
        <v>350001</v>
      </c>
      <c r="Q45" s="7">
        <v>350002</v>
      </c>
      <c r="R45" s="7">
        <v>350003</v>
      </c>
      <c r="S45" s="7">
        <v>350001</v>
      </c>
      <c r="T45" s="7">
        <v>350002</v>
      </c>
      <c r="U45" s="7">
        <v>350003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554</v>
      </c>
      <c r="D46" s="7">
        <v>1</v>
      </c>
      <c r="E46" s="7">
        <v>4</v>
      </c>
      <c r="F46" s="7" t="b">
        <v>0</v>
      </c>
      <c r="G46" s="7">
        <v>1</v>
      </c>
      <c r="H46" s="7"/>
      <c r="I46" s="7">
        <v>95</v>
      </c>
      <c r="J46" s="7">
        <v>100</v>
      </c>
      <c r="K46" s="7">
        <v>90</v>
      </c>
      <c r="L46" s="7">
        <v>60</v>
      </c>
      <c r="M46" s="7">
        <v>3600010001</v>
      </c>
      <c r="N46" s="7">
        <v>3600010002</v>
      </c>
      <c r="O46" s="7">
        <v>3600010003</v>
      </c>
      <c r="P46" s="7">
        <v>360001</v>
      </c>
      <c r="Q46" s="7">
        <v>360002</v>
      </c>
      <c r="R46" s="7">
        <v>360003</v>
      </c>
      <c r="S46" s="7">
        <v>360001</v>
      </c>
      <c r="T46" s="7">
        <v>360002</v>
      </c>
      <c r="U46" s="7">
        <v>360003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37</v>
      </c>
      <c r="C47" s="7" t="s">
        <v>555</v>
      </c>
      <c r="D47" s="7">
        <v>2</v>
      </c>
      <c r="E47" s="7">
        <v>4</v>
      </c>
      <c r="F47" s="7" t="b">
        <v>0</v>
      </c>
      <c r="G47" s="7">
        <v>1</v>
      </c>
      <c r="H47" s="7"/>
      <c r="I47" s="7">
        <v>78</v>
      </c>
      <c r="J47" s="7">
        <v>13</v>
      </c>
      <c r="K47" s="7">
        <v>87</v>
      </c>
      <c r="L47" s="7">
        <v>70</v>
      </c>
      <c r="M47" s="7">
        <v>3700010001</v>
      </c>
      <c r="N47" s="7">
        <v>3700010002</v>
      </c>
      <c r="O47" s="7">
        <v>3700010003</v>
      </c>
      <c r="P47" s="7">
        <v>370001</v>
      </c>
      <c r="Q47" s="7">
        <v>370002</v>
      </c>
      <c r="R47" s="7">
        <v>370003</v>
      </c>
      <c r="S47" s="7">
        <v>370001</v>
      </c>
      <c r="T47" s="7">
        <v>370002</v>
      </c>
      <c r="U47" s="7">
        <v>370003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556</v>
      </c>
      <c r="D48" s="7">
        <v>3</v>
      </c>
      <c r="E48" s="7">
        <v>4</v>
      </c>
      <c r="F48" s="7" t="b">
        <v>0</v>
      </c>
      <c r="G48" s="7">
        <v>1</v>
      </c>
      <c r="H48" s="7"/>
      <c r="I48" s="7">
        <v>100</v>
      </c>
      <c r="J48" s="7">
        <v>100</v>
      </c>
      <c r="K48" s="7">
        <v>90</v>
      </c>
      <c r="L48" s="7">
        <v>60</v>
      </c>
      <c r="M48" s="7">
        <v>3800010001</v>
      </c>
      <c r="N48" s="7">
        <v>3800010002</v>
      </c>
      <c r="O48" s="7">
        <v>3800010003</v>
      </c>
      <c r="P48" s="7">
        <v>380001</v>
      </c>
      <c r="Q48" s="7">
        <v>380002</v>
      </c>
      <c r="R48" s="7">
        <v>380003</v>
      </c>
      <c r="S48" s="7">
        <v>380001</v>
      </c>
      <c r="T48" s="7">
        <v>380002</v>
      </c>
      <c r="U48" s="7">
        <v>380003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557</v>
      </c>
      <c r="D49" s="7">
        <v>4</v>
      </c>
      <c r="E49" s="7">
        <v>4</v>
      </c>
      <c r="F49" s="7" t="b">
        <v>0</v>
      </c>
      <c r="G49" s="7">
        <v>1</v>
      </c>
      <c r="H49" s="7"/>
      <c r="I49" s="7">
        <v>70</v>
      </c>
      <c r="J49" s="7">
        <v>85</v>
      </c>
      <c r="K49" s="7">
        <v>120</v>
      </c>
      <c r="L49" s="7">
        <v>50</v>
      </c>
      <c r="M49" s="7">
        <v>3900010001</v>
      </c>
      <c r="N49" s="7">
        <v>3900010002</v>
      </c>
      <c r="O49" s="7">
        <v>3900010003</v>
      </c>
      <c r="P49" s="7">
        <v>390001</v>
      </c>
      <c r="Q49" s="7">
        <v>390002</v>
      </c>
      <c r="R49" s="7">
        <v>390003</v>
      </c>
      <c r="S49" s="7">
        <v>390001</v>
      </c>
      <c r="T49" s="7">
        <v>390002</v>
      </c>
      <c r="U49" s="7">
        <v>390003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B50" s="7">
        <v>40</v>
      </c>
      <c r="C50" s="7" t="s">
        <v>558</v>
      </c>
      <c r="D50" s="7">
        <v>5</v>
      </c>
      <c r="E50" s="7">
        <v>4</v>
      </c>
      <c r="F50" s="7" t="b">
        <v>0</v>
      </c>
      <c r="G50" s="7">
        <v>1</v>
      </c>
      <c r="H50" s="7"/>
      <c r="I50" s="7">
        <v>100</v>
      </c>
      <c r="J50" s="7">
        <v>135</v>
      </c>
      <c r="K50" s="7">
        <v>85</v>
      </c>
      <c r="L50" s="7">
        <v>50</v>
      </c>
      <c r="M50" s="7">
        <v>4000010001</v>
      </c>
      <c r="N50" s="7">
        <v>4000010002</v>
      </c>
      <c r="O50" s="7">
        <v>4000010003</v>
      </c>
      <c r="P50" s="7">
        <v>400001</v>
      </c>
      <c r="Q50" s="7">
        <v>400002</v>
      </c>
      <c r="R50" s="7">
        <v>400003</v>
      </c>
      <c r="S50" s="7">
        <v>400001</v>
      </c>
      <c r="T50" s="7">
        <v>400002</v>
      </c>
      <c r="U50" s="7">
        <v>400003</v>
      </c>
    </row>
    <row r="51" spans="1:42" ht="18.75" customHeight="1">
      <c r="B51" s="7">
        <v>41</v>
      </c>
      <c r="C51" s="7" t="s">
        <v>559</v>
      </c>
      <c r="D51" s="7">
        <v>1</v>
      </c>
      <c r="E51" s="7">
        <v>4</v>
      </c>
      <c r="F51" s="7" t="b">
        <v>0</v>
      </c>
      <c r="G51" s="7">
        <v>1</v>
      </c>
      <c r="H51" s="7"/>
      <c r="I51" s="7">
        <v>130</v>
      </c>
      <c r="J51" s="7">
        <v>85</v>
      </c>
      <c r="K51" s="7">
        <v>90</v>
      </c>
      <c r="L51" s="7">
        <v>60</v>
      </c>
      <c r="M51" s="7">
        <v>4100010001</v>
      </c>
      <c r="N51" s="7">
        <v>4100010002</v>
      </c>
      <c r="O51" s="7">
        <v>4100010003</v>
      </c>
      <c r="P51" s="7">
        <v>410001</v>
      </c>
      <c r="Q51" s="7">
        <v>410002</v>
      </c>
      <c r="R51" s="7">
        <v>410003</v>
      </c>
      <c r="S51" s="7">
        <v>410001</v>
      </c>
      <c r="T51" s="7">
        <v>410002</v>
      </c>
      <c r="U51" s="7">
        <v>410003</v>
      </c>
    </row>
    <row r="52" spans="1:42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0</v>
      </c>
      <c r="G52" s="7">
        <v>1</v>
      </c>
      <c r="H52" s="7"/>
      <c r="I52" s="7">
        <v>65</v>
      </c>
      <c r="J52" s="7">
        <v>85</v>
      </c>
      <c r="K52" s="7">
        <v>75</v>
      </c>
      <c r="L52" s="7">
        <v>130</v>
      </c>
      <c r="M52" s="7">
        <v>4200010001</v>
      </c>
      <c r="N52" s="7">
        <v>4200010002</v>
      </c>
      <c r="O52" s="7">
        <v>4200010003</v>
      </c>
      <c r="P52" s="7">
        <v>420001</v>
      </c>
      <c r="Q52" s="7">
        <v>420002</v>
      </c>
      <c r="R52" s="7">
        <v>420003</v>
      </c>
      <c r="S52" s="7">
        <v>420001</v>
      </c>
      <c r="T52" s="7">
        <v>420002</v>
      </c>
      <c r="U52" s="7">
        <v>420003</v>
      </c>
    </row>
    <row r="53" spans="1:42" ht="18.75" customHeight="1">
      <c r="B53" s="7">
        <v>43</v>
      </c>
      <c r="C53" s="7" t="s">
        <v>560</v>
      </c>
      <c r="D53" s="7">
        <v>3</v>
      </c>
      <c r="E53" s="7">
        <v>4</v>
      </c>
      <c r="F53" s="7" t="b">
        <v>0</v>
      </c>
      <c r="G53" s="7">
        <v>1</v>
      </c>
      <c r="H53" s="7"/>
      <c r="I53" s="7">
        <v>79</v>
      </c>
      <c r="J53" s="7">
        <v>84</v>
      </c>
      <c r="K53" s="7">
        <v>103</v>
      </c>
      <c r="L53" s="7">
        <v>78</v>
      </c>
      <c r="M53" s="7">
        <v>4300010001</v>
      </c>
      <c r="N53" s="7">
        <v>4300010002</v>
      </c>
      <c r="O53" s="7">
        <v>4300010003</v>
      </c>
      <c r="P53" s="7">
        <v>430001</v>
      </c>
      <c r="Q53" s="7">
        <v>430002</v>
      </c>
      <c r="R53" s="7">
        <v>430003</v>
      </c>
      <c r="S53" s="7">
        <v>430001</v>
      </c>
      <c r="T53" s="7">
        <v>430002</v>
      </c>
      <c r="U53" s="7">
        <v>430003</v>
      </c>
    </row>
    <row r="54" spans="1:42" ht="18.75" customHeight="1">
      <c r="B54" s="7">
        <v>44</v>
      </c>
      <c r="C54" s="7" t="s">
        <v>561</v>
      </c>
      <c r="D54" s="7">
        <v>4</v>
      </c>
      <c r="E54" s="7">
        <v>4</v>
      </c>
      <c r="F54" s="7" t="b">
        <v>0</v>
      </c>
      <c r="G54" s="7">
        <v>1</v>
      </c>
      <c r="H54" s="7"/>
      <c r="I54" s="7">
        <v>85</v>
      </c>
      <c r="J54" s="7">
        <v>105</v>
      </c>
      <c r="K54" s="7">
        <v>73</v>
      </c>
      <c r="L54" s="7">
        <v>90</v>
      </c>
      <c r="M54" s="7">
        <v>4400010001</v>
      </c>
      <c r="N54" s="7">
        <v>4400010002</v>
      </c>
      <c r="O54" s="7">
        <v>4400010003</v>
      </c>
      <c r="P54" s="7">
        <v>440001</v>
      </c>
      <c r="Q54" s="7">
        <v>440002</v>
      </c>
      <c r="R54" s="7">
        <v>440003</v>
      </c>
      <c r="S54" s="7">
        <v>440001</v>
      </c>
      <c r="T54" s="7">
        <v>440002</v>
      </c>
      <c r="U54" s="7">
        <v>440003</v>
      </c>
    </row>
    <row r="55" spans="1:42" ht="18.75" customHeight="1">
      <c r="B55" s="7">
        <v>45</v>
      </c>
      <c r="C55" s="7" t="s">
        <v>562</v>
      </c>
      <c r="D55" s="7">
        <v>5</v>
      </c>
      <c r="E55" s="7">
        <v>4</v>
      </c>
      <c r="F55" s="7" t="b">
        <v>0</v>
      </c>
      <c r="G55" s="7">
        <v>1</v>
      </c>
      <c r="H55" s="7"/>
      <c r="I55" s="7">
        <v>78</v>
      </c>
      <c r="J55" s="7">
        <v>100</v>
      </c>
      <c r="K55" s="7">
        <v>80</v>
      </c>
      <c r="L55" s="7">
        <v>100</v>
      </c>
      <c r="M55" s="7">
        <v>4500010001</v>
      </c>
      <c r="N55" s="7">
        <v>4500010002</v>
      </c>
      <c r="O55" s="7">
        <v>4500010003</v>
      </c>
      <c r="P55" s="7">
        <v>450001</v>
      </c>
      <c r="Q55" s="7">
        <v>450002</v>
      </c>
      <c r="R55" s="7">
        <v>450003</v>
      </c>
      <c r="S55" s="7">
        <v>450001</v>
      </c>
      <c r="T55" s="7">
        <v>450002</v>
      </c>
      <c r="U55" s="7">
        <v>450003</v>
      </c>
    </row>
    <row r="56" spans="1:42" ht="18.75" customHeight="1">
      <c r="B56" s="7">
        <v>46</v>
      </c>
      <c r="C56" s="7" t="s">
        <v>563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200</v>
      </c>
      <c r="J56" s="7">
        <v>100</v>
      </c>
      <c r="K56" s="7">
        <v>50</v>
      </c>
      <c r="L56" s="7">
        <v>80</v>
      </c>
      <c r="M56" s="7">
        <v>4600010001</v>
      </c>
      <c r="N56" s="7">
        <v>4600010002</v>
      </c>
      <c r="O56" s="7">
        <v>4600010003</v>
      </c>
      <c r="P56" s="7">
        <v>460001</v>
      </c>
      <c r="Q56" s="7">
        <v>460002</v>
      </c>
      <c r="R56" s="7">
        <v>460003</v>
      </c>
      <c r="S56" s="7">
        <v>460001</v>
      </c>
      <c r="T56" s="7">
        <v>460002</v>
      </c>
      <c r="U56" s="7">
        <v>460003</v>
      </c>
    </row>
    <row r="57" spans="1:42" ht="18.75" customHeight="1">
      <c r="B57" s="7">
        <v>47</v>
      </c>
      <c r="C57" s="7" t="s">
        <v>564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79</v>
      </c>
      <c r="J57" s="7">
        <v>120</v>
      </c>
      <c r="K57" s="7">
        <v>75</v>
      </c>
      <c r="L57" s="7">
        <v>105</v>
      </c>
      <c r="M57" s="7">
        <v>4700010001</v>
      </c>
      <c r="N57" s="7">
        <v>4700010002</v>
      </c>
      <c r="O57" s="7">
        <v>4700010003</v>
      </c>
      <c r="P57" s="7">
        <v>470001</v>
      </c>
      <c r="Q57" s="7">
        <v>470002</v>
      </c>
      <c r="R57" s="7">
        <v>470003</v>
      </c>
      <c r="S57" s="7">
        <v>470001</v>
      </c>
      <c r="T57" s="7">
        <v>470002</v>
      </c>
      <c r="U57" s="7">
        <v>470003</v>
      </c>
    </row>
    <row r="58" spans="1:42" ht="18.75" customHeight="1">
      <c r="B58" s="7">
        <v>48</v>
      </c>
      <c r="C58" s="7" t="s">
        <v>565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79</v>
      </c>
      <c r="J58" s="7">
        <v>120</v>
      </c>
      <c r="K58" s="7">
        <v>75</v>
      </c>
      <c r="L58" s="7">
        <v>111</v>
      </c>
      <c r="M58" s="7">
        <v>4800010001</v>
      </c>
      <c r="N58" s="7">
        <v>4800010002</v>
      </c>
      <c r="O58" s="7">
        <v>4800010003</v>
      </c>
      <c r="P58" s="7">
        <v>480001</v>
      </c>
      <c r="Q58" s="7">
        <v>480002</v>
      </c>
      <c r="R58" s="7">
        <v>480003</v>
      </c>
      <c r="S58" s="7">
        <v>480001</v>
      </c>
      <c r="T58" s="7">
        <v>480002</v>
      </c>
      <c r="U58" s="7">
        <v>480003</v>
      </c>
    </row>
    <row r="59" spans="1:42" ht="18.75" customHeight="1">
      <c r="B59" s="7">
        <v>49</v>
      </c>
      <c r="C59" s="7" t="s">
        <v>566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v>4900010001</v>
      </c>
      <c r="N59" s="7">
        <v>4900010002</v>
      </c>
      <c r="O59" s="7">
        <v>4900010003</v>
      </c>
      <c r="P59" s="7">
        <v>490001</v>
      </c>
      <c r="Q59" s="7">
        <v>490002</v>
      </c>
      <c r="R59" s="7">
        <v>490003</v>
      </c>
      <c r="S59" s="7">
        <v>490001</v>
      </c>
      <c r="T59" s="7">
        <v>490002</v>
      </c>
      <c r="U59" s="7">
        <v>490003</v>
      </c>
    </row>
    <row r="60" spans="1:42" ht="18.75" customHeight="1">
      <c r="B60" s="7">
        <v>50</v>
      </c>
      <c r="C60" s="7" t="s">
        <v>567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82</v>
      </c>
      <c r="K60" s="7">
        <v>115</v>
      </c>
      <c r="L60" s="7">
        <v>85</v>
      </c>
      <c r="M60" s="7">
        <v>5000010001</v>
      </c>
      <c r="N60" s="7">
        <v>5000010002</v>
      </c>
      <c r="O60" s="7">
        <v>5000010003</v>
      </c>
      <c r="P60" s="7">
        <v>500001</v>
      </c>
      <c r="Q60" s="7">
        <v>500002</v>
      </c>
      <c r="R60" s="7">
        <v>500003</v>
      </c>
      <c r="S60" s="7">
        <v>500001</v>
      </c>
      <c r="T60" s="7">
        <v>500002</v>
      </c>
      <c r="U60" s="7">
        <v>500003</v>
      </c>
    </row>
    <row r="61" spans="1:42" ht="18.75" customHeight="1">
      <c r="B61" s="7">
        <v>51</v>
      </c>
      <c r="C61" s="7" t="s">
        <v>568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v>5100010001</v>
      </c>
      <c r="N61" s="7">
        <v>5100010002</v>
      </c>
      <c r="O61" s="7">
        <v>5100010003</v>
      </c>
      <c r="P61" s="7">
        <v>510001</v>
      </c>
      <c r="Q61" s="7">
        <v>510002</v>
      </c>
      <c r="R61" s="7">
        <v>510003</v>
      </c>
      <c r="S61" s="7">
        <v>510001</v>
      </c>
      <c r="T61" s="7">
        <v>510002</v>
      </c>
      <c r="U61" s="7">
        <v>510003</v>
      </c>
    </row>
    <row r="62" spans="1:42" ht="18.75" customHeight="1">
      <c r="B62" s="7">
        <v>52</v>
      </c>
      <c r="C62" s="7" t="s">
        <v>569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v>5200010001</v>
      </c>
      <c r="N62" s="7">
        <v>5200010002</v>
      </c>
      <c r="O62" s="7">
        <v>5200010003</v>
      </c>
      <c r="P62" s="7">
        <v>520001</v>
      </c>
      <c r="Q62" s="7">
        <v>520002</v>
      </c>
      <c r="R62" s="7">
        <v>520003</v>
      </c>
      <c r="S62" s="7">
        <v>520001</v>
      </c>
      <c r="T62" s="7">
        <v>520002</v>
      </c>
      <c r="U62" s="7">
        <v>520003</v>
      </c>
    </row>
    <row r="63" spans="1:42" ht="18.75" customHeight="1">
      <c r="B63" s="7">
        <v>53</v>
      </c>
      <c r="C63" s="7" t="s">
        <v>570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v>5300010001</v>
      </c>
      <c r="N63" s="7">
        <v>5300010002</v>
      </c>
      <c r="O63" s="7">
        <v>5300010003</v>
      </c>
      <c r="P63" s="7">
        <v>530001</v>
      </c>
      <c r="Q63" s="7">
        <v>530002</v>
      </c>
      <c r="R63" s="7">
        <v>530003</v>
      </c>
      <c r="S63" s="7">
        <v>530001</v>
      </c>
      <c r="T63" s="7">
        <v>530002</v>
      </c>
      <c r="U63" s="7">
        <v>530003</v>
      </c>
    </row>
    <row r="64" spans="1:42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v>5400010001</v>
      </c>
      <c r="N64" s="7">
        <v>5400010002</v>
      </c>
      <c r="O64" s="7">
        <v>5400010003</v>
      </c>
      <c r="P64" s="7">
        <v>540001</v>
      </c>
      <c r="Q64" s="7">
        <v>540002</v>
      </c>
      <c r="R64" s="7">
        <v>540003</v>
      </c>
      <c r="S64" s="7">
        <v>540001</v>
      </c>
      <c r="T64" s="7">
        <v>540002</v>
      </c>
      <c r="U64" s="7">
        <v>540003</v>
      </c>
    </row>
    <row r="65" spans="2:21" ht="18.75" customHeight="1">
      <c r="B65" s="7">
        <v>55</v>
      </c>
      <c r="C65" s="7" t="s">
        <v>571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115</v>
      </c>
      <c r="K65" s="7">
        <v>110</v>
      </c>
      <c r="L65" s="7">
        <v>70</v>
      </c>
      <c r="M65" s="7">
        <v>5500010001</v>
      </c>
      <c r="N65" s="7">
        <v>5500010002</v>
      </c>
      <c r="O65" s="7">
        <v>5500010003</v>
      </c>
      <c r="P65" s="7">
        <v>550001</v>
      </c>
      <c r="Q65" s="7">
        <v>550002</v>
      </c>
      <c r="R65" s="7">
        <v>550003</v>
      </c>
      <c r="S65" s="7">
        <v>550001</v>
      </c>
      <c r="T65" s="7">
        <v>550002</v>
      </c>
      <c r="U65" s="7">
        <v>550003</v>
      </c>
    </row>
    <row r="66" spans="2:21" ht="18.75" customHeight="1">
      <c r="B66" s="7">
        <v>56</v>
      </c>
      <c r="C66" s="7" t="s">
        <v>572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v>5600010001</v>
      </c>
      <c r="N66" s="7">
        <v>5600010002</v>
      </c>
      <c r="O66" s="7">
        <v>5600010003</v>
      </c>
      <c r="P66" s="7">
        <v>560001</v>
      </c>
      <c r="Q66" s="7">
        <v>560002</v>
      </c>
      <c r="R66" s="7">
        <v>560003</v>
      </c>
      <c r="S66" s="7">
        <v>560001</v>
      </c>
      <c r="T66" s="7">
        <v>560002</v>
      </c>
      <c r="U66" s="7">
        <v>560003</v>
      </c>
    </row>
    <row r="67" spans="2:21" ht="18.75" customHeight="1">
      <c r="B67" s="7">
        <v>57</v>
      </c>
      <c r="C67" s="7" t="s">
        <v>573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v>5700010001</v>
      </c>
      <c r="N67" s="7">
        <v>5700010002</v>
      </c>
      <c r="O67" s="7">
        <v>5700010003</v>
      </c>
      <c r="P67" s="7">
        <v>570001</v>
      </c>
      <c r="Q67" s="7">
        <v>570002</v>
      </c>
      <c r="R67" s="7">
        <v>570003</v>
      </c>
      <c r="S67" s="7">
        <v>570001</v>
      </c>
      <c r="T67" s="7">
        <v>570002</v>
      </c>
      <c r="U67" s="7">
        <v>570003</v>
      </c>
    </row>
    <row r="68" spans="2:21" ht="18.75" customHeight="1">
      <c r="B68" s="7">
        <v>58</v>
      </c>
      <c r="C68" s="7" t="s">
        <v>574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v>5800010001</v>
      </c>
      <c r="N68" s="7">
        <v>5800010002</v>
      </c>
      <c r="O68" s="7">
        <v>5800010003</v>
      </c>
      <c r="P68" s="7">
        <v>580001</v>
      </c>
      <c r="Q68" s="7">
        <v>580002</v>
      </c>
      <c r="R68" s="7">
        <v>580003</v>
      </c>
      <c r="S68" s="7">
        <v>580001</v>
      </c>
      <c r="T68" s="7">
        <v>580002</v>
      </c>
      <c r="U68" s="7">
        <v>580003</v>
      </c>
    </row>
    <row r="69" spans="2:21" ht="18.75" customHeight="1">
      <c r="B69" s="7">
        <v>59</v>
      </c>
      <c r="C69" s="7" t="s">
        <v>575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v>5900010001</v>
      </c>
      <c r="N69" s="7">
        <v>5900010002</v>
      </c>
      <c r="O69" s="7">
        <v>5900010003</v>
      </c>
      <c r="P69" s="7">
        <v>590001</v>
      </c>
      <c r="Q69" s="7">
        <v>590002</v>
      </c>
      <c r="R69" s="7">
        <v>590003</v>
      </c>
      <c r="S69" s="7">
        <v>590001</v>
      </c>
      <c r="T69" s="7">
        <v>590002</v>
      </c>
      <c r="U69" s="7">
        <v>590003</v>
      </c>
    </row>
    <row r="70" spans="2:21" ht="18.75" customHeight="1">
      <c r="B70" s="7">
        <v>60</v>
      </c>
      <c r="C70" s="7" t="s">
        <v>576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v>6000010001</v>
      </c>
      <c r="N70" s="7">
        <v>6000010002</v>
      </c>
      <c r="O70" s="7">
        <v>6000010003</v>
      </c>
      <c r="P70" s="7">
        <v>600001</v>
      </c>
      <c r="Q70" s="7">
        <v>600002</v>
      </c>
      <c r="R70" s="7">
        <v>600003</v>
      </c>
      <c r="S70" s="7">
        <v>600001</v>
      </c>
      <c r="T70" s="7">
        <v>600002</v>
      </c>
      <c r="U70" s="7">
        <v>600003</v>
      </c>
    </row>
    <row r="71" spans="2:21" ht="18.75" customHeight="1">
      <c r="B71" s="7">
        <v>61</v>
      </c>
      <c r="C71" s="7" t="s">
        <v>577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v>6100010001</v>
      </c>
      <c r="N71" s="7">
        <v>6100010002</v>
      </c>
      <c r="O71" s="7">
        <v>6100010003</v>
      </c>
      <c r="P71" s="7">
        <v>610001</v>
      </c>
      <c r="Q71" s="7">
        <v>610002</v>
      </c>
      <c r="R71" s="7">
        <v>610003</v>
      </c>
      <c r="S71" s="7">
        <v>610001</v>
      </c>
      <c r="T71" s="7">
        <v>610002</v>
      </c>
      <c r="U71" s="7">
        <v>610003</v>
      </c>
    </row>
    <row r="72" spans="2:21" ht="18.75" customHeight="1">
      <c r="B72" s="7">
        <v>62</v>
      </c>
      <c r="C72" s="7" t="s">
        <v>578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v>6200010001</v>
      </c>
      <c r="N72" s="7">
        <v>6200010002</v>
      </c>
      <c r="O72" s="7">
        <v>6200010003</v>
      </c>
      <c r="P72" s="7">
        <v>620001</v>
      </c>
      <c r="Q72" s="7">
        <v>620002</v>
      </c>
      <c r="R72" s="7">
        <v>620003</v>
      </c>
      <c r="S72" s="7">
        <v>620001</v>
      </c>
      <c r="T72" s="7">
        <v>620002</v>
      </c>
      <c r="U72" s="7">
        <v>620003</v>
      </c>
    </row>
    <row r="73" spans="2:21" ht="18.75" customHeight="1">
      <c r="B73" s="7">
        <v>63</v>
      </c>
      <c r="C73" s="7" t="s">
        <v>579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v>6300010001</v>
      </c>
      <c r="N73" s="7">
        <v>6300010002</v>
      </c>
      <c r="O73" s="7">
        <v>6300010003</v>
      </c>
      <c r="P73" s="7">
        <v>630001</v>
      </c>
      <c r="Q73" s="7">
        <v>630002</v>
      </c>
      <c r="R73" s="7">
        <v>630003</v>
      </c>
      <c r="S73" s="7">
        <v>630001</v>
      </c>
      <c r="T73" s="7">
        <v>630002</v>
      </c>
      <c r="U73" s="7">
        <v>630003</v>
      </c>
    </row>
    <row r="74" spans="2:21" ht="18.75" customHeight="1">
      <c r="B74" s="7">
        <v>64</v>
      </c>
      <c r="C74" s="7" t="s">
        <v>580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v>6400010001</v>
      </c>
      <c r="N74" s="7">
        <v>6400010002</v>
      </c>
      <c r="O74" s="7">
        <v>6400010003</v>
      </c>
      <c r="P74" s="7">
        <v>640001</v>
      </c>
      <c r="Q74" s="7">
        <v>640002</v>
      </c>
      <c r="R74" s="7">
        <v>640003</v>
      </c>
      <c r="S74" s="7">
        <v>640001</v>
      </c>
      <c r="T74" s="7">
        <v>640002</v>
      </c>
      <c r="U74" s="7">
        <v>640003</v>
      </c>
    </row>
    <row r="75" spans="2:21" ht="18.75" customHeight="1">
      <c r="B75" s="7">
        <v>65</v>
      </c>
      <c r="C75" s="7" t="s">
        <v>581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18</v>
      </c>
      <c r="K75" s="7">
        <v>87</v>
      </c>
      <c r="L75" s="7">
        <v>100</v>
      </c>
      <c r="M75" s="7">
        <v>6500010001</v>
      </c>
      <c r="N75" s="7">
        <v>6500010002</v>
      </c>
      <c r="O75" s="7">
        <v>6500010003</v>
      </c>
      <c r="P75" s="7">
        <v>650001</v>
      </c>
      <c r="Q75" s="7">
        <v>650002</v>
      </c>
      <c r="R75" s="7">
        <v>650003</v>
      </c>
      <c r="S75" s="7">
        <v>650001</v>
      </c>
      <c r="T75" s="7">
        <v>650002</v>
      </c>
      <c r="U75" s="7">
        <v>650003</v>
      </c>
    </row>
    <row r="76" spans="2:21" ht="18.75" customHeight="1">
      <c r="B76" s="7">
        <v>66</v>
      </c>
      <c r="C76" s="7" t="s">
        <v>582</v>
      </c>
      <c r="D76" s="7">
        <v>1</v>
      </c>
      <c r="E76" s="7">
        <v>4</v>
      </c>
      <c r="F76" s="7" t="b">
        <v>1</v>
      </c>
      <c r="G76" s="7">
        <v>1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v>6600010001</v>
      </c>
      <c r="N76" s="7">
        <v>6600010002</v>
      </c>
      <c r="O76" s="7">
        <v>6600010003</v>
      </c>
      <c r="P76" s="7">
        <v>660001</v>
      </c>
      <c r="Q76" s="7">
        <v>660002</v>
      </c>
      <c r="R76" s="7">
        <v>660003</v>
      </c>
      <c r="S76" s="7">
        <v>660001</v>
      </c>
      <c r="T76" s="7">
        <v>660002</v>
      </c>
      <c r="U76" s="7">
        <v>660003</v>
      </c>
    </row>
    <row r="77" spans="2:21" ht="18.75" customHeight="1">
      <c r="B77" s="7">
        <v>67</v>
      </c>
      <c r="C77" s="7" t="s">
        <v>583</v>
      </c>
      <c r="D77" s="7">
        <v>2</v>
      </c>
      <c r="E77" s="7">
        <v>4</v>
      </c>
      <c r="F77" s="7" t="b">
        <v>1</v>
      </c>
      <c r="G77" s="7">
        <v>1</v>
      </c>
      <c r="H77" s="7"/>
      <c r="I77" s="7">
        <v>80</v>
      </c>
      <c r="J77" s="7">
        <v>120</v>
      </c>
      <c r="K77" s="7">
        <v>105</v>
      </c>
      <c r="L77" s="7">
        <v>70</v>
      </c>
      <c r="M77" s="7">
        <v>6700010001</v>
      </c>
      <c r="N77" s="7">
        <v>6700010002</v>
      </c>
      <c r="O77" s="7">
        <v>6700010003</v>
      </c>
      <c r="P77" s="7">
        <v>670001</v>
      </c>
      <c r="Q77" s="7">
        <v>670002</v>
      </c>
      <c r="R77" s="7">
        <v>670003</v>
      </c>
      <c r="S77" s="7">
        <v>670001</v>
      </c>
      <c r="T77" s="7">
        <v>670002</v>
      </c>
      <c r="U77" s="7">
        <v>670003</v>
      </c>
    </row>
    <row r="78" spans="2:21" ht="18.75" customHeight="1">
      <c r="B78" s="7">
        <v>68</v>
      </c>
      <c r="C78" s="7" t="s">
        <v>584</v>
      </c>
      <c r="D78" s="7">
        <v>3</v>
      </c>
      <c r="E78" s="7">
        <v>4</v>
      </c>
      <c r="F78" s="7" t="b">
        <v>1</v>
      </c>
      <c r="G78" s="7">
        <v>1</v>
      </c>
      <c r="H78" s="7"/>
      <c r="I78" s="7">
        <v>71</v>
      </c>
      <c r="J78" s="7">
        <v>120</v>
      </c>
      <c r="K78" s="7">
        <v>95</v>
      </c>
      <c r="L78" s="7">
        <v>99</v>
      </c>
      <c r="M78" s="7">
        <v>6800010001</v>
      </c>
      <c r="N78" s="7">
        <v>6800010002</v>
      </c>
      <c r="O78" s="7">
        <v>6800010003</v>
      </c>
      <c r="P78" s="7">
        <v>680001</v>
      </c>
      <c r="Q78" s="7">
        <v>680002</v>
      </c>
      <c r="R78" s="7">
        <v>680003</v>
      </c>
      <c r="S78" s="7">
        <v>680001</v>
      </c>
      <c r="T78" s="7">
        <v>680002</v>
      </c>
      <c r="U78" s="7">
        <v>680003</v>
      </c>
    </row>
    <row r="79" spans="2:21" ht="18.75" customHeight="1">
      <c r="B79" s="7">
        <v>69</v>
      </c>
      <c r="C79" s="7" t="s">
        <v>585</v>
      </c>
      <c r="D79" s="7">
        <v>4</v>
      </c>
      <c r="E79" s="7">
        <v>4</v>
      </c>
      <c r="F79" s="7" t="b">
        <v>1</v>
      </c>
      <c r="G79" s="7">
        <v>1</v>
      </c>
      <c r="H79" s="7"/>
      <c r="I79" s="7">
        <v>100</v>
      </c>
      <c r="J79" s="7">
        <v>85</v>
      </c>
      <c r="K79" s="7">
        <v>105</v>
      </c>
      <c r="L79" s="7">
        <v>60</v>
      </c>
      <c r="M79" s="7">
        <v>6900010001</v>
      </c>
      <c r="N79" s="7">
        <v>6900010002</v>
      </c>
      <c r="O79" s="7">
        <v>6900010003</v>
      </c>
      <c r="P79" s="7">
        <v>690001</v>
      </c>
      <c r="Q79" s="7">
        <v>690002</v>
      </c>
      <c r="R79" s="7">
        <v>690003</v>
      </c>
      <c r="S79" s="7">
        <v>690001</v>
      </c>
      <c r="T79" s="7">
        <v>690002</v>
      </c>
      <c r="U79" s="7">
        <v>690003</v>
      </c>
    </row>
    <row r="80" spans="2:21" ht="18.75" customHeight="1">
      <c r="B80" s="7">
        <v>70</v>
      </c>
      <c r="C80" s="7" t="s">
        <v>586</v>
      </c>
      <c r="D80" s="7">
        <v>5</v>
      </c>
      <c r="E80" s="7">
        <v>4</v>
      </c>
      <c r="F80" s="7" t="b">
        <v>1</v>
      </c>
      <c r="G80" s="7">
        <v>1</v>
      </c>
      <c r="H80" s="7"/>
      <c r="I80" s="7">
        <v>80</v>
      </c>
      <c r="J80" s="7">
        <v>125</v>
      </c>
      <c r="K80" s="7">
        <v>85</v>
      </c>
      <c r="L80" s="7">
        <v>80</v>
      </c>
      <c r="M80" s="7">
        <v>7000010001</v>
      </c>
      <c r="N80" s="7">
        <v>7000010002</v>
      </c>
      <c r="O80" s="7">
        <v>7000010003</v>
      </c>
      <c r="P80" s="7">
        <v>700001</v>
      </c>
      <c r="Q80" s="7">
        <v>700002</v>
      </c>
      <c r="R80" s="7">
        <v>700003</v>
      </c>
      <c r="S80" s="7">
        <v>700001</v>
      </c>
      <c r="T80" s="7">
        <v>700002</v>
      </c>
      <c r="U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P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topLeftCell="C1" workbookViewId="0">
      <selection activeCell="L10" sqref="L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1993</v>
      </c>
      <c r="G4" s="3"/>
      <c r="H4" s="3" t="s">
        <v>1994</v>
      </c>
      <c r="I4" s="3"/>
      <c r="J4" s="3"/>
      <c r="K4" s="3"/>
      <c r="L4" s="3" t="s">
        <v>2006</v>
      </c>
      <c r="M4" s="3"/>
      <c r="N4" s="3"/>
      <c r="O4" s="3"/>
      <c r="P4" s="3" t="s">
        <v>2007</v>
      </c>
      <c r="Q4" s="3"/>
      <c r="R4" s="3"/>
      <c r="S4" s="3"/>
      <c r="T4" s="3" t="s">
        <v>2010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1998</v>
      </c>
      <c r="I5" s="3" t="s">
        <v>1997</v>
      </c>
      <c r="J5" s="3" t="s">
        <v>1996</v>
      </c>
      <c r="K5" s="3" t="s">
        <v>1995</v>
      </c>
      <c r="L5" s="3" t="s">
        <v>1998</v>
      </c>
      <c r="M5" s="3" t="s">
        <v>1997</v>
      </c>
      <c r="N5" s="3" t="s">
        <v>1996</v>
      </c>
      <c r="O5" s="3" t="s">
        <v>1995</v>
      </c>
      <c r="P5" s="3" t="s">
        <v>1998</v>
      </c>
      <c r="Q5" s="3" t="s">
        <v>1997</v>
      </c>
      <c r="R5" s="3" t="s">
        <v>1996</v>
      </c>
      <c r="S5" s="3" t="s">
        <v>1995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1955</v>
      </c>
      <c r="I8" s="4" t="s">
        <v>1955</v>
      </c>
      <c r="J8" s="4" t="s">
        <v>1955</v>
      </c>
      <c r="K8" s="4" t="s">
        <v>1955</v>
      </c>
      <c r="L8" s="4" t="s">
        <v>1955</v>
      </c>
      <c r="M8" s="4" t="s">
        <v>1955</v>
      </c>
      <c r="N8" s="4" t="s">
        <v>1955</v>
      </c>
      <c r="O8" s="4" t="s">
        <v>1955</v>
      </c>
      <c r="P8" s="4" t="s">
        <v>1955</v>
      </c>
      <c r="Q8" s="4" t="s">
        <v>1955</v>
      </c>
      <c r="R8" s="4" t="s">
        <v>1955</v>
      </c>
      <c r="S8" s="4" t="s">
        <v>1955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2004</v>
      </c>
      <c r="E9" s="6" t="s">
        <v>2004</v>
      </c>
      <c r="F9" s="6" t="s">
        <v>2003</v>
      </c>
      <c r="G9" s="6" t="s">
        <v>2003</v>
      </c>
      <c r="H9" s="6" t="s">
        <v>1999</v>
      </c>
      <c r="I9" s="6" t="s">
        <v>2000</v>
      </c>
      <c r="J9" s="6" t="s">
        <v>2001</v>
      </c>
      <c r="K9" s="6" t="s">
        <v>2002</v>
      </c>
      <c r="L9" s="6" t="s">
        <v>1999</v>
      </c>
      <c r="M9" s="6" t="s">
        <v>2000</v>
      </c>
      <c r="N9" s="6" t="s">
        <v>2001</v>
      </c>
      <c r="O9" s="6" t="s">
        <v>2002</v>
      </c>
      <c r="P9" s="6" t="s">
        <v>1999</v>
      </c>
      <c r="Q9" s="6" t="s">
        <v>2000</v>
      </c>
      <c r="R9" s="6" t="s">
        <v>2001</v>
      </c>
      <c r="S9" s="6" t="s">
        <v>2002</v>
      </c>
      <c r="T9" s="6" t="s">
        <v>2010</v>
      </c>
    </row>
    <row r="10" spans="1:20" ht="132" customHeight="1">
      <c r="A10" s="55" t="s">
        <v>12</v>
      </c>
      <c r="B10" s="5"/>
      <c r="C10" s="6"/>
      <c r="D10" s="6" t="s">
        <v>2005</v>
      </c>
      <c r="E10" s="6" t="s">
        <v>2005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49</v>
      </c>
      <c r="G11" s="7">
        <v>50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172</v>
      </c>
      <c r="D12" s="7">
        <v>1</v>
      </c>
      <c r="E12" s="7">
        <v>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1:20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0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J1" workbookViewId="0">
      <selection activeCell="I11" sqref="I11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19.125" style="36" customWidth="1"/>
    <col min="10" max="10" width="12.625" style="36" customWidth="1"/>
    <col min="11" max="11" width="22.75" style="36" customWidth="1"/>
    <col min="12" max="12" width="19" style="36" customWidth="1"/>
    <col min="13" max="13" width="12.625" style="36" customWidth="1"/>
    <col min="14" max="14" width="27.25" style="36" customWidth="1"/>
    <col min="15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2008</v>
      </c>
      <c r="F4" s="3"/>
      <c r="G4" s="3"/>
      <c r="H4" s="3" t="s">
        <v>224</v>
      </c>
      <c r="I4" s="3" t="s">
        <v>179</v>
      </c>
      <c r="J4" s="3"/>
      <c r="K4" s="3"/>
      <c r="L4" s="3"/>
      <c r="M4" s="3"/>
      <c r="N4" s="3"/>
      <c r="O4" s="3" t="s">
        <v>182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180</v>
      </c>
      <c r="J6" s="3" t="s">
        <v>181</v>
      </c>
      <c r="K6" s="3" t="s">
        <v>221</v>
      </c>
      <c r="L6" s="3" t="s">
        <v>180</v>
      </c>
      <c r="M6" s="3" t="s">
        <v>181</v>
      </c>
      <c r="N6" s="3" t="s">
        <v>221</v>
      </c>
      <c r="O6" s="3" t="s">
        <v>180</v>
      </c>
      <c r="P6" s="3" t="s">
        <v>181</v>
      </c>
      <c r="Q6" s="3" t="s">
        <v>221</v>
      </c>
      <c r="R6" s="3" t="s">
        <v>180</v>
      </c>
      <c r="S6" s="3" t="s">
        <v>181</v>
      </c>
      <c r="T6" s="3" t="s">
        <v>221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175</v>
      </c>
      <c r="E9" s="6" t="s">
        <v>123</v>
      </c>
      <c r="F9" s="6" t="s">
        <v>30</v>
      </c>
      <c r="G9" s="6" t="s">
        <v>32</v>
      </c>
      <c r="H9" s="6" t="s">
        <v>2009</v>
      </c>
      <c r="I9" s="6" t="s">
        <v>183</v>
      </c>
      <c r="J9" s="6" t="s">
        <v>184</v>
      </c>
      <c r="K9" s="6" t="s">
        <v>222</v>
      </c>
      <c r="L9" s="6" t="s">
        <v>183</v>
      </c>
      <c r="M9" s="6" t="s">
        <v>184</v>
      </c>
      <c r="N9" s="6" t="s">
        <v>222</v>
      </c>
      <c r="O9" s="6" t="s">
        <v>183</v>
      </c>
      <c r="P9" s="6" t="s">
        <v>184</v>
      </c>
      <c r="Q9" s="6" t="s">
        <v>222</v>
      </c>
      <c r="R9" s="6" t="s">
        <v>183</v>
      </c>
      <c r="S9" s="6" t="s">
        <v>184</v>
      </c>
      <c r="T9" s="6" t="s">
        <v>222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132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223</v>
      </c>
      <c r="J10" s="19"/>
      <c r="K10" s="19"/>
      <c r="L10" s="19" t="s">
        <v>223</v>
      </c>
      <c r="M10" s="19"/>
      <c r="N10" s="19"/>
      <c r="O10" s="19" t="s">
        <v>223</v>
      </c>
      <c r="P10" s="18"/>
      <c r="Q10" s="19"/>
      <c r="R10" s="19" t="s">
        <v>223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176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2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177</v>
      </c>
      <c r="E12" s="7">
        <v>1</v>
      </c>
      <c r="F12" s="7">
        <v>1</v>
      </c>
      <c r="G12" s="7">
        <v>50</v>
      </c>
      <c r="H12" s="7">
        <v>2</v>
      </c>
      <c r="I12" s="7"/>
      <c r="J12" s="7"/>
      <c r="K12" s="2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8"/>
      <c r="B13" s="7">
        <v>1002001</v>
      </c>
      <c r="C13" s="7">
        <v>2</v>
      </c>
      <c r="D13" s="5" t="s">
        <v>176</v>
      </c>
      <c r="E13" s="7">
        <v>1</v>
      </c>
      <c r="F13" s="7">
        <v>1</v>
      </c>
      <c r="G13" s="7">
        <v>5</v>
      </c>
      <c r="H13" s="7">
        <v>1</v>
      </c>
      <c r="I13" s="7">
        <v>3</v>
      </c>
      <c r="J13" s="7"/>
      <c r="K13" s="25" t="s">
        <v>226</v>
      </c>
      <c r="L13" s="7">
        <v>4</v>
      </c>
      <c r="M13" s="7"/>
      <c r="N13" s="25" t="s">
        <v>225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8"/>
      <c r="B14" s="7">
        <v>1002002</v>
      </c>
      <c r="C14" s="7">
        <v>2</v>
      </c>
      <c r="D14" s="7" t="s">
        <v>177</v>
      </c>
      <c r="E14" s="7">
        <v>1</v>
      </c>
      <c r="F14" s="7">
        <v>1</v>
      </c>
      <c r="G14" s="7">
        <v>50</v>
      </c>
      <c r="H14" s="7">
        <v>2</v>
      </c>
      <c r="I14" s="7">
        <v>3</v>
      </c>
      <c r="J14" s="7"/>
      <c r="K14" s="25" t="s">
        <v>226</v>
      </c>
      <c r="L14" s="7">
        <v>4</v>
      </c>
      <c r="M14" s="7"/>
      <c r="N14" s="25" t="s">
        <v>225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2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2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25"/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25"/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2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2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2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2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2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188</v>
      </c>
      <c r="D13" s="7" t="s">
        <v>190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189</v>
      </c>
      <c r="D14" s="7" t="s">
        <v>191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22" workbookViewId="0">
      <selection activeCell="P30" sqref="P3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1750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1751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1752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1753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1754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1755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1756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1757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1758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1759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1760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1761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1762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1763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1764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1765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1766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1767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1768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1769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1770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1956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188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189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1991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10" workbookViewId="0">
      <selection activeCell="K26" sqref="K2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B12 + D12</f>
        <v>12</v>
      </c>
      <c r="E13" s="7">
        <f>E12+D13</f>
        <v>22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>B13 + D13</f>
        <v>15</v>
      </c>
      <c r="E14" s="7">
        <f>E13+D14</f>
        <v>37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ref="D15:D78" si="0">B14 + D14</f>
        <v>19</v>
      </c>
      <c r="E15" s="7">
        <f t="shared" ref="E15:E78" si="1">E14+D15</f>
        <v>56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24</v>
      </c>
      <c r="E16" s="7">
        <f t="shared" si="1"/>
        <v>80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30</v>
      </c>
      <c r="E17" s="7">
        <f t="shared" si="1"/>
        <v>110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37</v>
      </c>
      <c r="E18" s="7">
        <f t="shared" si="1"/>
        <v>147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45</v>
      </c>
      <c r="E19" s="7">
        <f t="shared" si="1"/>
        <v>192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54</v>
      </c>
      <c r="E20" s="7">
        <f t="shared" si="1"/>
        <v>246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64</v>
      </c>
      <c r="E21" s="7">
        <f t="shared" si="1"/>
        <v>310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75</v>
      </c>
      <c r="E22" s="7">
        <f t="shared" si="1"/>
        <v>385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87</v>
      </c>
      <c r="E23" s="7">
        <f t="shared" si="1"/>
        <v>472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100</v>
      </c>
      <c r="E24" s="7">
        <f t="shared" si="1"/>
        <v>572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114</v>
      </c>
      <c r="E25" s="7">
        <f t="shared" si="1"/>
        <v>686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129</v>
      </c>
      <c r="E26" s="7">
        <f t="shared" si="1"/>
        <v>815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145</v>
      </c>
      <c r="E27" s="7">
        <f t="shared" si="1"/>
        <v>960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162</v>
      </c>
      <c r="E28" s="7">
        <f t="shared" si="1"/>
        <v>1122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180</v>
      </c>
      <c r="E29" s="7">
        <f t="shared" si="1"/>
        <v>1302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199</v>
      </c>
      <c r="E30" s="7">
        <f t="shared" si="1"/>
        <v>1501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219</v>
      </c>
      <c r="E31" s="7">
        <f t="shared" si="1"/>
        <v>1720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240</v>
      </c>
      <c r="E32" s="7">
        <f t="shared" si="1"/>
        <v>1960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262</v>
      </c>
      <c r="E33" s="7">
        <f t="shared" si="1"/>
        <v>2222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285</v>
      </c>
      <c r="E34" s="7">
        <f t="shared" si="1"/>
        <v>2507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309</v>
      </c>
      <c r="E35" s="7">
        <f t="shared" si="1"/>
        <v>2816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334</v>
      </c>
      <c r="E36" s="7">
        <f t="shared" si="1"/>
        <v>3150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360</v>
      </c>
      <c r="E37" s="7">
        <f t="shared" si="1"/>
        <v>3510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387</v>
      </c>
      <c r="E38" s="7">
        <f t="shared" si="1"/>
        <v>3897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415</v>
      </c>
      <c r="E39" s="7">
        <f t="shared" si="1"/>
        <v>4312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444</v>
      </c>
      <c r="E40" s="7">
        <f t="shared" si="1"/>
        <v>4756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474</v>
      </c>
      <c r="E41" s="7">
        <f t="shared" si="1"/>
        <v>5230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505</v>
      </c>
      <c r="E42" s="7">
        <f t="shared" si="1"/>
        <v>5735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537</v>
      </c>
      <c r="E43" s="7">
        <f t="shared" si="1"/>
        <v>6272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570</v>
      </c>
      <c r="E44" s="7">
        <f t="shared" si="1"/>
        <v>6842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604</v>
      </c>
      <c r="E45" s="7">
        <f t="shared" si="1"/>
        <v>7446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639</v>
      </c>
      <c r="E46" s="7">
        <f t="shared" si="1"/>
        <v>8085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675</v>
      </c>
      <c r="E47" s="7">
        <f t="shared" si="1"/>
        <v>8760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712</v>
      </c>
      <c r="E48" s="7">
        <f t="shared" si="1"/>
        <v>9472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750</v>
      </c>
      <c r="E49" s="7">
        <f t="shared" si="1"/>
        <v>10222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789</v>
      </c>
      <c r="E50" s="7">
        <f t="shared" si="1"/>
        <v>11011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829</v>
      </c>
      <c r="E51" s="7">
        <f t="shared" si="1"/>
        <v>11840</v>
      </c>
    </row>
    <row r="52" spans="1:38" ht="18.75" customHeight="1">
      <c r="B52" s="7">
        <v>42</v>
      </c>
      <c r="C52" s="7">
        <v>42</v>
      </c>
      <c r="D52" s="7">
        <f t="shared" si="0"/>
        <v>870</v>
      </c>
      <c r="E52" s="7">
        <f t="shared" si="1"/>
        <v>12710</v>
      </c>
    </row>
    <row r="53" spans="1:38" ht="18.75" customHeight="1">
      <c r="B53" s="5">
        <v>43</v>
      </c>
      <c r="C53" s="7">
        <v>43</v>
      </c>
      <c r="D53" s="7">
        <f t="shared" si="0"/>
        <v>912</v>
      </c>
      <c r="E53" s="7">
        <f t="shared" si="1"/>
        <v>13622</v>
      </c>
    </row>
    <row r="54" spans="1:38" ht="18.75" customHeight="1">
      <c r="B54" s="7">
        <v>44</v>
      </c>
      <c r="C54" s="7">
        <v>44</v>
      </c>
      <c r="D54" s="7">
        <f t="shared" si="0"/>
        <v>955</v>
      </c>
      <c r="E54" s="7">
        <f t="shared" si="1"/>
        <v>14577</v>
      </c>
    </row>
    <row r="55" spans="1:38" ht="18.75" customHeight="1">
      <c r="B55" s="5">
        <v>45</v>
      </c>
      <c r="C55" s="7">
        <v>45</v>
      </c>
      <c r="D55" s="7">
        <f t="shared" si="0"/>
        <v>999</v>
      </c>
      <c r="E55" s="7">
        <f t="shared" si="1"/>
        <v>15576</v>
      </c>
    </row>
    <row r="56" spans="1:38" ht="18.75" customHeight="1">
      <c r="B56" s="7">
        <v>46</v>
      </c>
      <c r="C56" s="7">
        <v>46</v>
      </c>
      <c r="D56" s="7">
        <f t="shared" si="0"/>
        <v>1044</v>
      </c>
      <c r="E56" s="7">
        <f t="shared" si="1"/>
        <v>16620</v>
      </c>
    </row>
    <row r="57" spans="1:38" ht="18.75" customHeight="1">
      <c r="B57" s="5">
        <v>47</v>
      </c>
      <c r="C57" s="7">
        <v>47</v>
      </c>
      <c r="D57" s="7">
        <f t="shared" si="0"/>
        <v>1090</v>
      </c>
      <c r="E57" s="7">
        <f t="shared" si="1"/>
        <v>17710</v>
      </c>
    </row>
    <row r="58" spans="1:38" ht="18.75" customHeight="1">
      <c r="B58" s="7">
        <v>48</v>
      </c>
      <c r="C58" s="7">
        <v>48</v>
      </c>
      <c r="D58" s="7">
        <f t="shared" si="0"/>
        <v>1137</v>
      </c>
      <c r="E58" s="7">
        <f t="shared" si="1"/>
        <v>18847</v>
      </c>
    </row>
    <row r="59" spans="1:38" ht="18.75" customHeight="1">
      <c r="B59" s="5">
        <v>49</v>
      </c>
      <c r="C59" s="7">
        <v>49</v>
      </c>
      <c r="D59" s="7">
        <f t="shared" si="0"/>
        <v>1185</v>
      </c>
      <c r="E59" s="7">
        <f t="shared" si="1"/>
        <v>20032</v>
      </c>
    </row>
    <row r="60" spans="1:38" ht="18.75" customHeight="1">
      <c r="B60" s="7">
        <v>50</v>
      </c>
      <c r="C60" s="7">
        <v>50</v>
      </c>
      <c r="D60" s="7">
        <f t="shared" si="0"/>
        <v>1234</v>
      </c>
      <c r="E60" s="7">
        <f t="shared" si="1"/>
        <v>21266</v>
      </c>
    </row>
    <row r="61" spans="1:38" ht="18.75" customHeight="1">
      <c r="B61" s="5">
        <v>51</v>
      </c>
      <c r="C61" s="7">
        <v>51</v>
      </c>
      <c r="D61" s="7">
        <f t="shared" si="0"/>
        <v>1284</v>
      </c>
      <c r="E61" s="7">
        <f t="shared" si="1"/>
        <v>22550</v>
      </c>
    </row>
    <row r="62" spans="1:38" ht="18.75" customHeight="1">
      <c r="B62" s="7">
        <v>52</v>
      </c>
      <c r="C62" s="7">
        <v>52</v>
      </c>
      <c r="D62" s="7">
        <f t="shared" si="0"/>
        <v>1335</v>
      </c>
      <c r="E62" s="7">
        <f t="shared" si="1"/>
        <v>23885</v>
      </c>
    </row>
    <row r="63" spans="1:38" ht="18.75" customHeight="1">
      <c r="B63" s="5">
        <v>53</v>
      </c>
      <c r="C63" s="7">
        <v>53</v>
      </c>
      <c r="D63" s="7">
        <f t="shared" si="0"/>
        <v>1387</v>
      </c>
      <c r="E63" s="7">
        <f t="shared" si="1"/>
        <v>25272</v>
      </c>
    </row>
    <row r="64" spans="1:38" ht="18.75" customHeight="1">
      <c r="B64" s="7">
        <v>54</v>
      </c>
      <c r="C64" s="7">
        <v>54</v>
      </c>
      <c r="D64" s="7">
        <f t="shared" si="0"/>
        <v>1440</v>
      </c>
      <c r="E64" s="7">
        <f t="shared" si="1"/>
        <v>26712</v>
      </c>
    </row>
    <row r="65" spans="2:5" ht="18.75" customHeight="1">
      <c r="B65" s="5">
        <v>55</v>
      </c>
      <c r="C65" s="7">
        <v>55</v>
      </c>
      <c r="D65" s="7">
        <f t="shared" si="0"/>
        <v>1494</v>
      </c>
      <c r="E65" s="7">
        <f t="shared" si="1"/>
        <v>28206</v>
      </c>
    </row>
    <row r="66" spans="2:5" ht="18.75" customHeight="1">
      <c r="B66" s="7">
        <v>56</v>
      </c>
      <c r="C66" s="7">
        <v>56</v>
      </c>
      <c r="D66" s="7">
        <f t="shared" si="0"/>
        <v>1549</v>
      </c>
      <c r="E66" s="7">
        <f t="shared" si="1"/>
        <v>29755</v>
      </c>
    </row>
    <row r="67" spans="2:5" ht="18.75" customHeight="1">
      <c r="B67" s="5">
        <v>57</v>
      </c>
      <c r="C67" s="7">
        <v>57</v>
      </c>
      <c r="D67" s="7">
        <f t="shared" si="0"/>
        <v>1605</v>
      </c>
      <c r="E67" s="7">
        <f t="shared" si="1"/>
        <v>31360</v>
      </c>
    </row>
    <row r="68" spans="2:5" ht="18.75" customHeight="1">
      <c r="B68" s="7">
        <v>58</v>
      </c>
      <c r="C68" s="7">
        <v>58</v>
      </c>
      <c r="D68" s="7">
        <f t="shared" si="0"/>
        <v>1662</v>
      </c>
      <c r="E68" s="7">
        <f t="shared" si="1"/>
        <v>33022</v>
      </c>
    </row>
    <row r="69" spans="2:5" ht="18.75" customHeight="1">
      <c r="B69" s="5">
        <v>59</v>
      </c>
      <c r="C69" s="7">
        <v>59</v>
      </c>
      <c r="D69" s="7">
        <f t="shared" si="0"/>
        <v>1720</v>
      </c>
      <c r="E69" s="7">
        <f t="shared" si="1"/>
        <v>34742</v>
      </c>
    </row>
    <row r="70" spans="2:5" ht="18.75" customHeight="1">
      <c r="B70" s="7">
        <v>60</v>
      </c>
      <c r="C70" s="7">
        <v>60</v>
      </c>
      <c r="D70" s="7">
        <f t="shared" si="0"/>
        <v>1779</v>
      </c>
      <c r="E70" s="7">
        <f t="shared" si="1"/>
        <v>36521</v>
      </c>
    </row>
    <row r="71" spans="2:5" ht="18.75" customHeight="1">
      <c r="B71" s="5">
        <v>61</v>
      </c>
      <c r="C71" s="7">
        <v>61</v>
      </c>
      <c r="D71" s="7">
        <f t="shared" si="0"/>
        <v>1839</v>
      </c>
      <c r="E71" s="7">
        <f t="shared" si="1"/>
        <v>38360</v>
      </c>
    </row>
    <row r="72" spans="2:5" ht="18.75" customHeight="1">
      <c r="B72" s="7">
        <v>62</v>
      </c>
      <c r="C72" s="7">
        <v>62</v>
      </c>
      <c r="D72" s="7">
        <f t="shared" si="0"/>
        <v>1900</v>
      </c>
      <c r="E72" s="7">
        <f t="shared" si="1"/>
        <v>40260</v>
      </c>
    </row>
    <row r="73" spans="2:5" ht="18.75" customHeight="1">
      <c r="B73" s="5">
        <v>63</v>
      </c>
      <c r="C73" s="7">
        <v>63</v>
      </c>
      <c r="D73" s="7">
        <f t="shared" si="0"/>
        <v>1962</v>
      </c>
      <c r="E73" s="7">
        <f t="shared" si="1"/>
        <v>42222</v>
      </c>
    </row>
    <row r="74" spans="2:5" ht="18.75" customHeight="1">
      <c r="B74" s="7">
        <v>64</v>
      </c>
      <c r="C74" s="7">
        <v>64</v>
      </c>
      <c r="D74" s="7">
        <f t="shared" si="0"/>
        <v>2025</v>
      </c>
      <c r="E74" s="7">
        <f t="shared" si="1"/>
        <v>44247</v>
      </c>
    </row>
    <row r="75" spans="2:5" ht="18.75" customHeight="1">
      <c r="B75" s="5">
        <v>65</v>
      </c>
      <c r="C75" s="7">
        <v>65</v>
      </c>
      <c r="D75" s="7">
        <f t="shared" si="0"/>
        <v>2089</v>
      </c>
      <c r="E75" s="7">
        <f t="shared" si="1"/>
        <v>46336</v>
      </c>
    </row>
    <row r="76" spans="2:5" ht="18.75" customHeight="1">
      <c r="B76" s="7">
        <v>66</v>
      </c>
      <c r="C76" s="7">
        <v>66</v>
      </c>
      <c r="D76" s="7">
        <f t="shared" si="0"/>
        <v>2154</v>
      </c>
      <c r="E76" s="7">
        <f t="shared" si="1"/>
        <v>48490</v>
      </c>
    </row>
    <row r="77" spans="2:5" ht="18.75" customHeight="1">
      <c r="B77" s="5">
        <v>67</v>
      </c>
      <c r="C77" s="7">
        <v>67</v>
      </c>
      <c r="D77" s="7">
        <f t="shared" si="0"/>
        <v>2220</v>
      </c>
      <c r="E77" s="7">
        <f t="shared" si="1"/>
        <v>50710</v>
      </c>
    </row>
    <row r="78" spans="2:5" ht="18.75" customHeight="1">
      <c r="B78" s="7">
        <v>68</v>
      </c>
      <c r="C78" s="7">
        <v>68</v>
      </c>
      <c r="D78" s="7">
        <f t="shared" si="0"/>
        <v>2287</v>
      </c>
      <c r="E78" s="7">
        <f t="shared" si="1"/>
        <v>52997</v>
      </c>
    </row>
    <row r="79" spans="2:5" ht="18.75" customHeight="1">
      <c r="B79" s="5">
        <v>69</v>
      </c>
      <c r="C79" s="7">
        <v>69</v>
      </c>
      <c r="D79" s="7">
        <f t="shared" ref="D79:D110" si="2">B78 + D78</f>
        <v>2355</v>
      </c>
      <c r="E79" s="7">
        <f t="shared" ref="E79:E110" si="3">E78+D79</f>
        <v>55352</v>
      </c>
    </row>
    <row r="80" spans="2:5" ht="18.75" customHeight="1">
      <c r="B80" s="7">
        <v>70</v>
      </c>
      <c r="C80" s="7">
        <v>70</v>
      </c>
      <c r="D80" s="7">
        <f t="shared" si="2"/>
        <v>2424</v>
      </c>
      <c r="E80" s="7">
        <f t="shared" si="3"/>
        <v>57776</v>
      </c>
    </row>
    <row r="81" spans="2:5" ht="18.75" customHeight="1">
      <c r="B81" s="5">
        <v>71</v>
      </c>
      <c r="C81" s="7">
        <v>71</v>
      </c>
      <c r="D81" s="7">
        <f t="shared" si="2"/>
        <v>2494</v>
      </c>
      <c r="E81" s="7">
        <f t="shared" si="3"/>
        <v>60270</v>
      </c>
    </row>
    <row r="82" spans="2:5" ht="18.75" customHeight="1">
      <c r="B82" s="7">
        <v>72</v>
      </c>
      <c r="C82" s="7">
        <v>72</v>
      </c>
      <c r="D82" s="7">
        <f t="shared" si="2"/>
        <v>2565</v>
      </c>
      <c r="E82" s="7">
        <f t="shared" si="3"/>
        <v>62835</v>
      </c>
    </row>
    <row r="83" spans="2:5" ht="18.75" customHeight="1">
      <c r="B83" s="5">
        <v>73</v>
      </c>
      <c r="C83" s="7">
        <v>73</v>
      </c>
      <c r="D83" s="7">
        <f t="shared" si="2"/>
        <v>2637</v>
      </c>
      <c r="E83" s="7">
        <f t="shared" si="3"/>
        <v>65472</v>
      </c>
    </row>
    <row r="84" spans="2:5" ht="18.75" customHeight="1">
      <c r="B84" s="7">
        <v>74</v>
      </c>
      <c r="C84" s="7">
        <v>74</v>
      </c>
      <c r="D84" s="7">
        <f t="shared" si="2"/>
        <v>2710</v>
      </c>
      <c r="E84" s="7">
        <f t="shared" si="3"/>
        <v>68182</v>
      </c>
    </row>
    <row r="85" spans="2:5" ht="18.75" customHeight="1">
      <c r="B85" s="5">
        <v>75</v>
      </c>
      <c r="C85" s="7">
        <v>75</v>
      </c>
      <c r="D85" s="7">
        <f t="shared" si="2"/>
        <v>2784</v>
      </c>
      <c r="E85" s="7">
        <f t="shared" si="3"/>
        <v>70966</v>
      </c>
    </row>
    <row r="86" spans="2:5" ht="18.75" customHeight="1">
      <c r="B86" s="7">
        <v>76</v>
      </c>
      <c r="C86" s="7">
        <v>76</v>
      </c>
      <c r="D86" s="7">
        <f t="shared" si="2"/>
        <v>2859</v>
      </c>
      <c r="E86" s="7">
        <f t="shared" si="3"/>
        <v>73825</v>
      </c>
    </row>
    <row r="87" spans="2:5" ht="18.75" customHeight="1">
      <c r="B87" s="5">
        <v>77</v>
      </c>
      <c r="C87" s="7">
        <v>77</v>
      </c>
      <c r="D87" s="7">
        <f t="shared" si="2"/>
        <v>2935</v>
      </c>
      <c r="E87" s="7">
        <f t="shared" si="3"/>
        <v>76760</v>
      </c>
    </row>
    <row r="88" spans="2:5" ht="18.75" customHeight="1">
      <c r="B88" s="7">
        <v>78</v>
      </c>
      <c r="C88" s="7">
        <v>78</v>
      </c>
      <c r="D88" s="7">
        <f t="shared" si="2"/>
        <v>3012</v>
      </c>
      <c r="E88" s="7">
        <f t="shared" si="3"/>
        <v>79772</v>
      </c>
    </row>
    <row r="89" spans="2:5" ht="18.75" customHeight="1">
      <c r="B89" s="5">
        <v>79</v>
      </c>
      <c r="C89" s="7">
        <v>79</v>
      </c>
      <c r="D89" s="7">
        <f t="shared" si="2"/>
        <v>3090</v>
      </c>
      <c r="E89" s="7">
        <f t="shared" si="3"/>
        <v>82862</v>
      </c>
    </row>
    <row r="90" spans="2:5" ht="18.75" customHeight="1">
      <c r="B90" s="7">
        <v>80</v>
      </c>
      <c r="C90" s="7">
        <v>80</v>
      </c>
      <c r="D90" s="7">
        <f t="shared" si="2"/>
        <v>3169</v>
      </c>
      <c r="E90" s="7">
        <f t="shared" si="3"/>
        <v>86031</v>
      </c>
    </row>
    <row r="91" spans="2:5" ht="18.75" customHeight="1">
      <c r="B91" s="5">
        <v>81</v>
      </c>
      <c r="C91" s="7">
        <v>81</v>
      </c>
      <c r="D91" s="7">
        <f t="shared" si="2"/>
        <v>3249</v>
      </c>
      <c r="E91" s="7">
        <f t="shared" si="3"/>
        <v>89280</v>
      </c>
    </row>
    <row r="92" spans="2:5" ht="18.75" customHeight="1">
      <c r="B92" s="7">
        <v>82</v>
      </c>
      <c r="C92" s="7">
        <v>82</v>
      </c>
      <c r="D92" s="7">
        <f t="shared" si="2"/>
        <v>3330</v>
      </c>
      <c r="E92" s="7">
        <f t="shared" si="3"/>
        <v>92610</v>
      </c>
    </row>
    <row r="93" spans="2:5" ht="18.75" customHeight="1">
      <c r="B93" s="5">
        <v>83</v>
      </c>
      <c r="C93" s="7">
        <v>83</v>
      </c>
      <c r="D93" s="7">
        <f t="shared" si="2"/>
        <v>3412</v>
      </c>
      <c r="E93" s="7">
        <f t="shared" si="3"/>
        <v>96022</v>
      </c>
    </row>
    <row r="94" spans="2:5" ht="18.75" customHeight="1">
      <c r="B94" s="7">
        <v>84</v>
      </c>
      <c r="C94" s="7">
        <v>84</v>
      </c>
      <c r="D94" s="7">
        <f t="shared" si="2"/>
        <v>3495</v>
      </c>
      <c r="E94" s="7">
        <f t="shared" si="3"/>
        <v>99517</v>
      </c>
    </row>
    <row r="95" spans="2:5" ht="18.75" customHeight="1">
      <c r="B95" s="5">
        <v>85</v>
      </c>
      <c r="C95" s="7">
        <v>85</v>
      </c>
      <c r="D95" s="7">
        <f t="shared" si="2"/>
        <v>3579</v>
      </c>
      <c r="E95" s="7">
        <f t="shared" si="3"/>
        <v>103096</v>
      </c>
    </row>
    <row r="96" spans="2:5" ht="18.75" customHeight="1">
      <c r="B96" s="7">
        <v>86</v>
      </c>
      <c r="C96" s="7">
        <v>86</v>
      </c>
      <c r="D96" s="7">
        <f t="shared" si="2"/>
        <v>3664</v>
      </c>
      <c r="E96" s="7">
        <f t="shared" si="3"/>
        <v>106760</v>
      </c>
    </row>
    <row r="97" spans="2:5" ht="18.75" customHeight="1">
      <c r="B97" s="5">
        <v>87</v>
      </c>
      <c r="C97" s="7">
        <v>87</v>
      </c>
      <c r="D97" s="7">
        <f t="shared" si="2"/>
        <v>3750</v>
      </c>
      <c r="E97" s="7">
        <f t="shared" si="3"/>
        <v>110510</v>
      </c>
    </row>
    <row r="98" spans="2:5" ht="18.75" customHeight="1">
      <c r="B98" s="7">
        <v>88</v>
      </c>
      <c r="C98" s="7">
        <v>88</v>
      </c>
      <c r="D98" s="7">
        <f t="shared" si="2"/>
        <v>3837</v>
      </c>
      <c r="E98" s="7">
        <f t="shared" si="3"/>
        <v>114347</v>
      </c>
    </row>
    <row r="99" spans="2:5" ht="18.75" customHeight="1">
      <c r="B99" s="5">
        <v>89</v>
      </c>
      <c r="C99" s="7">
        <v>89</v>
      </c>
      <c r="D99" s="7">
        <f t="shared" si="2"/>
        <v>3925</v>
      </c>
      <c r="E99" s="7">
        <f t="shared" si="3"/>
        <v>118272</v>
      </c>
    </row>
    <row r="100" spans="2:5" ht="18.75" customHeight="1">
      <c r="B100" s="7">
        <v>90</v>
      </c>
      <c r="C100" s="7">
        <v>90</v>
      </c>
      <c r="D100" s="7">
        <f t="shared" si="2"/>
        <v>4014</v>
      </c>
      <c r="E100" s="7">
        <f t="shared" si="3"/>
        <v>122286</v>
      </c>
    </row>
    <row r="101" spans="2:5" ht="18.75" customHeight="1">
      <c r="B101" s="5">
        <v>91</v>
      </c>
      <c r="C101" s="7">
        <v>91</v>
      </c>
      <c r="D101" s="7">
        <f t="shared" si="2"/>
        <v>4104</v>
      </c>
      <c r="E101" s="7">
        <f t="shared" si="3"/>
        <v>126390</v>
      </c>
    </row>
    <row r="102" spans="2:5" ht="18.75" customHeight="1">
      <c r="B102" s="7">
        <v>92</v>
      </c>
      <c r="C102" s="7">
        <v>92</v>
      </c>
      <c r="D102" s="7">
        <f t="shared" si="2"/>
        <v>4195</v>
      </c>
      <c r="E102" s="7">
        <f t="shared" si="3"/>
        <v>130585</v>
      </c>
    </row>
    <row r="103" spans="2:5" ht="18.75" customHeight="1">
      <c r="B103" s="5">
        <v>93</v>
      </c>
      <c r="C103" s="7">
        <v>93</v>
      </c>
      <c r="D103" s="7">
        <f t="shared" si="2"/>
        <v>4287</v>
      </c>
      <c r="E103" s="7">
        <f t="shared" si="3"/>
        <v>134872</v>
      </c>
    </row>
    <row r="104" spans="2:5" ht="18.75" customHeight="1">
      <c r="B104" s="7">
        <v>94</v>
      </c>
      <c r="C104" s="7">
        <v>94</v>
      </c>
      <c r="D104" s="7">
        <f t="shared" si="2"/>
        <v>4380</v>
      </c>
      <c r="E104" s="7">
        <f t="shared" si="3"/>
        <v>139252</v>
      </c>
    </row>
    <row r="105" spans="2:5" ht="18.75" customHeight="1">
      <c r="B105" s="5">
        <v>95</v>
      </c>
      <c r="C105" s="7">
        <v>95</v>
      </c>
      <c r="D105" s="7">
        <f t="shared" si="2"/>
        <v>4474</v>
      </c>
      <c r="E105" s="7">
        <f t="shared" si="3"/>
        <v>143726</v>
      </c>
    </row>
    <row r="106" spans="2:5" ht="18.75" customHeight="1">
      <c r="B106" s="7">
        <v>96</v>
      </c>
      <c r="C106" s="7">
        <v>96</v>
      </c>
      <c r="D106" s="7">
        <f t="shared" si="2"/>
        <v>4569</v>
      </c>
      <c r="E106" s="7">
        <f t="shared" si="3"/>
        <v>148295</v>
      </c>
    </row>
    <row r="107" spans="2:5" ht="18.75" customHeight="1">
      <c r="B107" s="5">
        <v>97</v>
      </c>
      <c r="C107" s="7">
        <v>97</v>
      </c>
      <c r="D107" s="7">
        <f t="shared" si="2"/>
        <v>4665</v>
      </c>
      <c r="E107" s="7">
        <f t="shared" si="3"/>
        <v>152960</v>
      </c>
    </row>
    <row r="108" spans="2:5" ht="18.75" customHeight="1">
      <c r="B108" s="7">
        <v>98</v>
      </c>
      <c r="C108" s="7">
        <v>98</v>
      </c>
      <c r="D108" s="7">
        <f t="shared" si="2"/>
        <v>4762</v>
      </c>
      <c r="E108" s="7">
        <f t="shared" si="3"/>
        <v>157722</v>
      </c>
    </row>
    <row r="109" spans="2:5" ht="18.75" customHeight="1">
      <c r="B109" s="5">
        <v>99</v>
      </c>
      <c r="C109" s="7">
        <v>99</v>
      </c>
      <c r="D109" s="7">
        <f t="shared" si="2"/>
        <v>4860</v>
      </c>
      <c r="E109" s="7">
        <f t="shared" si="3"/>
        <v>162582</v>
      </c>
    </row>
    <row r="110" spans="2:5" ht="18.75" customHeight="1">
      <c r="B110" s="7">
        <v>100</v>
      </c>
      <c r="C110" s="7">
        <v>100</v>
      </c>
      <c r="D110" s="7">
        <f t="shared" si="2"/>
        <v>4959</v>
      </c>
      <c r="E110" s="7">
        <f t="shared" si="3"/>
        <v>167541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5" workbookViewId="0">
      <selection activeCell="E110" sqref="E1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D12+(7*C11)</f>
        <v>17</v>
      </c>
      <c r="E13" s="7">
        <f>E12+D13</f>
        <v>27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ref="D14:D77" si="0">D13+(7*C12)</f>
        <v>31</v>
      </c>
      <c r="E14" s="7">
        <f>E13+D14</f>
        <v>58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52</v>
      </c>
      <c r="E15" s="7">
        <f t="shared" ref="E15:E78" si="1">E14+D15</f>
        <v>110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80</v>
      </c>
      <c r="E16" s="7">
        <f t="shared" si="1"/>
        <v>190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115</v>
      </c>
      <c r="E17" s="7">
        <f t="shared" si="1"/>
        <v>305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157</v>
      </c>
      <c r="E18" s="7">
        <f t="shared" si="1"/>
        <v>462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206</v>
      </c>
      <c r="E19" s="7">
        <f t="shared" si="1"/>
        <v>668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262</v>
      </c>
      <c r="E20" s="7">
        <f t="shared" si="1"/>
        <v>930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325</v>
      </c>
      <c r="E21" s="7">
        <f t="shared" si="1"/>
        <v>1255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395</v>
      </c>
      <c r="E22" s="7">
        <f t="shared" si="1"/>
        <v>1650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472</v>
      </c>
      <c r="E23" s="7">
        <f t="shared" si="1"/>
        <v>2122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556</v>
      </c>
      <c r="E24" s="7">
        <f t="shared" si="1"/>
        <v>2678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647</v>
      </c>
      <c r="E25" s="7">
        <f t="shared" si="1"/>
        <v>3325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745</v>
      </c>
      <c r="E26" s="7">
        <f t="shared" si="1"/>
        <v>4070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850</v>
      </c>
      <c r="E27" s="7">
        <f t="shared" si="1"/>
        <v>4920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962</v>
      </c>
      <c r="E28" s="7">
        <f t="shared" si="1"/>
        <v>5882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1081</v>
      </c>
      <c r="E29" s="7">
        <f t="shared" si="1"/>
        <v>6963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1207</v>
      </c>
      <c r="E30" s="7">
        <f t="shared" si="1"/>
        <v>8170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1340</v>
      </c>
      <c r="E31" s="7">
        <f t="shared" si="1"/>
        <v>9510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1480</v>
      </c>
      <c r="E32" s="7">
        <f t="shared" si="1"/>
        <v>10990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1627</v>
      </c>
      <c r="E33" s="7">
        <f t="shared" si="1"/>
        <v>12617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1781</v>
      </c>
      <c r="E34" s="7">
        <f t="shared" si="1"/>
        <v>14398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1942</v>
      </c>
      <c r="E35" s="7">
        <f t="shared" si="1"/>
        <v>16340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2110</v>
      </c>
      <c r="E36" s="7">
        <f t="shared" si="1"/>
        <v>18450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2285</v>
      </c>
      <c r="E37" s="7">
        <f t="shared" si="1"/>
        <v>20735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2467</v>
      </c>
      <c r="E38" s="7">
        <f t="shared" si="1"/>
        <v>23202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2656</v>
      </c>
      <c r="E39" s="7">
        <f t="shared" si="1"/>
        <v>25858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2852</v>
      </c>
      <c r="E40" s="7">
        <f t="shared" si="1"/>
        <v>28710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3055</v>
      </c>
      <c r="E41" s="7">
        <f t="shared" si="1"/>
        <v>31765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3265</v>
      </c>
      <c r="E42" s="7">
        <f t="shared" si="1"/>
        <v>35030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3482</v>
      </c>
      <c r="E43" s="7">
        <f t="shared" si="1"/>
        <v>38512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3706</v>
      </c>
      <c r="E44" s="7">
        <f t="shared" si="1"/>
        <v>42218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3937</v>
      </c>
      <c r="E45" s="7">
        <f t="shared" si="1"/>
        <v>46155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4175</v>
      </c>
      <c r="E46" s="7">
        <f t="shared" si="1"/>
        <v>50330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4420</v>
      </c>
      <c r="E47" s="7">
        <f t="shared" si="1"/>
        <v>54750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4672</v>
      </c>
      <c r="E48" s="7">
        <f t="shared" si="1"/>
        <v>59422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4931</v>
      </c>
      <c r="E49" s="7">
        <f t="shared" si="1"/>
        <v>64353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5197</v>
      </c>
      <c r="E50" s="7">
        <f t="shared" si="1"/>
        <v>69550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5470</v>
      </c>
      <c r="E51" s="7">
        <f t="shared" si="1"/>
        <v>75020</v>
      </c>
    </row>
    <row r="52" spans="1:38" ht="18.75" customHeight="1">
      <c r="B52" s="7">
        <v>42</v>
      </c>
      <c r="C52" s="7">
        <v>42</v>
      </c>
      <c r="D52" s="7">
        <f t="shared" si="0"/>
        <v>5750</v>
      </c>
      <c r="E52" s="7">
        <f t="shared" si="1"/>
        <v>80770</v>
      </c>
    </row>
    <row r="53" spans="1:38" ht="18.75" customHeight="1">
      <c r="B53" s="5">
        <v>43</v>
      </c>
      <c r="C53" s="7">
        <v>43</v>
      </c>
      <c r="D53" s="7">
        <f t="shared" si="0"/>
        <v>6037</v>
      </c>
      <c r="E53" s="7">
        <f t="shared" si="1"/>
        <v>86807</v>
      </c>
    </row>
    <row r="54" spans="1:38" ht="18.75" customHeight="1">
      <c r="B54" s="7">
        <v>44</v>
      </c>
      <c r="C54" s="7">
        <v>44</v>
      </c>
      <c r="D54" s="7">
        <f t="shared" si="0"/>
        <v>6331</v>
      </c>
      <c r="E54" s="7">
        <f t="shared" si="1"/>
        <v>93138</v>
      </c>
    </row>
    <row r="55" spans="1:38" ht="18.75" customHeight="1">
      <c r="B55" s="5">
        <v>45</v>
      </c>
      <c r="C55" s="7">
        <v>45</v>
      </c>
      <c r="D55" s="7">
        <f t="shared" si="0"/>
        <v>6632</v>
      </c>
      <c r="E55" s="7">
        <f t="shared" si="1"/>
        <v>99770</v>
      </c>
    </row>
    <row r="56" spans="1:38" ht="18.75" customHeight="1">
      <c r="B56" s="7">
        <v>46</v>
      </c>
      <c r="C56" s="7">
        <v>46</v>
      </c>
      <c r="D56" s="7">
        <f t="shared" si="0"/>
        <v>6940</v>
      </c>
      <c r="E56" s="7">
        <f t="shared" si="1"/>
        <v>106710</v>
      </c>
    </row>
    <row r="57" spans="1:38" ht="18.75" customHeight="1">
      <c r="B57" s="5">
        <v>47</v>
      </c>
      <c r="C57" s="7">
        <v>47</v>
      </c>
      <c r="D57" s="7">
        <f t="shared" si="0"/>
        <v>7255</v>
      </c>
      <c r="E57" s="7">
        <f t="shared" si="1"/>
        <v>113965</v>
      </c>
    </row>
    <row r="58" spans="1:38" ht="18.75" customHeight="1">
      <c r="B58" s="7">
        <v>48</v>
      </c>
      <c r="C58" s="7">
        <v>48</v>
      </c>
      <c r="D58" s="7">
        <f t="shared" si="0"/>
        <v>7577</v>
      </c>
      <c r="E58" s="7">
        <f t="shared" si="1"/>
        <v>121542</v>
      </c>
    </row>
    <row r="59" spans="1:38" ht="18.75" customHeight="1">
      <c r="B59" s="5">
        <v>49</v>
      </c>
      <c r="C59" s="7">
        <v>49</v>
      </c>
      <c r="D59" s="7">
        <f t="shared" si="0"/>
        <v>7906</v>
      </c>
      <c r="E59" s="7">
        <f t="shared" si="1"/>
        <v>129448</v>
      </c>
    </row>
    <row r="60" spans="1:38" ht="18.75" customHeight="1">
      <c r="B60" s="7">
        <v>50</v>
      </c>
      <c r="C60" s="7">
        <v>50</v>
      </c>
      <c r="D60" s="7">
        <f t="shared" si="0"/>
        <v>8242</v>
      </c>
      <c r="E60" s="7">
        <f t="shared" si="1"/>
        <v>137690</v>
      </c>
    </row>
    <row r="61" spans="1:38" ht="18.75" customHeight="1">
      <c r="B61" s="5">
        <v>51</v>
      </c>
      <c r="C61" s="7">
        <v>51</v>
      </c>
      <c r="D61" s="7">
        <f t="shared" si="0"/>
        <v>8585</v>
      </c>
      <c r="E61" s="7">
        <f t="shared" si="1"/>
        <v>146275</v>
      </c>
    </row>
    <row r="62" spans="1:38" ht="18.75" customHeight="1">
      <c r="B62" s="7">
        <v>52</v>
      </c>
      <c r="C62" s="7">
        <v>52</v>
      </c>
      <c r="D62" s="7">
        <f t="shared" si="0"/>
        <v>8935</v>
      </c>
      <c r="E62" s="7">
        <f t="shared" si="1"/>
        <v>155210</v>
      </c>
    </row>
    <row r="63" spans="1:38" ht="18.75" customHeight="1">
      <c r="B63" s="5">
        <v>53</v>
      </c>
      <c r="C63" s="7">
        <v>53</v>
      </c>
      <c r="D63" s="7">
        <f t="shared" si="0"/>
        <v>9292</v>
      </c>
      <c r="E63" s="7">
        <f t="shared" si="1"/>
        <v>164502</v>
      </c>
    </row>
    <row r="64" spans="1:38" ht="18.75" customHeight="1">
      <c r="B64" s="7">
        <v>54</v>
      </c>
      <c r="C64" s="7">
        <v>54</v>
      </c>
      <c r="D64" s="7">
        <f t="shared" si="0"/>
        <v>9656</v>
      </c>
      <c r="E64" s="7">
        <f t="shared" si="1"/>
        <v>174158</v>
      </c>
    </row>
    <row r="65" spans="2:5" ht="18.75" customHeight="1">
      <c r="B65" s="5">
        <v>55</v>
      </c>
      <c r="C65" s="7">
        <v>55</v>
      </c>
      <c r="D65" s="7">
        <f t="shared" si="0"/>
        <v>10027</v>
      </c>
      <c r="E65" s="7">
        <f t="shared" si="1"/>
        <v>184185</v>
      </c>
    </row>
    <row r="66" spans="2:5" ht="18.75" customHeight="1">
      <c r="B66" s="7">
        <v>56</v>
      </c>
      <c r="C66" s="7">
        <v>56</v>
      </c>
      <c r="D66" s="7">
        <f t="shared" si="0"/>
        <v>10405</v>
      </c>
      <c r="E66" s="7">
        <f t="shared" si="1"/>
        <v>194590</v>
      </c>
    </row>
    <row r="67" spans="2:5" ht="18.75" customHeight="1">
      <c r="B67" s="5">
        <v>57</v>
      </c>
      <c r="C67" s="7">
        <v>57</v>
      </c>
      <c r="D67" s="7">
        <f t="shared" si="0"/>
        <v>10790</v>
      </c>
      <c r="E67" s="7">
        <f t="shared" si="1"/>
        <v>205380</v>
      </c>
    </row>
    <row r="68" spans="2:5" ht="18.75" customHeight="1">
      <c r="B68" s="7">
        <v>58</v>
      </c>
      <c r="C68" s="7">
        <v>58</v>
      </c>
      <c r="D68" s="7">
        <f t="shared" si="0"/>
        <v>11182</v>
      </c>
      <c r="E68" s="7">
        <f t="shared" si="1"/>
        <v>216562</v>
      </c>
    </row>
    <row r="69" spans="2:5" ht="18.75" customHeight="1">
      <c r="B69" s="5">
        <v>59</v>
      </c>
      <c r="C69" s="7">
        <v>59</v>
      </c>
      <c r="D69" s="7">
        <f t="shared" si="0"/>
        <v>11581</v>
      </c>
      <c r="E69" s="7">
        <f t="shared" si="1"/>
        <v>228143</v>
      </c>
    </row>
    <row r="70" spans="2:5" ht="18.75" customHeight="1">
      <c r="B70" s="7">
        <v>60</v>
      </c>
      <c r="C70" s="7">
        <v>60</v>
      </c>
      <c r="D70" s="7">
        <f t="shared" si="0"/>
        <v>11987</v>
      </c>
      <c r="E70" s="7">
        <f t="shared" si="1"/>
        <v>240130</v>
      </c>
    </row>
    <row r="71" spans="2:5" ht="18.75" customHeight="1">
      <c r="B71" s="5">
        <v>61</v>
      </c>
      <c r="C71" s="7">
        <v>61</v>
      </c>
      <c r="D71" s="7">
        <f t="shared" si="0"/>
        <v>12400</v>
      </c>
      <c r="E71" s="7">
        <f t="shared" si="1"/>
        <v>252530</v>
      </c>
    </row>
    <row r="72" spans="2:5" ht="18.75" customHeight="1">
      <c r="B72" s="7">
        <v>62</v>
      </c>
      <c r="C72" s="7">
        <v>62</v>
      </c>
      <c r="D72" s="7">
        <f t="shared" si="0"/>
        <v>12820</v>
      </c>
      <c r="E72" s="7">
        <f t="shared" si="1"/>
        <v>265350</v>
      </c>
    </row>
    <row r="73" spans="2:5" ht="18.75" customHeight="1">
      <c r="B73" s="5">
        <v>63</v>
      </c>
      <c r="C73" s="7">
        <v>63</v>
      </c>
      <c r="D73" s="7">
        <f t="shared" si="0"/>
        <v>13247</v>
      </c>
      <c r="E73" s="7">
        <f t="shared" si="1"/>
        <v>278597</v>
      </c>
    </row>
    <row r="74" spans="2:5" ht="18.75" customHeight="1">
      <c r="B74" s="7">
        <v>64</v>
      </c>
      <c r="C74" s="7">
        <v>64</v>
      </c>
      <c r="D74" s="7">
        <f t="shared" si="0"/>
        <v>13681</v>
      </c>
      <c r="E74" s="7">
        <f t="shared" si="1"/>
        <v>292278</v>
      </c>
    </row>
    <row r="75" spans="2:5" ht="18.75" customHeight="1">
      <c r="B75" s="5">
        <v>65</v>
      </c>
      <c r="C75" s="7">
        <v>65</v>
      </c>
      <c r="D75" s="7">
        <f t="shared" si="0"/>
        <v>14122</v>
      </c>
      <c r="E75" s="7">
        <f t="shared" si="1"/>
        <v>306400</v>
      </c>
    </row>
    <row r="76" spans="2:5" ht="18.75" customHeight="1">
      <c r="B76" s="7">
        <v>66</v>
      </c>
      <c r="C76" s="7">
        <v>66</v>
      </c>
      <c r="D76" s="7">
        <f t="shared" si="0"/>
        <v>14570</v>
      </c>
      <c r="E76" s="7">
        <f t="shared" si="1"/>
        <v>320970</v>
      </c>
    </row>
    <row r="77" spans="2:5" ht="18.75" customHeight="1">
      <c r="B77" s="5">
        <v>67</v>
      </c>
      <c r="C77" s="7">
        <v>67</v>
      </c>
      <c r="D77" s="7">
        <f t="shared" si="0"/>
        <v>15025</v>
      </c>
      <c r="E77" s="7">
        <f t="shared" si="1"/>
        <v>335995</v>
      </c>
    </row>
    <row r="78" spans="2:5" ht="18.75" customHeight="1">
      <c r="B78" s="7">
        <v>68</v>
      </c>
      <c r="C78" s="7">
        <v>68</v>
      </c>
      <c r="D78" s="7">
        <f t="shared" ref="D78:D110" si="2">D77+(7*C76)</f>
        <v>15487</v>
      </c>
      <c r="E78" s="7">
        <f t="shared" si="1"/>
        <v>351482</v>
      </c>
    </row>
    <row r="79" spans="2:5" ht="18.75" customHeight="1">
      <c r="B79" s="5">
        <v>69</v>
      </c>
      <c r="C79" s="7">
        <v>69</v>
      </c>
      <c r="D79" s="7">
        <f t="shared" si="2"/>
        <v>15956</v>
      </c>
      <c r="E79" s="7">
        <f t="shared" ref="E79:E110" si="3">E78+D79</f>
        <v>367438</v>
      </c>
    </row>
    <row r="80" spans="2:5" ht="18.75" customHeight="1">
      <c r="B80" s="7">
        <v>70</v>
      </c>
      <c r="C80" s="7">
        <v>70</v>
      </c>
      <c r="D80" s="7">
        <f t="shared" si="2"/>
        <v>16432</v>
      </c>
      <c r="E80" s="7">
        <f t="shared" si="3"/>
        <v>383870</v>
      </c>
    </row>
    <row r="81" spans="2:5" ht="18.75" customHeight="1">
      <c r="B81" s="5">
        <v>71</v>
      </c>
      <c r="C81" s="7">
        <v>71</v>
      </c>
      <c r="D81" s="7">
        <f t="shared" si="2"/>
        <v>16915</v>
      </c>
      <c r="E81" s="7">
        <f t="shared" si="3"/>
        <v>400785</v>
      </c>
    </row>
    <row r="82" spans="2:5" ht="18.75" customHeight="1">
      <c r="B82" s="7">
        <v>72</v>
      </c>
      <c r="C82" s="7">
        <v>72</v>
      </c>
      <c r="D82" s="7">
        <f t="shared" si="2"/>
        <v>17405</v>
      </c>
      <c r="E82" s="7">
        <f t="shared" si="3"/>
        <v>418190</v>
      </c>
    </row>
    <row r="83" spans="2:5" ht="18.75" customHeight="1">
      <c r="B83" s="5">
        <v>73</v>
      </c>
      <c r="C83" s="7">
        <v>73</v>
      </c>
      <c r="D83" s="7">
        <f t="shared" si="2"/>
        <v>17902</v>
      </c>
      <c r="E83" s="7">
        <f t="shared" si="3"/>
        <v>436092</v>
      </c>
    </row>
    <row r="84" spans="2:5" ht="18.75" customHeight="1">
      <c r="B84" s="7">
        <v>74</v>
      </c>
      <c r="C84" s="7">
        <v>74</v>
      </c>
      <c r="D84" s="7">
        <f t="shared" si="2"/>
        <v>18406</v>
      </c>
      <c r="E84" s="7">
        <f t="shared" si="3"/>
        <v>454498</v>
      </c>
    </row>
    <row r="85" spans="2:5" ht="18.75" customHeight="1">
      <c r="B85" s="5">
        <v>75</v>
      </c>
      <c r="C85" s="7">
        <v>75</v>
      </c>
      <c r="D85" s="7">
        <f t="shared" si="2"/>
        <v>18917</v>
      </c>
      <c r="E85" s="7">
        <f t="shared" si="3"/>
        <v>473415</v>
      </c>
    </row>
    <row r="86" spans="2:5" ht="18.75" customHeight="1">
      <c r="B86" s="7">
        <v>76</v>
      </c>
      <c r="C86" s="7">
        <v>76</v>
      </c>
      <c r="D86" s="7">
        <f t="shared" si="2"/>
        <v>19435</v>
      </c>
      <c r="E86" s="7">
        <f t="shared" si="3"/>
        <v>492850</v>
      </c>
    </row>
    <row r="87" spans="2:5" ht="18.75" customHeight="1">
      <c r="B87" s="5">
        <v>77</v>
      </c>
      <c r="C87" s="7">
        <v>77</v>
      </c>
      <c r="D87" s="7">
        <f t="shared" si="2"/>
        <v>19960</v>
      </c>
      <c r="E87" s="7">
        <f t="shared" si="3"/>
        <v>512810</v>
      </c>
    </row>
    <row r="88" spans="2:5" ht="18.75" customHeight="1">
      <c r="B88" s="7">
        <v>78</v>
      </c>
      <c r="C88" s="7">
        <v>78</v>
      </c>
      <c r="D88" s="7">
        <f t="shared" si="2"/>
        <v>20492</v>
      </c>
      <c r="E88" s="7">
        <f t="shared" si="3"/>
        <v>533302</v>
      </c>
    </row>
    <row r="89" spans="2:5" ht="18.75" customHeight="1">
      <c r="B89" s="5">
        <v>79</v>
      </c>
      <c r="C89" s="7">
        <v>79</v>
      </c>
      <c r="D89" s="7">
        <f t="shared" si="2"/>
        <v>21031</v>
      </c>
      <c r="E89" s="7">
        <f t="shared" si="3"/>
        <v>554333</v>
      </c>
    </row>
    <row r="90" spans="2:5" ht="18.75" customHeight="1">
      <c r="B90" s="7">
        <v>80</v>
      </c>
      <c r="C90" s="7">
        <v>80</v>
      </c>
      <c r="D90" s="7">
        <f t="shared" si="2"/>
        <v>21577</v>
      </c>
      <c r="E90" s="7">
        <f t="shared" si="3"/>
        <v>575910</v>
      </c>
    </row>
    <row r="91" spans="2:5" ht="18.75" customHeight="1">
      <c r="B91" s="5">
        <v>81</v>
      </c>
      <c r="C91" s="7">
        <v>81</v>
      </c>
      <c r="D91" s="7">
        <f t="shared" si="2"/>
        <v>22130</v>
      </c>
      <c r="E91" s="7">
        <f t="shared" si="3"/>
        <v>598040</v>
      </c>
    </row>
    <row r="92" spans="2:5" ht="18.75" customHeight="1">
      <c r="B92" s="7">
        <v>82</v>
      </c>
      <c r="C92" s="7">
        <v>82</v>
      </c>
      <c r="D92" s="7">
        <f t="shared" si="2"/>
        <v>22690</v>
      </c>
      <c r="E92" s="7">
        <f t="shared" si="3"/>
        <v>620730</v>
      </c>
    </row>
    <row r="93" spans="2:5" ht="18.75" customHeight="1">
      <c r="B93" s="5">
        <v>83</v>
      </c>
      <c r="C93" s="7">
        <v>83</v>
      </c>
      <c r="D93" s="7">
        <f t="shared" si="2"/>
        <v>23257</v>
      </c>
      <c r="E93" s="7">
        <f t="shared" si="3"/>
        <v>643987</v>
      </c>
    </row>
    <row r="94" spans="2:5" ht="18.75" customHeight="1">
      <c r="B94" s="7">
        <v>84</v>
      </c>
      <c r="C94" s="7">
        <v>84</v>
      </c>
      <c r="D94" s="7">
        <f t="shared" si="2"/>
        <v>23831</v>
      </c>
      <c r="E94" s="7">
        <f t="shared" si="3"/>
        <v>667818</v>
      </c>
    </row>
    <row r="95" spans="2:5" ht="18.75" customHeight="1">
      <c r="B95" s="5">
        <v>85</v>
      </c>
      <c r="C95" s="7">
        <v>85</v>
      </c>
      <c r="D95" s="7">
        <f t="shared" si="2"/>
        <v>24412</v>
      </c>
      <c r="E95" s="7">
        <f t="shared" si="3"/>
        <v>692230</v>
      </c>
    </row>
    <row r="96" spans="2:5" ht="18.75" customHeight="1">
      <c r="B96" s="7">
        <v>86</v>
      </c>
      <c r="C96" s="7">
        <v>86</v>
      </c>
      <c r="D96" s="7">
        <f t="shared" si="2"/>
        <v>25000</v>
      </c>
      <c r="E96" s="7">
        <f t="shared" si="3"/>
        <v>717230</v>
      </c>
    </row>
    <row r="97" spans="2:5" ht="18.75" customHeight="1">
      <c r="B97" s="5">
        <v>87</v>
      </c>
      <c r="C97" s="7">
        <v>87</v>
      </c>
      <c r="D97" s="7">
        <f t="shared" si="2"/>
        <v>25595</v>
      </c>
      <c r="E97" s="7">
        <f t="shared" si="3"/>
        <v>742825</v>
      </c>
    </row>
    <row r="98" spans="2:5" ht="18.75" customHeight="1">
      <c r="B98" s="7">
        <v>88</v>
      </c>
      <c r="C98" s="7">
        <v>88</v>
      </c>
      <c r="D98" s="7">
        <f t="shared" si="2"/>
        <v>26197</v>
      </c>
      <c r="E98" s="7">
        <f t="shared" si="3"/>
        <v>769022</v>
      </c>
    </row>
    <row r="99" spans="2:5" ht="18.75" customHeight="1">
      <c r="B99" s="5">
        <v>89</v>
      </c>
      <c r="C99" s="7">
        <v>89</v>
      </c>
      <c r="D99" s="7">
        <f t="shared" si="2"/>
        <v>26806</v>
      </c>
      <c r="E99" s="7">
        <f t="shared" si="3"/>
        <v>795828</v>
      </c>
    </row>
    <row r="100" spans="2:5" ht="18.75" customHeight="1">
      <c r="B100" s="7">
        <v>90</v>
      </c>
      <c r="C100" s="7">
        <v>90</v>
      </c>
      <c r="D100" s="7">
        <f t="shared" si="2"/>
        <v>27422</v>
      </c>
      <c r="E100" s="7">
        <f t="shared" si="3"/>
        <v>823250</v>
      </c>
    </row>
    <row r="101" spans="2:5" ht="18.75" customHeight="1">
      <c r="B101" s="5">
        <v>91</v>
      </c>
      <c r="C101" s="7">
        <v>91</v>
      </c>
      <c r="D101" s="7">
        <f t="shared" si="2"/>
        <v>28045</v>
      </c>
      <c r="E101" s="7">
        <f t="shared" si="3"/>
        <v>851295</v>
      </c>
    </row>
    <row r="102" spans="2:5" ht="18.75" customHeight="1">
      <c r="B102" s="7">
        <v>92</v>
      </c>
      <c r="C102" s="7">
        <v>92</v>
      </c>
      <c r="D102" s="7">
        <f t="shared" si="2"/>
        <v>28675</v>
      </c>
      <c r="E102" s="7">
        <f t="shared" si="3"/>
        <v>879970</v>
      </c>
    </row>
    <row r="103" spans="2:5" ht="18.75" customHeight="1">
      <c r="B103" s="5">
        <v>93</v>
      </c>
      <c r="C103" s="7">
        <v>93</v>
      </c>
      <c r="D103" s="7">
        <f t="shared" si="2"/>
        <v>29312</v>
      </c>
      <c r="E103" s="7">
        <f t="shared" si="3"/>
        <v>909282</v>
      </c>
    </row>
    <row r="104" spans="2:5" ht="18.75" customHeight="1">
      <c r="B104" s="7">
        <v>94</v>
      </c>
      <c r="C104" s="7">
        <v>94</v>
      </c>
      <c r="D104" s="7">
        <f t="shared" si="2"/>
        <v>29956</v>
      </c>
      <c r="E104" s="7">
        <f t="shared" si="3"/>
        <v>939238</v>
      </c>
    </row>
    <row r="105" spans="2:5" ht="18.75" customHeight="1">
      <c r="B105" s="5">
        <v>95</v>
      </c>
      <c r="C105" s="7">
        <v>95</v>
      </c>
      <c r="D105" s="7">
        <f t="shared" si="2"/>
        <v>30607</v>
      </c>
      <c r="E105" s="7">
        <f t="shared" si="3"/>
        <v>969845</v>
      </c>
    </row>
    <row r="106" spans="2:5" ht="18.75" customHeight="1">
      <c r="B106" s="7">
        <v>96</v>
      </c>
      <c r="C106" s="7">
        <v>96</v>
      </c>
      <c r="D106" s="7">
        <f t="shared" si="2"/>
        <v>31265</v>
      </c>
      <c r="E106" s="7">
        <f t="shared" si="3"/>
        <v>1001110</v>
      </c>
    </row>
    <row r="107" spans="2:5" ht="18.75" customHeight="1">
      <c r="B107" s="5">
        <v>97</v>
      </c>
      <c r="C107" s="7">
        <v>97</v>
      </c>
      <c r="D107" s="7">
        <f t="shared" si="2"/>
        <v>31930</v>
      </c>
      <c r="E107" s="7">
        <f t="shared" si="3"/>
        <v>1033040</v>
      </c>
    </row>
    <row r="108" spans="2:5" ht="18.75" customHeight="1">
      <c r="B108" s="7">
        <v>98</v>
      </c>
      <c r="C108" s="7">
        <v>98</v>
      </c>
      <c r="D108" s="7">
        <f t="shared" si="2"/>
        <v>32602</v>
      </c>
      <c r="E108" s="7">
        <f t="shared" si="3"/>
        <v>1065642</v>
      </c>
    </row>
    <row r="109" spans="2:5" ht="18.75" customHeight="1">
      <c r="B109" s="5">
        <v>99</v>
      </c>
      <c r="C109" s="7">
        <v>99</v>
      </c>
      <c r="D109" s="7">
        <f t="shared" si="2"/>
        <v>33281</v>
      </c>
      <c r="E109" s="7">
        <f t="shared" si="3"/>
        <v>1098923</v>
      </c>
    </row>
    <row r="110" spans="2:5" ht="18.75" customHeight="1">
      <c r="B110" s="7">
        <v>100</v>
      </c>
      <c r="C110" s="7">
        <v>100</v>
      </c>
      <c r="D110" s="7">
        <f t="shared" si="2"/>
        <v>33967</v>
      </c>
      <c r="E110" s="7">
        <f t="shared" si="3"/>
        <v>1132890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5" workbookViewId="0">
      <selection activeCell="D21" sqref="D21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32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6">
        <v>34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v>36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6">
        <v>38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v>40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6">
        <v>42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v>44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6">
        <v>46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v>48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6">
        <v>50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v>52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6">
        <v>54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v>56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6">
        <v>58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v>60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6">
        <v>62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v>64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6">
        <v>66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v>68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6">
        <v>70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v>72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6">
        <v>74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v>76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6">
        <v>78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v>80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6">
        <v>82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v>84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6">
        <v>86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v>88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6">
        <v>90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v>92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6">
        <v>94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v>96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6">
        <v>98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v>100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6">
        <v>102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v>104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6">
        <v>106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v>108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6">
        <v>110</v>
      </c>
      <c r="E51" s="7"/>
    </row>
    <row r="52" spans="1:38" ht="18.75" customHeight="1">
      <c r="B52" s="7">
        <v>42</v>
      </c>
      <c r="C52" s="7">
        <v>42</v>
      </c>
      <c r="D52" s="7">
        <v>112</v>
      </c>
      <c r="E52" s="7"/>
    </row>
    <row r="53" spans="1:38" ht="18.75" customHeight="1">
      <c r="B53" s="5">
        <v>43</v>
      </c>
      <c r="C53" s="7">
        <v>43</v>
      </c>
      <c r="D53" s="6">
        <v>114</v>
      </c>
      <c r="E53" s="7"/>
    </row>
    <row r="54" spans="1:38" ht="18.75" customHeight="1">
      <c r="B54" s="7">
        <v>44</v>
      </c>
      <c r="C54" s="7">
        <v>44</v>
      </c>
      <c r="D54" s="7">
        <v>116</v>
      </c>
      <c r="E54" s="7"/>
    </row>
    <row r="55" spans="1:38" ht="18.75" customHeight="1">
      <c r="B55" s="5">
        <v>45</v>
      </c>
      <c r="C55" s="7">
        <v>45</v>
      </c>
      <c r="D55" s="6">
        <v>118</v>
      </c>
      <c r="E55" s="7"/>
    </row>
    <row r="56" spans="1:38" ht="18.75" customHeight="1">
      <c r="B56" s="7">
        <v>46</v>
      </c>
      <c r="C56" s="7">
        <v>46</v>
      </c>
      <c r="D56" s="7">
        <v>120</v>
      </c>
      <c r="E56" s="7"/>
    </row>
    <row r="57" spans="1:38" ht="18.75" customHeight="1">
      <c r="B57" s="5">
        <v>47</v>
      </c>
      <c r="C57" s="7">
        <v>47</v>
      </c>
      <c r="D57" s="6">
        <v>122</v>
      </c>
      <c r="E57" s="7"/>
    </row>
    <row r="58" spans="1:38" ht="18.75" customHeight="1">
      <c r="B58" s="7">
        <v>48</v>
      </c>
      <c r="C58" s="7">
        <v>48</v>
      </c>
      <c r="D58" s="7">
        <v>124</v>
      </c>
      <c r="E58" s="7"/>
    </row>
    <row r="59" spans="1:38" ht="18.75" customHeight="1">
      <c r="B59" s="5">
        <v>49</v>
      </c>
      <c r="C59" s="7">
        <v>49</v>
      </c>
      <c r="D59" s="6">
        <v>126</v>
      </c>
      <c r="E59" s="7"/>
    </row>
    <row r="60" spans="1:38" ht="18.75" customHeight="1">
      <c r="B60" s="7">
        <v>50</v>
      </c>
      <c r="C60" s="7">
        <v>50</v>
      </c>
      <c r="D60" s="7">
        <v>128</v>
      </c>
      <c r="E60" s="7"/>
    </row>
    <row r="61" spans="1:38" ht="18.75" customHeight="1">
      <c r="B61" s="5">
        <v>51</v>
      </c>
      <c r="C61" s="7">
        <v>51</v>
      </c>
      <c r="D61" s="6">
        <v>130</v>
      </c>
      <c r="E61" s="7"/>
    </row>
    <row r="62" spans="1:38" ht="18.75" customHeight="1">
      <c r="B62" s="7">
        <v>52</v>
      </c>
      <c r="C62" s="7">
        <v>52</v>
      </c>
      <c r="D62" s="7">
        <v>132</v>
      </c>
      <c r="E62" s="7"/>
    </row>
    <row r="63" spans="1:38" ht="18.75" customHeight="1">
      <c r="B63" s="5">
        <v>53</v>
      </c>
      <c r="C63" s="7">
        <v>53</v>
      </c>
      <c r="D63" s="6">
        <v>134</v>
      </c>
      <c r="E63" s="7"/>
    </row>
    <row r="64" spans="1:38" ht="18.75" customHeight="1">
      <c r="B64" s="7">
        <v>54</v>
      </c>
      <c r="C64" s="7">
        <v>54</v>
      </c>
      <c r="D64" s="7">
        <v>136</v>
      </c>
      <c r="E64" s="7"/>
    </row>
    <row r="65" spans="2:5" ht="18.75" customHeight="1">
      <c r="B65" s="5">
        <v>55</v>
      </c>
      <c r="C65" s="7">
        <v>55</v>
      </c>
      <c r="D65" s="6">
        <v>138</v>
      </c>
      <c r="E65" s="7"/>
    </row>
    <row r="66" spans="2:5" ht="18.75" customHeight="1">
      <c r="B66" s="7">
        <v>56</v>
      </c>
      <c r="C66" s="7">
        <v>56</v>
      </c>
      <c r="D66" s="7">
        <v>140</v>
      </c>
      <c r="E66" s="7"/>
    </row>
    <row r="67" spans="2:5" ht="18.75" customHeight="1">
      <c r="B67" s="5">
        <v>57</v>
      </c>
      <c r="C67" s="7">
        <v>57</v>
      </c>
      <c r="D67" s="6">
        <v>142</v>
      </c>
      <c r="E67" s="7"/>
    </row>
    <row r="68" spans="2:5" ht="18.75" customHeight="1">
      <c r="B68" s="7">
        <v>58</v>
      </c>
      <c r="C68" s="7">
        <v>58</v>
      </c>
      <c r="D68" s="7">
        <v>144</v>
      </c>
      <c r="E68" s="7"/>
    </row>
    <row r="69" spans="2:5" ht="18.75" customHeight="1">
      <c r="B69" s="5">
        <v>59</v>
      </c>
      <c r="C69" s="7">
        <v>59</v>
      </c>
      <c r="D69" s="6">
        <v>146</v>
      </c>
      <c r="E69" s="7"/>
    </row>
    <row r="70" spans="2:5" ht="18.75" customHeight="1">
      <c r="B70" s="7">
        <v>60</v>
      </c>
      <c r="C70" s="7">
        <v>60</v>
      </c>
      <c r="D70" s="7">
        <v>148</v>
      </c>
      <c r="E70" s="7"/>
    </row>
    <row r="71" spans="2:5" ht="18.75" customHeight="1">
      <c r="B71" s="5">
        <v>61</v>
      </c>
      <c r="C71" s="7">
        <v>61</v>
      </c>
      <c r="D71" s="6">
        <v>150</v>
      </c>
      <c r="E71" s="7"/>
    </row>
    <row r="72" spans="2:5" ht="18.75" customHeight="1">
      <c r="B72" s="7">
        <v>62</v>
      </c>
      <c r="C72" s="7">
        <v>62</v>
      </c>
      <c r="D72" s="7">
        <v>152</v>
      </c>
      <c r="E72" s="7"/>
    </row>
    <row r="73" spans="2:5" ht="18.75" customHeight="1">
      <c r="B73" s="5">
        <v>63</v>
      </c>
      <c r="C73" s="7">
        <v>63</v>
      </c>
      <c r="D73" s="6">
        <v>154</v>
      </c>
      <c r="E73" s="7"/>
    </row>
    <row r="74" spans="2:5" ht="18.75" customHeight="1">
      <c r="B74" s="7">
        <v>64</v>
      </c>
      <c r="C74" s="7">
        <v>64</v>
      </c>
      <c r="D74" s="7">
        <v>156</v>
      </c>
      <c r="E74" s="7"/>
    </row>
    <row r="75" spans="2:5" ht="18.75" customHeight="1">
      <c r="B75" s="5">
        <v>65</v>
      </c>
      <c r="C75" s="7">
        <v>65</v>
      </c>
      <c r="D75" s="6">
        <v>158</v>
      </c>
      <c r="E75" s="7"/>
    </row>
    <row r="76" spans="2:5" ht="18.75" customHeight="1">
      <c r="B76" s="7">
        <v>66</v>
      </c>
      <c r="C76" s="7">
        <v>66</v>
      </c>
      <c r="D76" s="7">
        <v>160</v>
      </c>
      <c r="E76" s="7"/>
    </row>
    <row r="77" spans="2:5" ht="18.75" customHeight="1">
      <c r="B77" s="5">
        <v>67</v>
      </c>
      <c r="C77" s="7">
        <v>67</v>
      </c>
      <c r="D77" s="6">
        <v>162</v>
      </c>
      <c r="E77" s="7"/>
    </row>
    <row r="78" spans="2:5" ht="18.75" customHeight="1">
      <c r="B78" s="7">
        <v>68</v>
      </c>
      <c r="C78" s="7">
        <v>68</v>
      </c>
      <c r="D78" s="7">
        <v>164</v>
      </c>
      <c r="E78" s="7"/>
    </row>
    <row r="79" spans="2:5" ht="18.75" customHeight="1">
      <c r="B79" s="5">
        <v>69</v>
      </c>
      <c r="C79" s="7">
        <v>69</v>
      </c>
      <c r="D79" s="6">
        <v>166</v>
      </c>
      <c r="E79" s="7"/>
    </row>
    <row r="80" spans="2:5" ht="18.75" customHeight="1">
      <c r="B80" s="7">
        <v>70</v>
      </c>
      <c r="C80" s="7">
        <v>70</v>
      </c>
      <c r="D80" s="7">
        <v>168</v>
      </c>
      <c r="E80" s="7"/>
    </row>
    <row r="81" spans="2:5" ht="18.75" customHeight="1">
      <c r="B81" s="5">
        <v>71</v>
      </c>
      <c r="C81" s="7">
        <v>71</v>
      </c>
      <c r="D81" s="6">
        <v>170</v>
      </c>
      <c r="E81" s="7"/>
    </row>
    <row r="82" spans="2:5" ht="18.75" customHeight="1">
      <c r="B82" s="7">
        <v>72</v>
      </c>
      <c r="C82" s="7">
        <v>72</v>
      </c>
      <c r="D82" s="7">
        <v>172</v>
      </c>
      <c r="E82" s="7"/>
    </row>
    <row r="83" spans="2:5" ht="18.75" customHeight="1">
      <c r="B83" s="5">
        <v>73</v>
      </c>
      <c r="C83" s="7">
        <v>73</v>
      </c>
      <c r="D83" s="6">
        <v>174</v>
      </c>
      <c r="E83" s="7"/>
    </row>
    <row r="84" spans="2:5" ht="18.75" customHeight="1">
      <c r="B84" s="7">
        <v>74</v>
      </c>
      <c r="C84" s="7">
        <v>74</v>
      </c>
      <c r="D84" s="7">
        <v>176</v>
      </c>
      <c r="E84" s="7"/>
    </row>
    <row r="85" spans="2:5" ht="18.75" customHeight="1">
      <c r="B85" s="5">
        <v>75</v>
      </c>
      <c r="C85" s="7">
        <v>75</v>
      </c>
      <c r="D85" s="6">
        <v>178</v>
      </c>
      <c r="E85" s="7"/>
    </row>
    <row r="86" spans="2:5" ht="18.75" customHeight="1">
      <c r="B86" s="7">
        <v>76</v>
      </c>
      <c r="C86" s="7">
        <v>76</v>
      </c>
      <c r="D86" s="7">
        <v>180</v>
      </c>
      <c r="E86" s="7"/>
    </row>
    <row r="87" spans="2:5" ht="18.75" customHeight="1">
      <c r="B87" s="5">
        <v>77</v>
      </c>
      <c r="C87" s="7">
        <v>77</v>
      </c>
      <c r="D87" s="6">
        <v>182</v>
      </c>
      <c r="E87" s="7"/>
    </row>
    <row r="88" spans="2:5" ht="18.75" customHeight="1">
      <c r="B88" s="7">
        <v>78</v>
      </c>
      <c r="C88" s="7">
        <v>78</v>
      </c>
      <c r="D88" s="7">
        <v>184</v>
      </c>
      <c r="E88" s="7"/>
    </row>
    <row r="89" spans="2:5" ht="18.75" customHeight="1">
      <c r="B89" s="5">
        <v>79</v>
      </c>
      <c r="C89" s="7">
        <v>79</v>
      </c>
      <c r="D89" s="6">
        <v>186</v>
      </c>
      <c r="E89" s="7"/>
    </row>
    <row r="90" spans="2:5" ht="18.75" customHeight="1">
      <c r="B90" s="7">
        <v>80</v>
      </c>
      <c r="C90" s="7">
        <v>80</v>
      </c>
      <c r="D90" s="7">
        <v>188</v>
      </c>
      <c r="E90" s="7"/>
    </row>
    <row r="91" spans="2:5" ht="18.75" customHeight="1">
      <c r="B91" s="5">
        <v>81</v>
      </c>
      <c r="C91" s="7">
        <v>81</v>
      </c>
      <c r="D91" s="6">
        <v>190</v>
      </c>
      <c r="E91" s="7"/>
    </row>
    <row r="92" spans="2:5" ht="18.75" customHeight="1">
      <c r="B92" s="7">
        <v>82</v>
      </c>
      <c r="C92" s="7">
        <v>82</v>
      </c>
      <c r="D92" s="7">
        <v>192</v>
      </c>
      <c r="E92" s="7"/>
    </row>
    <row r="93" spans="2:5" ht="18.75" customHeight="1">
      <c r="B93" s="5">
        <v>83</v>
      </c>
      <c r="C93" s="7">
        <v>83</v>
      </c>
      <c r="D93" s="6">
        <v>194</v>
      </c>
      <c r="E93" s="7"/>
    </row>
    <row r="94" spans="2:5" ht="18.75" customHeight="1">
      <c r="B94" s="7">
        <v>84</v>
      </c>
      <c r="C94" s="7">
        <v>84</v>
      </c>
      <c r="D94" s="7">
        <v>196</v>
      </c>
      <c r="E94" s="7"/>
    </row>
    <row r="95" spans="2:5" ht="18.75" customHeight="1">
      <c r="B95" s="5">
        <v>85</v>
      </c>
      <c r="C95" s="7">
        <v>85</v>
      </c>
      <c r="D95" s="6">
        <v>198</v>
      </c>
      <c r="E95" s="7"/>
    </row>
    <row r="96" spans="2:5" ht="18.75" customHeight="1">
      <c r="B96" s="7">
        <v>86</v>
      </c>
      <c r="C96" s="7">
        <v>86</v>
      </c>
      <c r="D96" s="7">
        <v>200</v>
      </c>
      <c r="E96" s="7"/>
    </row>
    <row r="97" spans="2:5" ht="18.75" customHeight="1">
      <c r="B97" s="5">
        <v>87</v>
      </c>
      <c r="C97" s="7">
        <v>87</v>
      </c>
      <c r="D97" s="6">
        <v>202</v>
      </c>
      <c r="E97" s="7"/>
    </row>
    <row r="98" spans="2:5" ht="18.75" customHeight="1">
      <c r="B98" s="7">
        <v>88</v>
      </c>
      <c r="C98" s="7">
        <v>88</v>
      </c>
      <c r="D98" s="7">
        <v>204</v>
      </c>
      <c r="E98" s="7"/>
    </row>
    <row r="99" spans="2:5" ht="18.75" customHeight="1">
      <c r="B99" s="5">
        <v>89</v>
      </c>
      <c r="C99" s="7">
        <v>89</v>
      </c>
      <c r="D99" s="6">
        <v>206</v>
      </c>
      <c r="E99" s="7"/>
    </row>
    <row r="100" spans="2:5" ht="18.75" customHeight="1">
      <c r="B100" s="7">
        <v>90</v>
      </c>
      <c r="C100" s="7">
        <v>90</v>
      </c>
      <c r="D100" s="7">
        <v>208</v>
      </c>
      <c r="E100" s="7"/>
    </row>
    <row r="101" spans="2:5" ht="18.75" customHeight="1">
      <c r="B101" s="5">
        <v>91</v>
      </c>
      <c r="C101" s="7">
        <v>91</v>
      </c>
      <c r="D101" s="6">
        <v>210</v>
      </c>
      <c r="E101" s="7"/>
    </row>
    <row r="102" spans="2:5" ht="18.75" customHeight="1">
      <c r="B102" s="7">
        <v>92</v>
      </c>
      <c r="C102" s="7">
        <v>92</v>
      </c>
      <c r="D102" s="7">
        <v>212</v>
      </c>
      <c r="E102" s="7"/>
    </row>
    <row r="103" spans="2:5" ht="18.75" customHeight="1">
      <c r="B103" s="5">
        <v>93</v>
      </c>
      <c r="C103" s="7">
        <v>93</v>
      </c>
      <c r="D103" s="6">
        <v>214</v>
      </c>
      <c r="E103" s="7"/>
    </row>
    <row r="104" spans="2:5" ht="18.75" customHeight="1">
      <c r="B104" s="7">
        <v>94</v>
      </c>
      <c r="C104" s="7">
        <v>94</v>
      </c>
      <c r="D104" s="7">
        <v>216</v>
      </c>
      <c r="E104" s="7"/>
    </row>
    <row r="105" spans="2:5" ht="18.75" customHeight="1">
      <c r="B105" s="5">
        <v>95</v>
      </c>
      <c r="C105" s="7">
        <v>95</v>
      </c>
      <c r="D105" s="6">
        <v>218</v>
      </c>
      <c r="E105" s="7"/>
    </row>
    <row r="106" spans="2:5" ht="18.75" customHeight="1">
      <c r="B106" s="7">
        <v>96</v>
      </c>
      <c r="C106" s="7">
        <v>96</v>
      </c>
      <c r="D106" s="7">
        <v>220</v>
      </c>
      <c r="E106" s="7"/>
    </row>
    <row r="107" spans="2:5" ht="18.75" customHeight="1">
      <c r="B107" s="5">
        <v>97</v>
      </c>
      <c r="C107" s="7">
        <v>97</v>
      </c>
      <c r="D107" s="6">
        <v>222</v>
      </c>
      <c r="E107" s="7"/>
    </row>
    <row r="108" spans="2:5" ht="18.75" customHeight="1">
      <c r="B108" s="7">
        <v>98</v>
      </c>
      <c r="C108" s="7">
        <v>98</v>
      </c>
      <c r="D108" s="7">
        <v>224</v>
      </c>
      <c r="E108" s="7"/>
    </row>
    <row r="109" spans="2:5" ht="18.75" customHeight="1">
      <c r="B109" s="5">
        <v>99</v>
      </c>
      <c r="C109" s="7">
        <v>99</v>
      </c>
      <c r="D109" s="6">
        <v>226</v>
      </c>
      <c r="E109" s="7"/>
    </row>
    <row r="110" spans="2:5" ht="18.75" customHeight="1">
      <c r="B110" s="7">
        <v>100</v>
      </c>
      <c r="C110" s="7">
        <v>100</v>
      </c>
      <c r="D110" s="7">
        <v>228</v>
      </c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775</v>
      </c>
      <c r="T9" s="6" t="s">
        <v>118</v>
      </c>
      <c r="U9" s="5" t="s">
        <v>32</v>
      </c>
      <c r="V9" s="6" t="s">
        <v>775</v>
      </c>
      <c r="W9" s="6" t="s">
        <v>118</v>
      </c>
      <c r="X9" s="5" t="s">
        <v>32</v>
      </c>
      <c r="Y9" s="6" t="s">
        <v>775</v>
      </c>
      <c r="Z9" s="6" t="s">
        <v>118</v>
      </c>
      <c r="AA9" s="5" t="s">
        <v>32</v>
      </c>
      <c r="AB9" s="6" t="s">
        <v>775</v>
      </c>
      <c r="AC9" s="6" t="s">
        <v>118</v>
      </c>
      <c r="AD9" s="5" t="s">
        <v>32</v>
      </c>
      <c r="AE9" s="6" t="s">
        <v>775</v>
      </c>
      <c r="AF9" s="6" t="s">
        <v>118</v>
      </c>
      <c r="AG9" s="5" t="s">
        <v>32</v>
      </c>
      <c r="AH9" s="6" t="s">
        <v>775</v>
      </c>
      <c r="AI9" s="6" t="s">
        <v>118</v>
      </c>
      <c r="AJ9" s="5" t="s">
        <v>32</v>
      </c>
      <c r="AK9" s="6" t="s">
        <v>776</v>
      </c>
      <c r="AL9" s="6" t="s">
        <v>118</v>
      </c>
      <c r="AM9" s="5" t="s">
        <v>32</v>
      </c>
      <c r="AN9" s="6" t="s">
        <v>776</v>
      </c>
      <c r="AO9" s="6" t="s">
        <v>118</v>
      </c>
      <c r="AP9" s="5" t="s">
        <v>32</v>
      </c>
      <c r="AQ9" s="6" t="s">
        <v>776</v>
      </c>
      <c r="AR9" s="6" t="s">
        <v>118</v>
      </c>
      <c r="AS9" s="5" t="s">
        <v>32</v>
      </c>
      <c r="AT9" s="6" t="s">
        <v>776</v>
      </c>
      <c r="AU9" s="6" t="s">
        <v>118</v>
      </c>
      <c r="AV9" s="5" t="s">
        <v>32</v>
      </c>
      <c r="AW9" s="6" t="s">
        <v>776</v>
      </c>
      <c r="AX9" s="6" t="s">
        <v>118</v>
      </c>
      <c r="AY9" s="5" t="s">
        <v>32</v>
      </c>
      <c r="AZ9" s="6" t="s">
        <v>776</v>
      </c>
      <c r="BA9" s="6" t="s">
        <v>118</v>
      </c>
      <c r="BB9" s="5" t="s">
        <v>32</v>
      </c>
      <c r="BC9" s="6" t="s">
        <v>777</v>
      </c>
      <c r="BD9" s="6" t="s">
        <v>118</v>
      </c>
      <c r="BE9" s="5" t="s">
        <v>32</v>
      </c>
      <c r="BF9" s="6" t="s">
        <v>777</v>
      </c>
      <c r="BG9" s="6" t="s">
        <v>118</v>
      </c>
      <c r="BH9" s="5" t="s">
        <v>32</v>
      </c>
      <c r="BI9" s="6" t="s">
        <v>777</v>
      </c>
      <c r="BJ9" s="6" t="s">
        <v>118</v>
      </c>
      <c r="BK9" s="5" t="s">
        <v>32</v>
      </c>
      <c r="BL9" s="6" t="s">
        <v>777</v>
      </c>
      <c r="BM9" s="6" t="s">
        <v>118</v>
      </c>
      <c r="BN9" s="5" t="s">
        <v>32</v>
      </c>
      <c r="BO9" s="6" t="s">
        <v>777</v>
      </c>
      <c r="BP9" s="6" t="s">
        <v>118</v>
      </c>
      <c r="BQ9" s="5" t="s">
        <v>32</v>
      </c>
      <c r="BR9" s="6" t="s">
        <v>777</v>
      </c>
      <c r="BS9" s="6" t="s">
        <v>118</v>
      </c>
      <c r="BT9" s="5" t="s">
        <v>32</v>
      </c>
      <c r="BU9" s="6" t="s">
        <v>778</v>
      </c>
      <c r="BV9" s="6" t="s">
        <v>118</v>
      </c>
      <c r="BW9" s="5" t="s">
        <v>32</v>
      </c>
      <c r="BX9" s="6" t="s">
        <v>778</v>
      </c>
      <c r="BY9" s="6" t="s">
        <v>118</v>
      </c>
      <c r="BZ9" s="5" t="s">
        <v>32</v>
      </c>
      <c r="CA9" s="6" t="s">
        <v>778</v>
      </c>
      <c r="CB9" s="6" t="s">
        <v>118</v>
      </c>
      <c r="CC9" s="5" t="s">
        <v>32</v>
      </c>
      <c r="CD9" s="6" t="s">
        <v>778</v>
      </c>
      <c r="CE9" s="6" t="s">
        <v>118</v>
      </c>
      <c r="CF9" s="5" t="s">
        <v>32</v>
      </c>
      <c r="CG9" s="6" t="s">
        <v>778</v>
      </c>
      <c r="CH9" s="6" t="s">
        <v>118</v>
      </c>
      <c r="CI9" s="5" t="s">
        <v>32</v>
      </c>
      <c r="CJ9" s="6" t="s">
        <v>778</v>
      </c>
      <c r="CK9" s="6" t="s">
        <v>118</v>
      </c>
      <c r="CL9" s="5" t="s">
        <v>32</v>
      </c>
      <c r="CM9" s="6" t="s">
        <v>779</v>
      </c>
      <c r="CN9" s="6" t="s">
        <v>118</v>
      </c>
      <c r="CO9" s="5" t="s">
        <v>32</v>
      </c>
      <c r="CP9" s="6" t="s">
        <v>779</v>
      </c>
      <c r="CQ9" s="6" t="s">
        <v>118</v>
      </c>
      <c r="CR9" s="5" t="s">
        <v>32</v>
      </c>
      <c r="CS9" s="6" t="s">
        <v>779</v>
      </c>
      <c r="CT9" s="6" t="s">
        <v>118</v>
      </c>
      <c r="CU9" s="5" t="s">
        <v>32</v>
      </c>
      <c r="CV9" s="6" t="s">
        <v>779</v>
      </c>
      <c r="CW9" s="6" t="s">
        <v>118</v>
      </c>
      <c r="CX9" s="5" t="s">
        <v>32</v>
      </c>
      <c r="CY9" s="6" t="s">
        <v>779</v>
      </c>
      <c r="CZ9" s="6" t="s">
        <v>118</v>
      </c>
      <c r="DA9" s="5" t="s">
        <v>32</v>
      </c>
      <c r="DB9" s="6" t="s">
        <v>779</v>
      </c>
      <c r="DC9" s="6" t="s">
        <v>118</v>
      </c>
      <c r="DD9" s="5" t="s">
        <v>32</v>
      </c>
      <c r="DE9" s="6" t="s">
        <v>780</v>
      </c>
      <c r="DF9" s="6" t="s">
        <v>118</v>
      </c>
      <c r="DG9" s="5" t="s">
        <v>32</v>
      </c>
      <c r="DH9" s="6" t="s">
        <v>780</v>
      </c>
      <c r="DI9" s="6" t="s">
        <v>118</v>
      </c>
      <c r="DJ9" s="5" t="s">
        <v>32</v>
      </c>
      <c r="DK9" s="6" t="s">
        <v>780</v>
      </c>
      <c r="DL9" s="6" t="s">
        <v>118</v>
      </c>
      <c r="DM9" s="5" t="s">
        <v>32</v>
      </c>
      <c r="DN9" s="6" t="s">
        <v>780</v>
      </c>
      <c r="DO9" s="6" t="s">
        <v>118</v>
      </c>
      <c r="DP9" s="5" t="s">
        <v>32</v>
      </c>
      <c r="DQ9" s="6" t="s">
        <v>780</v>
      </c>
      <c r="DR9" s="6" t="s">
        <v>118</v>
      </c>
      <c r="DS9" s="5" t="s">
        <v>32</v>
      </c>
      <c r="DT9" s="6" t="s">
        <v>780</v>
      </c>
      <c r="DU9" s="6" t="s">
        <v>118</v>
      </c>
      <c r="DV9" s="5" t="s">
        <v>32</v>
      </c>
      <c r="DW9" s="6" t="s">
        <v>781</v>
      </c>
      <c r="DX9" s="6" t="s">
        <v>118</v>
      </c>
      <c r="DY9" s="5" t="s">
        <v>32</v>
      </c>
      <c r="DZ9" s="6" t="s">
        <v>781</v>
      </c>
      <c r="EA9" s="6" t="s">
        <v>118</v>
      </c>
      <c r="EB9" s="5" t="s">
        <v>32</v>
      </c>
      <c r="EC9" s="6" t="s">
        <v>781</v>
      </c>
      <c r="ED9" s="6" t="s">
        <v>118</v>
      </c>
      <c r="EE9" s="5" t="s">
        <v>32</v>
      </c>
      <c r="EF9" s="6" t="s">
        <v>781</v>
      </c>
      <c r="EG9" s="6" t="s">
        <v>118</v>
      </c>
      <c r="EH9" s="5" t="s">
        <v>32</v>
      </c>
      <c r="EI9" s="6" t="s">
        <v>781</v>
      </c>
      <c r="EJ9" s="6" t="s">
        <v>118</v>
      </c>
      <c r="EK9" s="5" t="s">
        <v>32</v>
      </c>
      <c r="EL9" s="6" t="s">
        <v>781</v>
      </c>
      <c r="EM9" s="6" t="s">
        <v>118</v>
      </c>
      <c r="EN9" s="5" t="s">
        <v>32</v>
      </c>
      <c r="EO9" s="6" t="s">
        <v>782</v>
      </c>
      <c r="EP9" s="6" t="s">
        <v>118</v>
      </c>
      <c r="EQ9" s="5" t="s">
        <v>32</v>
      </c>
      <c r="ER9" s="6" t="s">
        <v>782</v>
      </c>
      <c r="ES9" s="6" t="s">
        <v>118</v>
      </c>
      <c r="ET9" s="5" t="s">
        <v>32</v>
      </c>
      <c r="EU9" s="6" t="s">
        <v>782</v>
      </c>
      <c r="EV9" s="6" t="s">
        <v>118</v>
      </c>
      <c r="EW9" s="5" t="s">
        <v>32</v>
      </c>
      <c r="EX9" s="6" t="s">
        <v>782</v>
      </c>
      <c r="EY9" s="6" t="s">
        <v>118</v>
      </c>
      <c r="EZ9" s="5" t="s">
        <v>32</v>
      </c>
      <c r="FA9" s="6" t="s">
        <v>782</v>
      </c>
      <c r="FB9" s="6" t="s">
        <v>118</v>
      </c>
      <c r="FC9" s="5" t="s">
        <v>32</v>
      </c>
      <c r="FD9" s="6" t="s">
        <v>782</v>
      </c>
      <c r="FE9" s="6" t="s">
        <v>118</v>
      </c>
      <c r="FF9" s="5" t="s">
        <v>32</v>
      </c>
      <c r="FG9" s="6" t="s">
        <v>783</v>
      </c>
      <c r="FH9" s="6" t="s">
        <v>118</v>
      </c>
      <c r="FI9" s="5" t="s">
        <v>32</v>
      </c>
      <c r="FJ9" s="6" t="s">
        <v>783</v>
      </c>
      <c r="FK9" s="6" t="s">
        <v>118</v>
      </c>
      <c r="FL9" s="5" t="s">
        <v>32</v>
      </c>
      <c r="FM9" s="6" t="s">
        <v>783</v>
      </c>
      <c r="FN9" s="6" t="s">
        <v>118</v>
      </c>
      <c r="FO9" s="5" t="s">
        <v>32</v>
      </c>
      <c r="FP9" s="6" t="s">
        <v>783</v>
      </c>
      <c r="FQ9" s="6" t="s">
        <v>118</v>
      </c>
      <c r="FR9" s="5" t="s">
        <v>32</v>
      </c>
      <c r="FS9" s="6" t="s">
        <v>783</v>
      </c>
      <c r="FT9" s="6" t="s">
        <v>118</v>
      </c>
      <c r="FU9" s="5" t="s">
        <v>32</v>
      </c>
      <c r="FV9" s="6" t="s">
        <v>783</v>
      </c>
      <c r="FW9" s="6" t="s">
        <v>118</v>
      </c>
      <c r="FX9" s="5" t="s">
        <v>32</v>
      </c>
      <c r="FY9" s="6" t="s">
        <v>784</v>
      </c>
      <c r="FZ9" s="6" t="s">
        <v>118</v>
      </c>
      <c r="GA9" s="5" t="s">
        <v>32</v>
      </c>
      <c r="GB9" s="6" t="s">
        <v>784</v>
      </c>
      <c r="GC9" s="6" t="s">
        <v>118</v>
      </c>
      <c r="GD9" s="5" t="s">
        <v>32</v>
      </c>
      <c r="GE9" s="6" t="s">
        <v>784</v>
      </c>
      <c r="GF9" s="6" t="s">
        <v>118</v>
      </c>
      <c r="GG9" s="5" t="s">
        <v>32</v>
      </c>
      <c r="GH9" s="6" t="s">
        <v>784</v>
      </c>
      <c r="GI9" s="6" t="s">
        <v>118</v>
      </c>
      <c r="GJ9" s="5" t="s">
        <v>32</v>
      </c>
      <c r="GK9" s="6" t="s">
        <v>784</v>
      </c>
      <c r="GL9" s="6" t="s">
        <v>118</v>
      </c>
      <c r="GM9" s="5" t="s">
        <v>32</v>
      </c>
      <c r="GN9" s="6" t="s">
        <v>784</v>
      </c>
      <c r="GO9" s="6" t="s">
        <v>118</v>
      </c>
      <c r="GP9" s="5" t="s">
        <v>32</v>
      </c>
      <c r="GQ9" s="6" t="s">
        <v>785</v>
      </c>
      <c r="GR9" s="6" t="s">
        <v>118</v>
      </c>
      <c r="GS9" s="5" t="s">
        <v>32</v>
      </c>
      <c r="GT9" s="6" t="s">
        <v>785</v>
      </c>
      <c r="GU9" s="6" t="s">
        <v>118</v>
      </c>
      <c r="GV9" s="5" t="s">
        <v>32</v>
      </c>
      <c r="GW9" s="6" t="s">
        <v>785</v>
      </c>
      <c r="GX9" s="6" t="s">
        <v>118</v>
      </c>
      <c r="GY9" s="5" t="s">
        <v>32</v>
      </c>
      <c r="GZ9" s="6" t="s">
        <v>785</v>
      </c>
      <c r="HA9" s="6" t="s">
        <v>118</v>
      </c>
      <c r="HB9" s="5" t="s">
        <v>32</v>
      </c>
      <c r="HC9" s="6" t="s">
        <v>785</v>
      </c>
      <c r="HD9" s="6" t="s">
        <v>118</v>
      </c>
      <c r="HE9" s="5" t="s">
        <v>32</v>
      </c>
      <c r="HF9" s="6" t="s">
        <v>785</v>
      </c>
      <c r="HG9" s="6" t="s">
        <v>118</v>
      </c>
      <c r="HH9" s="5" t="s">
        <v>32</v>
      </c>
      <c r="HI9" s="6" t="s">
        <v>786</v>
      </c>
      <c r="HJ9" s="6" t="s">
        <v>118</v>
      </c>
      <c r="HK9" s="5" t="s">
        <v>32</v>
      </c>
      <c r="HL9" s="6" t="s">
        <v>786</v>
      </c>
      <c r="HM9" s="6" t="s">
        <v>118</v>
      </c>
      <c r="HN9" s="5" t="s">
        <v>32</v>
      </c>
      <c r="HO9" s="6" t="s">
        <v>786</v>
      </c>
      <c r="HP9" s="6" t="s">
        <v>118</v>
      </c>
      <c r="HQ9" s="5" t="s">
        <v>32</v>
      </c>
      <c r="HR9" s="6" t="s">
        <v>786</v>
      </c>
      <c r="HS9" s="6" t="s">
        <v>118</v>
      </c>
      <c r="HT9" s="5" t="s">
        <v>32</v>
      </c>
      <c r="HU9" s="6" t="s">
        <v>786</v>
      </c>
      <c r="HV9" s="6" t="s">
        <v>118</v>
      </c>
      <c r="HW9" s="5" t="s">
        <v>32</v>
      </c>
      <c r="HX9" s="6" t="s">
        <v>786</v>
      </c>
      <c r="HY9" s="6" t="s">
        <v>118</v>
      </c>
      <c r="HZ9" s="5" t="s">
        <v>32</v>
      </c>
      <c r="IA9" s="6" t="s">
        <v>787</v>
      </c>
      <c r="IB9" s="6" t="s">
        <v>118</v>
      </c>
      <c r="IC9" s="5" t="s">
        <v>32</v>
      </c>
      <c r="ID9" s="6" t="s">
        <v>787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1782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1783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1784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1785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1786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1828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1829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1830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1831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1832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1833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1834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1835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1836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1837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1838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1839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1840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1841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1842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1843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1844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1845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1846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1847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1848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1849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1850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1851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1852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1853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1854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1855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1856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1857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1777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1778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1779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1780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1781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1798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1799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1800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1801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1802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1803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1804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1805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1806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1807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1808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1809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1810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1811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1812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1813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1814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1815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1816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1817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1818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1819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1820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1821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1822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1823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1824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1825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1826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1827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185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187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192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186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1741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1742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1743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1744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238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239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240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245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246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247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248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249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250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251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252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H8" sqref="H8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2026</v>
      </c>
      <c r="C2" s="13"/>
    </row>
    <row r="3" spans="1:6" ht="18.75" customHeight="1">
      <c r="A3" s="1"/>
      <c r="B3" s="45" t="s">
        <v>2014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194</v>
      </c>
      <c r="D4" s="3" t="s">
        <v>46</v>
      </c>
      <c r="E4" s="84" t="s">
        <v>2015</v>
      </c>
      <c r="F4" s="84" t="s">
        <v>2016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1925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174</v>
      </c>
      <c r="E8" s="85" t="s">
        <v>258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202</v>
      </c>
      <c r="D9" s="5" t="s">
        <v>47</v>
      </c>
      <c r="E9" s="86" t="s">
        <v>2017</v>
      </c>
      <c r="F9" s="86" t="s">
        <v>2018</v>
      </c>
    </row>
    <row r="10" spans="1:6" ht="57.75" customHeight="1">
      <c r="A10" s="55" t="s">
        <v>12</v>
      </c>
      <c r="B10" s="46"/>
      <c r="C10" s="18"/>
      <c r="D10" s="19"/>
      <c r="E10" s="87" t="s">
        <v>2019</v>
      </c>
      <c r="F10" s="87" t="s">
        <v>2019</v>
      </c>
    </row>
    <row r="11" spans="1:6" ht="18.75" customHeight="1">
      <c r="A11" s="56" t="s">
        <v>13</v>
      </c>
      <c r="B11" s="20">
        <v>1</v>
      </c>
      <c r="C11" s="7" t="s">
        <v>1957</v>
      </c>
      <c r="D11" s="7">
        <v>20001</v>
      </c>
      <c r="E11" s="23" t="s">
        <v>2020</v>
      </c>
      <c r="F11" s="23" t="s">
        <v>2021</v>
      </c>
    </row>
    <row r="12" spans="1:6" ht="18.75" customHeight="1">
      <c r="A12" s="8"/>
      <c r="B12" s="20">
        <v>2</v>
      </c>
      <c r="C12" s="7" t="s">
        <v>1961</v>
      </c>
      <c r="D12" s="7">
        <v>20002</v>
      </c>
      <c r="E12" s="23" t="s">
        <v>2021</v>
      </c>
      <c r="F12" s="23" t="s">
        <v>2022</v>
      </c>
    </row>
    <row r="13" spans="1:6" ht="18.75" customHeight="1">
      <c r="A13" s="8"/>
      <c r="B13" s="20">
        <v>3</v>
      </c>
      <c r="C13" s="7" t="s">
        <v>1962</v>
      </c>
      <c r="D13" s="7">
        <v>20003</v>
      </c>
      <c r="E13" s="23" t="s">
        <v>2022</v>
      </c>
      <c r="F13" s="23" t="s">
        <v>2023</v>
      </c>
    </row>
    <row r="14" spans="1:6" ht="18.75" customHeight="1">
      <c r="A14" s="8"/>
      <c r="B14" s="20">
        <v>4</v>
      </c>
      <c r="C14" s="7" t="s">
        <v>1963</v>
      </c>
      <c r="D14" s="7">
        <v>20004</v>
      </c>
      <c r="E14" s="23" t="s">
        <v>2023</v>
      </c>
      <c r="F14" s="23" t="s">
        <v>2024</v>
      </c>
    </row>
    <row r="15" spans="1:6" ht="18.75" customHeight="1">
      <c r="A15" s="8"/>
      <c r="B15" s="20">
        <v>5</v>
      </c>
      <c r="C15" s="7" t="s">
        <v>1964</v>
      </c>
      <c r="D15" s="7">
        <v>20005</v>
      </c>
      <c r="E15" s="23" t="s">
        <v>2024</v>
      </c>
      <c r="F15" s="23" t="s">
        <v>2025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9"/>
  <sheetViews>
    <sheetView topLeftCell="A10" workbookViewId="0">
      <selection activeCell="B21" sqref="B21:B2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1773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1941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1942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1943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1944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1945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1946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1947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1948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1949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1957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1961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1962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1963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1964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1774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1775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1861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1865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1869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1873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1877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993"/>
  <sheetViews>
    <sheetView topLeftCell="B4" workbookViewId="0">
      <pane xSplit="3" ySplit="7" topLeftCell="BG11" activePane="bottomRight" state="frozen"/>
      <selection activeCell="B4" sqref="B4"/>
      <selection pane="topRight" activeCell="E4" sqref="E4"/>
      <selection pane="bottomLeft" activeCell="B11" sqref="B11"/>
      <selection pane="bottomRight" activeCell="B13" sqref="B13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2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1951</v>
      </c>
      <c r="F4" s="3" t="s">
        <v>1954</v>
      </c>
      <c r="G4" s="3" t="s">
        <v>227</v>
      </c>
      <c r="H4" s="3" t="s">
        <v>1276</v>
      </c>
      <c r="I4" s="3" t="s">
        <v>2011</v>
      </c>
      <c r="J4" s="39" t="s">
        <v>1931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179</v>
      </c>
      <c r="BI4" s="3"/>
      <c r="BJ4" s="3"/>
      <c r="BK4" s="3"/>
      <c r="BL4" s="3"/>
      <c r="BM4" s="3"/>
      <c r="BN4" s="3" t="s">
        <v>182</v>
      </c>
      <c r="BO4" s="3"/>
      <c r="BP4" s="3"/>
      <c r="BQ4" s="3"/>
      <c r="BR4" s="3"/>
      <c r="BS4" s="3"/>
      <c r="BT4" s="3"/>
      <c r="BU4" s="3"/>
      <c r="BV4" s="3"/>
      <c r="BW4" s="39" t="s">
        <v>1932</v>
      </c>
      <c r="BX4" s="39"/>
      <c r="BY4" s="39"/>
      <c r="BZ4" s="39" t="s">
        <v>1933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180</v>
      </c>
      <c r="BI6" s="3" t="s">
        <v>181</v>
      </c>
      <c r="BJ6" s="3" t="s">
        <v>221</v>
      </c>
      <c r="BK6" s="3" t="s">
        <v>180</v>
      </c>
      <c r="BL6" s="3" t="s">
        <v>181</v>
      </c>
      <c r="BM6" s="3" t="s">
        <v>221</v>
      </c>
      <c r="BN6" s="3" t="s">
        <v>180</v>
      </c>
      <c r="BO6" s="3" t="s">
        <v>181</v>
      </c>
      <c r="BP6" s="3" t="s">
        <v>221</v>
      </c>
      <c r="BQ6" s="3" t="s">
        <v>180</v>
      </c>
      <c r="BR6" s="3" t="s">
        <v>181</v>
      </c>
      <c r="BS6" s="3" t="s">
        <v>221</v>
      </c>
      <c r="BT6" s="3" t="s">
        <v>180</v>
      </c>
      <c r="BU6" s="3" t="s">
        <v>181</v>
      </c>
      <c r="BV6" s="3" t="s">
        <v>221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1935</v>
      </c>
      <c r="CD6" s="3" t="s">
        <v>1939</v>
      </c>
      <c r="CE6" s="3" t="s">
        <v>28</v>
      </c>
      <c r="CF6" s="3" t="s">
        <v>29</v>
      </c>
      <c r="CG6" s="3" t="s">
        <v>31</v>
      </c>
      <c r="CH6" s="3" t="s">
        <v>1935</v>
      </c>
      <c r="CI6" s="3" t="s">
        <v>1939</v>
      </c>
      <c r="CJ6" s="3" t="s">
        <v>28</v>
      </c>
      <c r="CK6" s="3" t="s">
        <v>29</v>
      </c>
      <c r="CL6" s="3" t="s">
        <v>31</v>
      </c>
      <c r="CM6" s="3" t="s">
        <v>1935</v>
      </c>
      <c r="CN6" s="3" t="s">
        <v>1939</v>
      </c>
      <c r="CO6" s="3" t="s">
        <v>28</v>
      </c>
      <c r="CP6" s="3" t="s">
        <v>29</v>
      </c>
      <c r="CQ6" s="3" t="s">
        <v>31</v>
      </c>
      <c r="CR6" s="3" t="s">
        <v>1935</v>
      </c>
      <c r="CS6" s="3" t="s">
        <v>1939</v>
      </c>
      <c r="CT6" s="3" t="s">
        <v>28</v>
      </c>
      <c r="CU6" s="3" t="s">
        <v>29</v>
      </c>
      <c r="CV6" s="3" t="s">
        <v>31</v>
      </c>
      <c r="CW6" s="3" t="s">
        <v>1935</v>
      </c>
      <c r="CX6" s="3" t="s">
        <v>1939</v>
      </c>
      <c r="CY6" s="3" t="s">
        <v>28</v>
      </c>
      <c r="CZ6" s="3" t="s">
        <v>29</v>
      </c>
      <c r="DA6" s="3" t="s">
        <v>31</v>
      </c>
      <c r="DB6" s="3" t="s">
        <v>1935</v>
      </c>
      <c r="DC6" s="3" t="s">
        <v>1939</v>
      </c>
      <c r="DD6" s="3" t="s">
        <v>28</v>
      </c>
      <c r="DE6" s="3" t="s">
        <v>29</v>
      </c>
      <c r="DF6" s="3" t="s">
        <v>31</v>
      </c>
      <c r="DG6" s="3" t="s">
        <v>1935</v>
      </c>
      <c r="DH6" s="3" t="s">
        <v>1939</v>
      </c>
      <c r="DI6" s="3" t="s">
        <v>28</v>
      </c>
      <c r="DJ6" s="3" t="s">
        <v>29</v>
      </c>
      <c r="DK6" s="3" t="s">
        <v>31</v>
      </c>
      <c r="DL6" s="3" t="s">
        <v>1935</v>
      </c>
      <c r="DM6" s="3" t="s">
        <v>1939</v>
      </c>
      <c r="DN6" s="3"/>
    </row>
    <row r="7" spans="1:118" ht="18.75" customHeight="1">
      <c r="A7" s="55" t="s">
        <v>1925</v>
      </c>
      <c r="B7" s="39"/>
      <c r="C7" s="3"/>
      <c r="D7" s="3"/>
      <c r="E7" s="3"/>
      <c r="F7" s="3"/>
      <c r="G7" s="3"/>
      <c r="H7" s="3"/>
      <c r="I7" s="3"/>
      <c r="J7" s="39" t="s">
        <v>1926</v>
      </c>
      <c r="K7" s="39" t="s">
        <v>1927</v>
      </c>
      <c r="L7" s="39" t="s">
        <v>1926</v>
      </c>
      <c r="M7" s="39" t="s">
        <v>1927</v>
      </c>
      <c r="N7" s="39" t="s">
        <v>1926</v>
      </c>
      <c r="O7" s="39" t="s">
        <v>1927</v>
      </c>
      <c r="P7" s="39" t="s">
        <v>1926</v>
      </c>
      <c r="Q7" s="39" t="s">
        <v>1927</v>
      </c>
      <c r="R7" s="39" t="s">
        <v>1926</v>
      </c>
      <c r="S7" s="39" t="s">
        <v>1927</v>
      </c>
      <c r="T7" s="39" t="s">
        <v>1926</v>
      </c>
      <c r="U7" s="39" t="s">
        <v>1927</v>
      </c>
      <c r="V7" s="39" t="s">
        <v>1926</v>
      </c>
      <c r="W7" s="39" t="s">
        <v>1927</v>
      </c>
      <c r="X7" s="39" t="s">
        <v>1926</v>
      </c>
      <c r="Y7" s="39" t="s">
        <v>1927</v>
      </c>
      <c r="Z7" s="39" t="s">
        <v>1926</v>
      </c>
      <c r="AA7" s="39" t="s">
        <v>1927</v>
      </c>
      <c r="AB7" s="39" t="s">
        <v>1926</v>
      </c>
      <c r="AC7" s="39" t="s">
        <v>1927</v>
      </c>
      <c r="AD7" s="39" t="s">
        <v>1926</v>
      </c>
      <c r="AE7" s="39" t="s">
        <v>1927</v>
      </c>
      <c r="AF7" s="39" t="s">
        <v>1926</v>
      </c>
      <c r="AG7" s="39" t="s">
        <v>1927</v>
      </c>
      <c r="AH7" s="39" t="s">
        <v>1926</v>
      </c>
      <c r="AI7" s="39" t="s">
        <v>1927</v>
      </c>
      <c r="AJ7" s="39" t="s">
        <v>1926</v>
      </c>
      <c r="AK7" s="39" t="s">
        <v>1927</v>
      </c>
      <c r="AL7" s="39" t="s">
        <v>1926</v>
      </c>
      <c r="AM7" s="39" t="s">
        <v>1927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1938</v>
      </c>
      <c r="F8" s="4" t="s">
        <v>1955</v>
      </c>
      <c r="G8" s="4" t="s">
        <v>20</v>
      </c>
      <c r="H8" s="4" t="s">
        <v>20</v>
      </c>
      <c r="I8" s="4" t="s">
        <v>2012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1938</v>
      </c>
      <c r="CD8" s="4" t="s">
        <v>1936</v>
      </c>
      <c r="CE8" s="4" t="s">
        <v>20</v>
      </c>
      <c r="CF8" s="4" t="s">
        <v>7</v>
      </c>
      <c r="CG8" s="4" t="s">
        <v>7</v>
      </c>
      <c r="CH8" s="4" t="s">
        <v>1938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1938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1938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1938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1938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1938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1938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1950</v>
      </c>
      <c r="F9" s="6" t="s">
        <v>1952</v>
      </c>
      <c r="G9" s="5" t="s">
        <v>228</v>
      </c>
      <c r="H9" s="5" t="s">
        <v>1277</v>
      </c>
      <c r="I9" s="5" t="s">
        <v>2013</v>
      </c>
      <c r="J9" s="41" t="s">
        <v>126</v>
      </c>
      <c r="K9" s="41" t="s">
        <v>1928</v>
      </c>
      <c r="L9" s="41" t="s">
        <v>1929</v>
      </c>
      <c r="M9" s="41" t="s">
        <v>1928</v>
      </c>
      <c r="N9" s="41" t="s">
        <v>1929</v>
      </c>
      <c r="O9" s="41" t="s">
        <v>1928</v>
      </c>
      <c r="P9" s="41" t="s">
        <v>1929</v>
      </c>
      <c r="Q9" s="41" t="s">
        <v>1928</v>
      </c>
      <c r="R9" s="41" t="s">
        <v>1929</v>
      </c>
      <c r="S9" s="41" t="s">
        <v>1928</v>
      </c>
      <c r="T9" s="41" t="s">
        <v>126</v>
      </c>
      <c r="U9" s="41" t="s">
        <v>1928</v>
      </c>
      <c r="V9" s="41" t="s">
        <v>1929</v>
      </c>
      <c r="W9" s="41" t="s">
        <v>1928</v>
      </c>
      <c r="X9" s="41" t="s">
        <v>1929</v>
      </c>
      <c r="Y9" s="41" t="s">
        <v>1928</v>
      </c>
      <c r="Z9" s="41" t="s">
        <v>1929</v>
      </c>
      <c r="AA9" s="41" t="s">
        <v>1928</v>
      </c>
      <c r="AB9" s="41" t="s">
        <v>1929</v>
      </c>
      <c r="AC9" s="41" t="s">
        <v>1928</v>
      </c>
      <c r="AD9" s="41" t="s">
        <v>126</v>
      </c>
      <c r="AE9" s="41" t="s">
        <v>1928</v>
      </c>
      <c r="AF9" s="41" t="s">
        <v>1929</v>
      </c>
      <c r="AG9" s="41" t="s">
        <v>1928</v>
      </c>
      <c r="AH9" s="41" t="s">
        <v>1929</v>
      </c>
      <c r="AI9" s="41" t="s">
        <v>1928</v>
      </c>
      <c r="AJ9" s="41" t="s">
        <v>1929</v>
      </c>
      <c r="AK9" s="41" t="s">
        <v>1928</v>
      </c>
      <c r="AL9" s="41" t="s">
        <v>1929</v>
      </c>
      <c r="AM9" s="41" t="s">
        <v>1928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183</v>
      </c>
      <c r="BI9" s="6" t="s">
        <v>184</v>
      </c>
      <c r="BJ9" s="6" t="s">
        <v>222</v>
      </c>
      <c r="BK9" s="6" t="s">
        <v>183</v>
      </c>
      <c r="BL9" s="6" t="s">
        <v>184</v>
      </c>
      <c r="BM9" s="6" t="s">
        <v>222</v>
      </c>
      <c r="BN9" s="6" t="s">
        <v>183</v>
      </c>
      <c r="BO9" s="6" t="s">
        <v>184</v>
      </c>
      <c r="BP9" s="6" t="s">
        <v>222</v>
      </c>
      <c r="BQ9" s="6" t="s">
        <v>183</v>
      </c>
      <c r="BR9" s="6" t="s">
        <v>184</v>
      </c>
      <c r="BS9" s="6" t="s">
        <v>222</v>
      </c>
      <c r="BT9" s="6" t="s">
        <v>183</v>
      </c>
      <c r="BU9" s="6" t="s">
        <v>184</v>
      </c>
      <c r="BV9" s="6" t="s">
        <v>222</v>
      </c>
      <c r="BW9" s="6" t="s">
        <v>1934</v>
      </c>
      <c r="BX9" s="6" t="s">
        <v>118</v>
      </c>
      <c r="BY9" s="5" t="s">
        <v>32</v>
      </c>
      <c r="BZ9" s="6" t="s">
        <v>1934</v>
      </c>
      <c r="CA9" s="6" t="s">
        <v>118</v>
      </c>
      <c r="CB9" s="5" t="s">
        <v>32</v>
      </c>
      <c r="CC9" s="5" t="s">
        <v>1937</v>
      </c>
      <c r="CD9" s="5" t="s">
        <v>1940</v>
      </c>
      <c r="CE9" s="6" t="s">
        <v>1934</v>
      </c>
      <c r="CF9" s="6" t="s">
        <v>118</v>
      </c>
      <c r="CG9" s="5" t="s">
        <v>32</v>
      </c>
      <c r="CH9" s="5" t="s">
        <v>1937</v>
      </c>
      <c r="CI9" s="5" t="s">
        <v>1940</v>
      </c>
      <c r="CJ9" s="6" t="s">
        <v>1934</v>
      </c>
      <c r="CK9" s="6" t="s">
        <v>118</v>
      </c>
      <c r="CL9" s="5" t="s">
        <v>32</v>
      </c>
      <c r="CM9" s="5" t="s">
        <v>1937</v>
      </c>
      <c r="CN9" s="5" t="s">
        <v>1940</v>
      </c>
      <c r="CO9" s="6" t="s">
        <v>1934</v>
      </c>
      <c r="CP9" s="6" t="s">
        <v>118</v>
      </c>
      <c r="CQ9" s="5" t="s">
        <v>32</v>
      </c>
      <c r="CR9" s="5" t="s">
        <v>1937</v>
      </c>
      <c r="CS9" s="5" t="s">
        <v>1940</v>
      </c>
      <c r="CT9" s="6" t="s">
        <v>1934</v>
      </c>
      <c r="CU9" s="6" t="s">
        <v>118</v>
      </c>
      <c r="CV9" s="5" t="s">
        <v>32</v>
      </c>
      <c r="CW9" s="5" t="s">
        <v>1937</v>
      </c>
      <c r="CX9" s="5" t="s">
        <v>1940</v>
      </c>
      <c r="CY9" s="6" t="s">
        <v>1934</v>
      </c>
      <c r="CZ9" s="6" t="s">
        <v>118</v>
      </c>
      <c r="DA9" s="5" t="s">
        <v>32</v>
      </c>
      <c r="DB9" s="5" t="s">
        <v>1937</v>
      </c>
      <c r="DC9" s="5" t="s">
        <v>1940</v>
      </c>
      <c r="DD9" s="6" t="s">
        <v>1934</v>
      </c>
      <c r="DE9" s="6" t="s">
        <v>118</v>
      </c>
      <c r="DF9" s="5" t="s">
        <v>32</v>
      </c>
      <c r="DG9" s="5" t="s">
        <v>1937</v>
      </c>
      <c r="DH9" s="5" t="s">
        <v>1940</v>
      </c>
      <c r="DI9" s="6" t="s">
        <v>1934</v>
      </c>
      <c r="DJ9" s="6" t="s">
        <v>118</v>
      </c>
      <c r="DK9" s="5" t="s">
        <v>32</v>
      </c>
      <c r="DL9" s="5" t="s">
        <v>1937</v>
      </c>
      <c r="DM9" s="5" t="s">
        <v>1940</v>
      </c>
      <c r="DN9" s="5"/>
    </row>
    <row r="10" spans="1:118" ht="57.75" customHeight="1">
      <c r="A10" s="55" t="s">
        <v>12</v>
      </c>
      <c r="B10" s="46"/>
      <c r="C10" s="18"/>
      <c r="D10" s="19"/>
      <c r="E10" s="19" t="s">
        <v>1953</v>
      </c>
      <c r="F10" s="19" t="s">
        <v>1953</v>
      </c>
      <c r="G10" s="19"/>
      <c r="H10" s="19"/>
      <c r="I10" s="19"/>
      <c r="J10" s="42" t="s">
        <v>1930</v>
      </c>
      <c r="K10" s="42"/>
      <c r="L10" s="42" t="s">
        <v>1930</v>
      </c>
      <c r="M10" s="42"/>
      <c r="N10" s="42" t="s">
        <v>1930</v>
      </c>
      <c r="O10" s="42"/>
      <c r="P10" s="42" t="s">
        <v>1930</v>
      </c>
      <c r="Q10" s="42"/>
      <c r="R10" s="42" t="s">
        <v>1930</v>
      </c>
      <c r="S10" s="42"/>
      <c r="T10" s="42" t="s">
        <v>1930</v>
      </c>
      <c r="U10" s="42"/>
      <c r="V10" s="42" t="s">
        <v>1930</v>
      </c>
      <c r="W10" s="42"/>
      <c r="X10" s="42" t="s">
        <v>1930</v>
      </c>
      <c r="Y10" s="42"/>
      <c r="Z10" s="42" t="s">
        <v>1930</v>
      </c>
      <c r="AA10" s="42"/>
      <c r="AB10" s="42" t="s">
        <v>1930</v>
      </c>
      <c r="AC10" s="42"/>
      <c r="AD10" s="42" t="s">
        <v>1930</v>
      </c>
      <c r="AE10" s="42"/>
      <c r="AF10" s="42" t="s">
        <v>1930</v>
      </c>
      <c r="AG10" s="42"/>
      <c r="AH10" s="42" t="s">
        <v>1930</v>
      </c>
      <c r="AI10" s="42"/>
      <c r="AJ10" s="42" t="s">
        <v>1930</v>
      </c>
      <c r="AK10" s="42"/>
      <c r="AL10" s="42" t="s">
        <v>1930</v>
      </c>
      <c r="AM10" s="42"/>
      <c r="AN10" s="42" t="s">
        <v>1930</v>
      </c>
      <c r="AO10" s="42"/>
      <c r="AP10" s="42" t="s">
        <v>1930</v>
      </c>
      <c r="AQ10" s="42"/>
      <c r="AR10" s="42" t="s">
        <v>1930</v>
      </c>
      <c r="AS10" s="42"/>
      <c r="AT10" s="42" t="s">
        <v>1930</v>
      </c>
      <c r="AU10" s="42"/>
      <c r="AV10" s="42" t="s">
        <v>1930</v>
      </c>
      <c r="AW10" s="42"/>
      <c r="AX10" s="42" t="s">
        <v>1930</v>
      </c>
      <c r="AY10" s="42"/>
      <c r="AZ10" s="42" t="s">
        <v>1930</v>
      </c>
      <c r="BA10" s="42"/>
      <c r="BB10" s="42" t="s">
        <v>1930</v>
      </c>
      <c r="BC10" s="42"/>
      <c r="BD10" s="42" t="s">
        <v>1930</v>
      </c>
      <c r="BE10" s="42"/>
      <c r="BF10" s="42" t="s">
        <v>1930</v>
      </c>
      <c r="BG10" s="42"/>
      <c r="BH10" s="19" t="s">
        <v>1792</v>
      </c>
      <c r="BI10" s="19"/>
      <c r="BJ10" s="19"/>
      <c r="BK10" s="19" t="s">
        <v>1792</v>
      </c>
      <c r="BL10" s="19"/>
      <c r="BM10" s="19"/>
      <c r="BN10" s="19" t="s">
        <v>1792</v>
      </c>
      <c r="BO10" s="18"/>
      <c r="BP10" s="19"/>
      <c r="BQ10" s="19" t="s">
        <v>1792</v>
      </c>
      <c r="BR10" s="19"/>
      <c r="BS10" s="19"/>
      <c r="BT10" s="19" t="s">
        <v>1792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1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1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1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1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1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1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1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1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1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1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1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1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1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1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1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1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1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1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1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1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1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1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1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1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1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1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1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1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1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1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1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1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1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1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1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1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1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1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1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1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1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1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1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1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1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1965</v>
      </c>
      <c r="E57" s="14">
        <v>4.3</v>
      </c>
      <c r="F57" s="14">
        <v>4.3</v>
      </c>
      <c r="G57" s="14">
        <v>10</v>
      </c>
      <c r="H57" s="14">
        <v>99</v>
      </c>
      <c r="I57" s="14" t="b">
        <v>1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1966</v>
      </c>
      <c r="E58" s="14">
        <v>4.5</v>
      </c>
      <c r="F58" s="14">
        <v>4.5</v>
      </c>
      <c r="G58" s="14">
        <v>20</v>
      </c>
      <c r="H58" s="14">
        <v>99</v>
      </c>
      <c r="I58" s="14" t="b">
        <v>1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3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1967</v>
      </c>
      <c r="E59" s="14">
        <v>4.7</v>
      </c>
      <c r="F59" s="14">
        <v>4.7</v>
      </c>
      <c r="G59" s="14">
        <v>30</v>
      </c>
      <c r="H59" s="14">
        <v>99</v>
      </c>
      <c r="I59" s="14" t="b">
        <v>1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3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1968</v>
      </c>
      <c r="E60" s="14">
        <v>4.3</v>
      </c>
      <c r="F60" s="14">
        <v>4.3</v>
      </c>
      <c r="G60" s="14">
        <v>10</v>
      </c>
      <c r="H60" s="14">
        <v>99</v>
      </c>
      <c r="I60" s="14" t="b">
        <v>1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1969</v>
      </c>
      <c r="E61" s="14">
        <v>4.5</v>
      </c>
      <c r="F61" s="14">
        <v>4.5</v>
      </c>
      <c r="G61" s="14">
        <v>20</v>
      </c>
      <c r="H61" s="14">
        <v>99</v>
      </c>
      <c r="I61" s="14" t="b">
        <v>1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3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1970</v>
      </c>
      <c r="E62" s="14">
        <v>4.7</v>
      </c>
      <c r="F62" s="14">
        <v>4.7</v>
      </c>
      <c r="G62" s="14">
        <v>30</v>
      </c>
      <c r="H62" s="14">
        <v>99</v>
      </c>
      <c r="I62" s="14" t="b">
        <v>1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3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1971</v>
      </c>
      <c r="E63" s="14">
        <v>4.3</v>
      </c>
      <c r="F63" s="14">
        <v>4.3</v>
      </c>
      <c r="G63" s="14">
        <v>10</v>
      </c>
      <c r="H63" s="14">
        <v>99</v>
      </c>
      <c r="I63" s="14" t="b">
        <v>1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1972</v>
      </c>
      <c r="E64" s="14">
        <v>4.5</v>
      </c>
      <c r="F64" s="14">
        <v>4.5</v>
      </c>
      <c r="G64" s="14">
        <v>20</v>
      </c>
      <c r="H64" s="14">
        <v>99</v>
      </c>
      <c r="I64" s="14" t="b">
        <v>1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3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1973</v>
      </c>
      <c r="E65" s="14">
        <v>4.7</v>
      </c>
      <c r="F65" s="14">
        <v>4.7</v>
      </c>
      <c r="G65" s="14">
        <v>30</v>
      </c>
      <c r="H65" s="14">
        <v>99</v>
      </c>
      <c r="I65" s="14" t="b">
        <v>1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3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1974</v>
      </c>
      <c r="E66" s="14">
        <v>4.3</v>
      </c>
      <c r="F66" s="14">
        <v>4.3</v>
      </c>
      <c r="G66" s="14">
        <v>10</v>
      </c>
      <c r="H66" s="14">
        <v>99</v>
      </c>
      <c r="I66" s="14" t="b">
        <v>1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1975</v>
      </c>
      <c r="E67" s="14">
        <v>4.5</v>
      </c>
      <c r="F67" s="14">
        <v>4.5</v>
      </c>
      <c r="G67" s="14">
        <v>20</v>
      </c>
      <c r="H67" s="14">
        <v>99</v>
      </c>
      <c r="I67" s="14" t="b">
        <v>1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3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1976</v>
      </c>
      <c r="E68" s="14">
        <v>4.7</v>
      </c>
      <c r="F68" s="14">
        <v>4.7</v>
      </c>
      <c r="G68" s="14">
        <v>30</v>
      </c>
      <c r="H68" s="14">
        <v>99</v>
      </c>
      <c r="I68" s="14" t="b">
        <v>1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3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1977</v>
      </c>
      <c r="E69" s="14">
        <v>4.3</v>
      </c>
      <c r="F69" s="14">
        <v>4.3</v>
      </c>
      <c r="G69" s="14">
        <v>10</v>
      </c>
      <c r="H69" s="14">
        <v>99</v>
      </c>
      <c r="I69" s="14" t="b">
        <v>1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1978</v>
      </c>
      <c r="E70" s="14">
        <v>4.5</v>
      </c>
      <c r="F70" s="14">
        <v>4.5</v>
      </c>
      <c r="G70" s="14">
        <v>20</v>
      </c>
      <c r="H70" s="14">
        <v>99</v>
      </c>
      <c r="I70" s="14" t="b">
        <v>1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3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1979</v>
      </c>
      <c r="E71" s="14">
        <v>4.7</v>
      </c>
      <c r="F71" s="14">
        <v>4.7</v>
      </c>
      <c r="G71" s="14">
        <v>30</v>
      </c>
      <c r="H71" s="14">
        <v>99</v>
      </c>
      <c r="I71" s="14" t="b">
        <v>1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3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1776</v>
      </c>
      <c r="E72" s="14">
        <v>8.6</v>
      </c>
      <c r="F72" s="14">
        <v>4.3</v>
      </c>
      <c r="G72" s="14">
        <v>10</v>
      </c>
      <c r="H72" s="34">
        <v>99</v>
      </c>
      <c r="I72" s="14" t="b">
        <v>1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1787</v>
      </c>
      <c r="E73" s="14">
        <v>12.4</v>
      </c>
      <c r="F73" s="14">
        <v>4.5</v>
      </c>
      <c r="G73" s="14">
        <v>20</v>
      </c>
      <c r="H73" s="34">
        <v>99</v>
      </c>
      <c r="I73" s="14" t="b">
        <v>1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1788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1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1789</v>
      </c>
      <c r="E75" s="14">
        <v>4.3</v>
      </c>
      <c r="F75" s="14">
        <v>8.6</v>
      </c>
      <c r="G75" s="14">
        <v>10</v>
      </c>
      <c r="H75" s="34">
        <v>99</v>
      </c>
      <c r="I75" s="14" t="b">
        <v>1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1790</v>
      </c>
      <c r="E76" s="14">
        <v>4.5</v>
      </c>
      <c r="F76" s="14">
        <v>12.4</v>
      </c>
      <c r="G76" s="14">
        <v>20</v>
      </c>
      <c r="H76" s="34">
        <v>99</v>
      </c>
      <c r="I76" s="14" t="b">
        <v>1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1791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1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1858</v>
      </c>
      <c r="E78" s="14">
        <v>4.3</v>
      </c>
      <c r="F78" s="14">
        <v>4.3</v>
      </c>
      <c r="G78" s="14">
        <v>10</v>
      </c>
      <c r="H78" s="34">
        <v>99</v>
      </c>
      <c r="I78" s="14" t="b">
        <v>1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1793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1859</v>
      </c>
      <c r="E79" s="14">
        <v>4.5</v>
      </c>
      <c r="F79" s="14">
        <v>4.5</v>
      </c>
      <c r="G79" s="14">
        <v>20</v>
      </c>
      <c r="H79" s="34">
        <v>99</v>
      </c>
      <c r="I79" s="14" t="b">
        <v>1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1793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1860</v>
      </c>
      <c r="E80" s="14">
        <v>4.7</v>
      </c>
      <c r="F80" s="14">
        <v>4.7</v>
      </c>
      <c r="G80" s="14">
        <v>30</v>
      </c>
      <c r="H80" s="34">
        <v>99</v>
      </c>
      <c r="I80" s="14" t="b">
        <v>1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1793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1862</v>
      </c>
      <c r="E81" s="14">
        <v>4.3</v>
      </c>
      <c r="F81" s="14">
        <v>4.3</v>
      </c>
      <c r="G81" s="14">
        <v>10</v>
      </c>
      <c r="H81" s="34">
        <v>99</v>
      </c>
      <c r="I81" s="14" t="b">
        <v>1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1794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2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2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1863</v>
      </c>
      <c r="E82" s="14">
        <v>4.5</v>
      </c>
      <c r="F82" s="14">
        <v>4.5</v>
      </c>
      <c r="G82" s="14">
        <v>20</v>
      </c>
      <c r="H82" s="34">
        <v>99</v>
      </c>
      <c r="I82" s="14" t="b">
        <v>1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1794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1864</v>
      </c>
      <c r="E83" s="14">
        <v>4.7</v>
      </c>
      <c r="F83" s="14">
        <v>4.7</v>
      </c>
      <c r="G83" s="14">
        <v>30</v>
      </c>
      <c r="H83" s="34">
        <v>99</v>
      </c>
      <c r="I83" s="14" t="b">
        <v>1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1794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1866</v>
      </c>
      <c r="E84" s="14">
        <v>4.3</v>
      </c>
      <c r="F84" s="14">
        <v>4.3</v>
      </c>
      <c r="G84" s="14">
        <v>10</v>
      </c>
      <c r="H84" s="34">
        <v>99</v>
      </c>
      <c r="I84" s="14" t="b">
        <v>1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1795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1867</v>
      </c>
      <c r="E85" s="14">
        <v>4.5</v>
      </c>
      <c r="F85" s="14">
        <v>4.5</v>
      </c>
      <c r="G85" s="14">
        <v>20</v>
      </c>
      <c r="H85" s="34">
        <v>99</v>
      </c>
      <c r="I85" s="14" t="b">
        <v>1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1795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8.75" customHeight="1">
      <c r="B86" s="43">
        <v>300050003</v>
      </c>
      <c r="C86" s="34">
        <v>30005</v>
      </c>
      <c r="D86" s="34" t="s">
        <v>1868</v>
      </c>
      <c r="E86" s="14">
        <v>4.7</v>
      </c>
      <c r="F86" s="14">
        <v>4.7</v>
      </c>
      <c r="G86" s="14">
        <v>30</v>
      </c>
      <c r="H86" s="34">
        <v>99</v>
      </c>
      <c r="I86" s="14" t="b">
        <v>1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1795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1870</v>
      </c>
      <c r="E87" s="14">
        <v>4.3</v>
      </c>
      <c r="F87" s="14">
        <v>4.3</v>
      </c>
      <c r="G87" s="14">
        <v>10</v>
      </c>
      <c r="H87" s="34">
        <v>99</v>
      </c>
      <c r="I87" s="14" t="b">
        <v>1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1796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1871</v>
      </c>
      <c r="E88" s="14">
        <v>4.5</v>
      </c>
      <c r="F88" s="14">
        <v>4.5</v>
      </c>
      <c r="G88" s="14">
        <v>20</v>
      </c>
      <c r="H88" s="34">
        <v>99</v>
      </c>
      <c r="I88" s="14" t="b">
        <v>1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1796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1872</v>
      </c>
      <c r="E89" s="14">
        <v>4.7</v>
      </c>
      <c r="F89" s="14">
        <v>4.7</v>
      </c>
      <c r="G89" s="14">
        <v>30</v>
      </c>
      <c r="H89" s="34">
        <v>99</v>
      </c>
      <c r="I89" s="14" t="b">
        <v>1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1796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1874</v>
      </c>
      <c r="E90" s="14">
        <v>4.3</v>
      </c>
      <c r="F90" s="14">
        <v>4.3</v>
      </c>
      <c r="G90" s="14">
        <v>10</v>
      </c>
      <c r="H90" s="34">
        <v>99</v>
      </c>
      <c r="I90" s="14" t="b">
        <v>1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1797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1875</v>
      </c>
      <c r="E91" s="14">
        <v>4.5</v>
      </c>
      <c r="F91" s="14">
        <v>4.5</v>
      </c>
      <c r="G91" s="14">
        <v>20</v>
      </c>
      <c r="H91" s="34">
        <v>99</v>
      </c>
      <c r="I91" s="14" t="b">
        <v>1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1797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1876</v>
      </c>
      <c r="E92" s="14">
        <v>4.7</v>
      </c>
      <c r="F92" s="14">
        <v>4.7</v>
      </c>
      <c r="G92" s="14">
        <v>30</v>
      </c>
      <c r="H92" s="34">
        <v>99</v>
      </c>
      <c r="I92" s="14" t="b">
        <v>1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1797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/>
      <c r="C93" s="34"/>
      <c r="D93" s="34"/>
      <c r="E93" s="34"/>
      <c r="F93" s="34"/>
      <c r="G93" s="34"/>
      <c r="H93" s="34"/>
      <c r="I93" s="34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43"/>
      <c r="BX93" s="43"/>
      <c r="BY93" s="43"/>
      <c r="BZ93" s="43"/>
      <c r="CA93" s="34"/>
      <c r="CB93" s="34"/>
      <c r="CC93" s="34"/>
      <c r="CD93" s="34"/>
      <c r="CE93" s="43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/>
      <c r="C94" s="34"/>
      <c r="D94" s="34"/>
      <c r="E94" s="34"/>
      <c r="F94" s="34"/>
      <c r="G94" s="34"/>
      <c r="H94" s="34"/>
      <c r="I94" s="34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43"/>
      <c r="BX94" s="43"/>
      <c r="BY94" s="43"/>
      <c r="BZ94" s="43"/>
      <c r="CA94" s="34"/>
      <c r="CB94" s="34"/>
      <c r="CC94" s="34"/>
      <c r="CD94" s="34"/>
      <c r="CE94" s="43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/>
      <c r="C95" s="34"/>
      <c r="D95" s="34"/>
      <c r="E95" s="34"/>
      <c r="F95" s="34"/>
      <c r="G95" s="34"/>
      <c r="H95" s="34"/>
      <c r="I95" s="34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43"/>
      <c r="BX95" s="43"/>
      <c r="BY95" s="43"/>
      <c r="BZ95" s="43"/>
      <c r="CA95" s="34"/>
      <c r="CB95" s="34"/>
      <c r="CC95" s="34"/>
      <c r="CD95" s="34"/>
      <c r="CE95" s="43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/>
      <c r="C96" s="34"/>
      <c r="D96" s="34"/>
      <c r="E96" s="34"/>
      <c r="F96" s="34"/>
      <c r="G96" s="34"/>
      <c r="H96" s="34"/>
      <c r="I96" s="34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43"/>
      <c r="BX96" s="43"/>
      <c r="BY96" s="43"/>
      <c r="BZ96" s="43"/>
      <c r="CA96" s="34"/>
      <c r="CB96" s="34"/>
      <c r="CC96" s="34"/>
      <c r="CD96" s="34"/>
      <c r="CE96" s="43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/>
      <c r="C97" s="34"/>
      <c r="D97" s="34"/>
      <c r="E97" s="34"/>
      <c r="F97" s="34"/>
      <c r="G97" s="34"/>
      <c r="H97" s="34"/>
      <c r="I97" s="34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43"/>
      <c r="BX97" s="43"/>
      <c r="BY97" s="43"/>
      <c r="BZ97" s="43"/>
      <c r="CA97" s="34"/>
      <c r="CB97" s="34"/>
      <c r="CC97" s="34"/>
      <c r="CD97" s="34"/>
      <c r="CE97" s="43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/>
      <c r="C98" s="34"/>
      <c r="D98" s="34"/>
      <c r="E98" s="34"/>
      <c r="F98" s="34"/>
      <c r="G98" s="34"/>
      <c r="H98" s="34"/>
      <c r="I98" s="34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43"/>
      <c r="BX98" s="43"/>
      <c r="BY98" s="43"/>
      <c r="BZ98" s="43"/>
      <c r="CA98" s="34"/>
      <c r="CB98" s="34"/>
      <c r="CC98" s="34"/>
      <c r="CD98" s="34"/>
      <c r="CE98" s="43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/>
      <c r="C99" s="34"/>
      <c r="D99" s="34"/>
      <c r="E99" s="34"/>
      <c r="F99" s="34"/>
      <c r="G99" s="34"/>
      <c r="H99" s="34"/>
      <c r="I99" s="34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43"/>
      <c r="BX99" s="43"/>
      <c r="BY99" s="43"/>
      <c r="BZ99" s="43"/>
      <c r="CA99" s="34"/>
      <c r="CB99" s="34"/>
      <c r="CC99" s="34"/>
      <c r="CD99" s="34"/>
      <c r="CE99" s="43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/>
      <c r="C100" s="34"/>
      <c r="D100" s="34"/>
      <c r="E100" s="34"/>
      <c r="F100" s="34"/>
      <c r="G100" s="34"/>
      <c r="H100" s="34"/>
      <c r="I100" s="34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43"/>
      <c r="BX100" s="43"/>
      <c r="BY100" s="43"/>
      <c r="BZ100" s="43"/>
      <c r="CA100" s="34"/>
      <c r="CB100" s="34"/>
      <c r="CC100" s="34"/>
      <c r="CD100" s="34"/>
      <c r="CE100" s="43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/>
      <c r="C101" s="34"/>
      <c r="D101" s="34"/>
      <c r="E101" s="34"/>
      <c r="F101" s="34"/>
      <c r="G101" s="34"/>
      <c r="H101" s="34"/>
      <c r="I101" s="34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43"/>
      <c r="BX101" s="43"/>
      <c r="BY101" s="43"/>
      <c r="BZ101" s="43"/>
      <c r="CA101" s="34"/>
      <c r="CB101" s="34"/>
      <c r="CC101" s="34"/>
      <c r="CD101" s="34"/>
      <c r="CE101" s="43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/>
      <c r="C102" s="34"/>
      <c r="D102" s="34"/>
      <c r="E102" s="34"/>
      <c r="F102" s="34"/>
      <c r="G102" s="34"/>
      <c r="H102" s="34"/>
      <c r="I102" s="34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43"/>
      <c r="BX102" s="43"/>
      <c r="BY102" s="43"/>
      <c r="BZ102" s="43"/>
      <c r="CA102" s="34"/>
      <c r="CB102" s="34"/>
      <c r="CC102" s="34"/>
      <c r="CD102" s="34"/>
      <c r="CE102" s="43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/>
      <c r="C103" s="34"/>
      <c r="D103" s="34"/>
      <c r="E103" s="34"/>
      <c r="F103" s="34"/>
      <c r="G103" s="34"/>
      <c r="H103" s="34"/>
      <c r="I103" s="34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43"/>
      <c r="BX103" s="43"/>
      <c r="BY103" s="43"/>
      <c r="BZ103" s="43"/>
      <c r="CA103" s="34"/>
      <c r="CB103" s="34"/>
      <c r="CC103" s="34"/>
      <c r="CD103" s="34"/>
      <c r="CE103" s="43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/>
      <c r="C104" s="34"/>
      <c r="D104" s="34"/>
      <c r="E104" s="34"/>
      <c r="F104" s="34"/>
      <c r="G104" s="34"/>
      <c r="H104" s="34"/>
      <c r="I104" s="34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43"/>
      <c r="BX104" s="43"/>
      <c r="BY104" s="43"/>
      <c r="BZ104" s="43"/>
      <c r="CA104" s="34"/>
      <c r="CB104" s="34"/>
      <c r="CC104" s="34"/>
      <c r="CD104" s="34"/>
      <c r="CE104" s="43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/>
      <c r="C105" s="34"/>
      <c r="D105" s="34"/>
      <c r="E105" s="34"/>
      <c r="F105" s="34"/>
      <c r="G105" s="34"/>
      <c r="H105" s="34"/>
      <c r="I105" s="34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43"/>
      <c r="BX105" s="43"/>
      <c r="BY105" s="43"/>
      <c r="BZ105" s="43"/>
      <c r="CA105" s="34"/>
      <c r="CB105" s="34"/>
      <c r="CC105" s="34"/>
      <c r="CD105" s="34"/>
      <c r="CE105" s="43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/>
      <c r="C106" s="34"/>
      <c r="D106" s="34"/>
      <c r="E106" s="34"/>
      <c r="F106" s="34"/>
      <c r="G106" s="34"/>
      <c r="H106" s="34"/>
      <c r="I106" s="34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43"/>
      <c r="BX106" s="43"/>
      <c r="BY106" s="43"/>
      <c r="BZ106" s="43"/>
      <c r="CA106" s="34"/>
      <c r="CB106" s="34"/>
      <c r="CC106" s="34"/>
      <c r="CD106" s="34"/>
      <c r="CE106" s="43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/>
      <c r="C107" s="34"/>
      <c r="D107" s="34"/>
      <c r="E107" s="34"/>
      <c r="F107" s="34"/>
      <c r="G107" s="34"/>
      <c r="H107" s="34"/>
      <c r="I107" s="34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43"/>
      <c r="BX107" s="43"/>
      <c r="BY107" s="43"/>
      <c r="BZ107" s="43"/>
      <c r="CA107" s="34"/>
      <c r="CB107" s="34"/>
      <c r="CC107" s="34"/>
      <c r="CD107" s="34"/>
      <c r="CE107" s="43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/>
    <row r="171" spans="2:118" ht="18.75" customHeight="1"/>
    <row r="172" spans="2:118" ht="18.75" customHeight="1"/>
    <row r="173" spans="2:118" ht="18.75" customHeight="1"/>
    <row r="174" spans="2:118" ht="18.75" customHeight="1"/>
    <row r="175" spans="2:118" ht="18.75" customHeight="1"/>
    <row r="176" spans="2:118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5"/>
  <dataValidations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174</v>
      </c>
      <c r="F8" s="4" t="s">
        <v>174</v>
      </c>
      <c r="G8" s="4" t="s">
        <v>174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2" style="36" customWidth="1"/>
    <col min="4" max="4" width="44.875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633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634</v>
      </c>
      <c r="F4" s="3" t="s">
        <v>636</v>
      </c>
      <c r="G4" s="3" t="s">
        <v>209</v>
      </c>
      <c r="H4" s="3" t="s">
        <v>200</v>
      </c>
      <c r="I4" s="3" t="s">
        <v>639</v>
      </c>
      <c r="J4" s="3" t="s">
        <v>641</v>
      </c>
      <c r="K4" s="3" t="s">
        <v>644</v>
      </c>
      <c r="L4" s="3" t="s">
        <v>646</v>
      </c>
      <c r="M4" s="3" t="s">
        <v>647</v>
      </c>
      <c r="N4" s="3" t="s">
        <v>801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174</v>
      </c>
      <c r="G8" s="4" t="s">
        <v>174</v>
      </c>
      <c r="H8" s="4" t="s">
        <v>174</v>
      </c>
      <c r="I8" s="4" t="s">
        <v>629</v>
      </c>
      <c r="J8" s="4" t="s">
        <v>174</v>
      </c>
      <c r="K8" s="4" t="s">
        <v>174</v>
      </c>
      <c r="L8" s="4" t="s">
        <v>174</v>
      </c>
      <c r="M8" s="4" t="s">
        <v>174</v>
      </c>
      <c r="N8" s="4" t="s">
        <v>174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635</v>
      </c>
      <c r="F9" s="9" t="s">
        <v>637</v>
      </c>
      <c r="G9" s="9" t="s">
        <v>834</v>
      </c>
      <c r="H9" s="5" t="s">
        <v>638</v>
      </c>
      <c r="I9" s="6" t="s">
        <v>642</v>
      </c>
      <c r="J9" s="6" t="s">
        <v>643</v>
      </c>
      <c r="K9" s="6" t="s">
        <v>645</v>
      </c>
      <c r="L9" s="6" t="s">
        <v>649</v>
      </c>
      <c r="M9" s="6" t="s">
        <v>648</v>
      </c>
      <c r="N9" s="6" t="s">
        <v>802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767</v>
      </c>
      <c r="F10" s="6" t="s">
        <v>640</v>
      </c>
      <c r="G10" s="6" t="s">
        <v>798</v>
      </c>
      <c r="H10" s="6" t="s">
        <v>835</v>
      </c>
      <c r="I10" s="6"/>
      <c r="J10" s="6" t="s">
        <v>677</v>
      </c>
      <c r="K10" s="6"/>
      <c r="L10" s="6" t="s">
        <v>640</v>
      </c>
      <c r="M10" s="6" t="s">
        <v>650</v>
      </c>
      <c r="N10" s="6" t="s">
        <v>766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651</v>
      </c>
      <c r="D11" s="27" t="s">
        <v>652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653</v>
      </c>
      <c r="D12" s="27" t="s">
        <v>665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678</v>
      </c>
      <c r="D13" s="27" t="s">
        <v>679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654</v>
      </c>
      <c r="D14" s="27" t="s">
        <v>666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655</v>
      </c>
      <c r="D15" s="27" t="s">
        <v>667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656</v>
      </c>
      <c r="D16" s="27" t="s">
        <v>668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657</v>
      </c>
      <c r="D17" s="27" t="s">
        <v>669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658</v>
      </c>
      <c r="D18" s="27" t="s">
        <v>670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659</v>
      </c>
      <c r="D19" s="27" t="s">
        <v>671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660</v>
      </c>
      <c r="D20" s="27" t="s">
        <v>672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680</v>
      </c>
      <c r="D21" s="27" t="s">
        <v>681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661</v>
      </c>
      <c r="D22" s="27" t="s">
        <v>673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662</v>
      </c>
      <c r="D23" s="27" t="s">
        <v>674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663</v>
      </c>
      <c r="D24" s="27" t="s">
        <v>675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664</v>
      </c>
      <c r="D25" s="27" t="s">
        <v>676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788</v>
      </c>
      <c r="D26" s="27" t="s">
        <v>696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682</v>
      </c>
      <c r="D27" s="27" t="s">
        <v>697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683</v>
      </c>
      <c r="D28" s="27" t="s">
        <v>698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684</v>
      </c>
      <c r="D29" s="27" t="s">
        <v>699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685</v>
      </c>
      <c r="D30" s="27" t="s">
        <v>700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686</v>
      </c>
      <c r="D31" s="27" t="s">
        <v>701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687</v>
      </c>
      <c r="D32" s="27" t="s">
        <v>702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688</v>
      </c>
      <c r="D33" s="27" t="s">
        <v>703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689</v>
      </c>
      <c r="D34" s="27" t="s">
        <v>704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690</v>
      </c>
      <c r="D35" s="27" t="s">
        <v>705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691</v>
      </c>
      <c r="D36" s="27" t="s">
        <v>706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692</v>
      </c>
      <c r="D37" s="27" t="s">
        <v>707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693</v>
      </c>
      <c r="D38" s="27" t="s">
        <v>708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694</v>
      </c>
      <c r="D39" s="27" t="s">
        <v>709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695</v>
      </c>
      <c r="D40" s="27" t="s">
        <v>710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712</v>
      </c>
      <c r="D41" s="28" t="s">
        <v>719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711</v>
      </c>
      <c r="D42" s="28" t="s">
        <v>720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713</v>
      </c>
      <c r="D43" s="7" t="s">
        <v>721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714</v>
      </c>
      <c r="D44" s="7" t="s">
        <v>722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715</v>
      </c>
      <c r="D45" s="7" t="s">
        <v>723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716</v>
      </c>
      <c r="D46" s="7" t="s">
        <v>724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717</v>
      </c>
      <c r="D47" s="7" t="s">
        <v>725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718</v>
      </c>
      <c r="D48" s="7" t="s">
        <v>726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727</v>
      </c>
      <c r="D49" s="7" t="s">
        <v>728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730</v>
      </c>
      <c r="D50" s="7" t="s">
        <v>729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731</v>
      </c>
      <c r="D51" s="7" t="s">
        <v>768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732</v>
      </c>
      <c r="D52" s="7" t="s">
        <v>769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733</v>
      </c>
      <c r="D53" s="7" t="s">
        <v>770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734</v>
      </c>
      <c r="D54" s="7" t="s">
        <v>771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735</v>
      </c>
      <c r="D55" s="7" t="s">
        <v>772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736</v>
      </c>
      <c r="D56" s="7" t="s">
        <v>773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737</v>
      </c>
      <c r="D57" s="7" t="s">
        <v>774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789</v>
      </c>
      <c r="D58" s="7" t="s">
        <v>738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790</v>
      </c>
      <c r="D59" s="7" t="s">
        <v>739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740</v>
      </c>
      <c r="D60" s="7" t="s">
        <v>748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741</v>
      </c>
      <c r="D61" s="7" t="s">
        <v>749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742</v>
      </c>
      <c r="D62" s="7" t="s">
        <v>750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743</v>
      </c>
      <c r="D63" s="7" t="s">
        <v>751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744</v>
      </c>
      <c r="D64" s="7" t="s">
        <v>752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745</v>
      </c>
      <c r="D65" s="7" t="s">
        <v>753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746</v>
      </c>
      <c r="D66" s="7" t="s">
        <v>754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747</v>
      </c>
      <c r="D67" s="7" t="s">
        <v>755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756</v>
      </c>
      <c r="D68" s="7" t="s">
        <v>757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758</v>
      </c>
      <c r="D69" s="7" t="s">
        <v>762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759</v>
      </c>
      <c r="D70" s="7" t="s">
        <v>763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760</v>
      </c>
      <c r="D71" s="7" t="s">
        <v>764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761</v>
      </c>
      <c r="D72" s="7" t="s">
        <v>765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791</v>
      </c>
      <c r="D73" s="7" t="s">
        <v>795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792</v>
      </c>
      <c r="D74" s="7" t="s">
        <v>795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793</v>
      </c>
      <c r="D75" s="7" t="s">
        <v>795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794</v>
      </c>
      <c r="D76" s="7" t="s">
        <v>796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866</v>
      </c>
      <c r="D77" s="7" t="s">
        <v>865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867</v>
      </c>
      <c r="D78" s="7" t="s">
        <v>870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868</v>
      </c>
      <c r="D79" s="7" t="s">
        <v>871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869</v>
      </c>
      <c r="D80" s="7" t="s">
        <v>872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36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193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883</v>
      </c>
      <c r="G4" s="3" t="s">
        <v>214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3"/>
      <c r="E6" s="3"/>
      <c r="F6" s="3"/>
      <c r="G6" s="3" t="s">
        <v>197</v>
      </c>
      <c r="H6" s="3" t="s">
        <v>200</v>
      </c>
      <c r="I6" s="3" t="s">
        <v>859</v>
      </c>
      <c r="J6" s="3" t="s">
        <v>209</v>
      </c>
      <c r="K6" s="3" t="s">
        <v>620</v>
      </c>
      <c r="L6" s="3" t="s">
        <v>195</v>
      </c>
      <c r="M6" s="3" t="s">
        <v>196</v>
      </c>
      <c r="N6" s="3" t="s">
        <v>198</v>
      </c>
      <c r="O6" s="3" t="s">
        <v>622</v>
      </c>
      <c r="P6" s="3" t="s">
        <v>624</v>
      </c>
      <c r="Q6" s="3" t="s">
        <v>626</v>
      </c>
      <c r="R6" s="3" t="s">
        <v>218</v>
      </c>
      <c r="S6" s="3" t="s">
        <v>631</v>
      </c>
      <c r="T6" s="3" t="s">
        <v>199</v>
      </c>
      <c r="U6" s="3" t="s">
        <v>628</v>
      </c>
      <c r="V6" s="3" t="s">
        <v>197</v>
      </c>
      <c r="W6" s="3" t="s">
        <v>200</v>
      </c>
      <c r="X6" s="3" t="s">
        <v>209</v>
      </c>
      <c r="Y6" s="3" t="s">
        <v>620</v>
      </c>
      <c r="Z6" s="3" t="s">
        <v>195</v>
      </c>
      <c r="AA6" s="3" t="s">
        <v>196</v>
      </c>
      <c r="AB6" s="3" t="s">
        <v>198</v>
      </c>
      <c r="AC6" s="3" t="s">
        <v>622</v>
      </c>
      <c r="AD6" s="3" t="s">
        <v>624</v>
      </c>
      <c r="AE6" s="3" t="s">
        <v>626</v>
      </c>
      <c r="AF6" s="3" t="s">
        <v>218</v>
      </c>
      <c r="AG6" s="3" t="s">
        <v>631</v>
      </c>
      <c r="AH6" s="3" t="s">
        <v>199</v>
      </c>
      <c r="AI6" s="3" t="s">
        <v>628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174</v>
      </c>
      <c r="G8" s="4" t="s">
        <v>7</v>
      </c>
      <c r="H8" s="4" t="s">
        <v>20</v>
      </c>
      <c r="I8" s="4" t="s">
        <v>860</v>
      </c>
      <c r="J8" s="4" t="s">
        <v>174</v>
      </c>
      <c r="K8" s="4" t="s">
        <v>174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174</v>
      </c>
      <c r="Q8" s="4" t="s">
        <v>174</v>
      </c>
      <c r="R8" s="4" t="s">
        <v>174</v>
      </c>
      <c r="S8" s="4" t="s">
        <v>174</v>
      </c>
      <c r="T8" s="4" t="s">
        <v>7</v>
      </c>
      <c r="U8" s="4" t="s">
        <v>629</v>
      </c>
      <c r="V8" s="4" t="s">
        <v>7</v>
      </c>
      <c r="W8" s="4" t="s">
        <v>20</v>
      </c>
      <c r="X8" s="4" t="s">
        <v>174</v>
      </c>
      <c r="Y8" s="4" t="s">
        <v>174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174</v>
      </c>
      <c r="AE8" s="4" t="s">
        <v>174</v>
      </c>
      <c r="AF8" s="4" t="s">
        <v>174</v>
      </c>
      <c r="AG8" s="4" t="s">
        <v>174</v>
      </c>
      <c r="AH8" s="4" t="s">
        <v>7</v>
      </c>
      <c r="AI8" s="4" t="s">
        <v>629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1429</v>
      </c>
      <c r="C9" s="5" t="s">
        <v>201</v>
      </c>
      <c r="D9" s="6" t="s">
        <v>202</v>
      </c>
      <c r="E9" s="6" t="s">
        <v>210</v>
      </c>
      <c r="F9" s="6" t="s">
        <v>884</v>
      </c>
      <c r="G9" s="5" t="s">
        <v>206</v>
      </c>
      <c r="H9" s="6" t="s">
        <v>203</v>
      </c>
      <c r="I9" s="6" t="s">
        <v>861</v>
      </c>
      <c r="J9" s="6" t="s">
        <v>210</v>
      </c>
      <c r="K9" s="6" t="s">
        <v>621</v>
      </c>
      <c r="L9" s="6" t="s">
        <v>204</v>
      </c>
      <c r="M9" s="5" t="s">
        <v>205</v>
      </c>
      <c r="N9" s="6" t="s">
        <v>207</v>
      </c>
      <c r="O9" s="6" t="s">
        <v>623</v>
      </c>
      <c r="P9" s="6" t="s">
        <v>625</v>
      </c>
      <c r="Q9" s="6" t="s">
        <v>627</v>
      </c>
      <c r="R9" s="6" t="s">
        <v>219</v>
      </c>
      <c r="S9" s="6" t="s">
        <v>632</v>
      </c>
      <c r="T9" s="6" t="s">
        <v>208</v>
      </c>
      <c r="U9" s="6" t="s">
        <v>630</v>
      </c>
      <c r="V9" s="5" t="s">
        <v>206</v>
      </c>
      <c r="W9" s="6" t="s">
        <v>203</v>
      </c>
      <c r="X9" s="6" t="s">
        <v>210</v>
      </c>
      <c r="Y9" s="6" t="s">
        <v>621</v>
      </c>
      <c r="Z9" s="6" t="s">
        <v>204</v>
      </c>
      <c r="AA9" s="5" t="s">
        <v>205</v>
      </c>
      <c r="AB9" s="6" t="s">
        <v>207</v>
      </c>
      <c r="AC9" s="6" t="s">
        <v>623</v>
      </c>
      <c r="AD9" s="6" t="s">
        <v>625</v>
      </c>
      <c r="AE9" s="6" t="s">
        <v>627</v>
      </c>
      <c r="AF9" s="6" t="s">
        <v>219</v>
      </c>
      <c r="AG9" s="6" t="s">
        <v>632</v>
      </c>
      <c r="AH9" s="6" t="s">
        <v>208</v>
      </c>
      <c r="AI9" s="6" t="s">
        <v>630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5" t="s">
        <v>12</v>
      </c>
      <c r="B10" s="6" t="s">
        <v>1288</v>
      </c>
      <c r="C10" s="6"/>
      <c r="D10" s="6"/>
      <c r="E10" s="6" t="s">
        <v>798</v>
      </c>
      <c r="F10" s="6" t="s">
        <v>885</v>
      </c>
      <c r="G10" s="6" t="s">
        <v>766</v>
      </c>
      <c r="H10" s="6" t="s">
        <v>841</v>
      </c>
      <c r="I10" s="6"/>
      <c r="J10" s="6" t="s">
        <v>1278</v>
      </c>
      <c r="K10" s="6"/>
      <c r="L10" s="6" t="s">
        <v>886</v>
      </c>
      <c r="M10" s="6" t="s">
        <v>882</v>
      </c>
      <c r="N10" s="6"/>
      <c r="O10" s="6"/>
      <c r="P10" s="6" t="s">
        <v>882</v>
      </c>
      <c r="Q10" s="6"/>
      <c r="R10" s="5"/>
      <c r="S10" s="5"/>
      <c r="T10" s="6" t="s">
        <v>212</v>
      </c>
      <c r="U10" s="5"/>
      <c r="V10" s="6" t="s">
        <v>766</v>
      </c>
      <c r="W10" s="6" t="s">
        <v>841</v>
      </c>
      <c r="X10" s="6" t="s">
        <v>1278</v>
      </c>
      <c r="Y10" s="6"/>
      <c r="Z10" s="6" t="s">
        <v>797</v>
      </c>
      <c r="AA10" s="6" t="s">
        <v>882</v>
      </c>
      <c r="AB10" s="6"/>
      <c r="AC10" s="6"/>
      <c r="AD10" s="6" t="s">
        <v>882</v>
      </c>
      <c r="AE10" s="6"/>
      <c r="AF10" s="5"/>
      <c r="AG10" s="5"/>
      <c r="AH10" s="6" t="s">
        <v>212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349</v>
      </c>
      <c r="D11" s="6" t="s">
        <v>418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6"/>
      <c r="B12" s="5">
        <v>100010002</v>
      </c>
      <c r="C12" s="6" t="s">
        <v>1289</v>
      </c>
      <c r="D12" s="6" t="s">
        <v>418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6"/>
      <c r="B13" s="5">
        <v>100010003</v>
      </c>
      <c r="C13" s="6" t="s">
        <v>1290</v>
      </c>
      <c r="D13" s="6" t="s">
        <v>418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6"/>
      <c r="B14" s="7">
        <v>200010001</v>
      </c>
      <c r="C14" s="6" t="s">
        <v>350</v>
      </c>
      <c r="D14" s="10" t="s">
        <v>799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6"/>
      <c r="B15" s="7">
        <v>200010002</v>
      </c>
      <c r="C15" s="6" t="s">
        <v>1291</v>
      </c>
      <c r="D15" s="10" t="s">
        <v>799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6"/>
      <c r="B16" s="7">
        <v>200010003</v>
      </c>
      <c r="C16" s="6" t="s">
        <v>1292</v>
      </c>
      <c r="D16" s="10" t="s">
        <v>799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351</v>
      </c>
      <c r="D17" s="10" t="s">
        <v>419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1293</v>
      </c>
      <c r="D18" s="10" t="s">
        <v>419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1361</v>
      </c>
      <c r="D19" s="10" t="s">
        <v>419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352</v>
      </c>
      <c r="D20" s="10" t="s">
        <v>420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1294</v>
      </c>
      <c r="D21" s="10" t="s">
        <v>420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1362</v>
      </c>
      <c r="D22" s="10" t="s">
        <v>420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353</v>
      </c>
      <c r="D23" s="10" t="s">
        <v>800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1295</v>
      </c>
      <c r="D24" s="10" t="s">
        <v>800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1363</v>
      </c>
      <c r="D25" s="10" t="s">
        <v>800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354</v>
      </c>
      <c r="D26" s="10" t="s">
        <v>805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1296</v>
      </c>
      <c r="D27" s="10" t="s">
        <v>805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1364</v>
      </c>
      <c r="D28" s="10" t="s">
        <v>805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355</v>
      </c>
      <c r="D29" s="10" t="s">
        <v>806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1297</v>
      </c>
      <c r="D30" s="10" t="s">
        <v>806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1365</v>
      </c>
      <c r="D31" s="10" t="s">
        <v>806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356</v>
      </c>
      <c r="D32" s="6" t="s">
        <v>418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1298</v>
      </c>
      <c r="D33" s="6" t="s">
        <v>418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1366</v>
      </c>
      <c r="D34" s="6" t="s">
        <v>418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357</v>
      </c>
      <c r="D35" s="10" t="s">
        <v>826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1299</v>
      </c>
      <c r="D36" s="10" t="s">
        <v>826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1367</v>
      </c>
      <c r="D37" s="10" t="s">
        <v>826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358</v>
      </c>
      <c r="D38" s="10" t="s">
        <v>419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1300</v>
      </c>
      <c r="D39" s="10" t="s">
        <v>419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1368</v>
      </c>
      <c r="D40" s="10" t="s">
        <v>419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359</v>
      </c>
      <c r="D41" s="10" t="s">
        <v>420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1301</v>
      </c>
      <c r="D42" s="10" t="s">
        <v>420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1369</v>
      </c>
      <c r="D43" s="10" t="s">
        <v>420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360</v>
      </c>
      <c r="D44" s="10" t="s">
        <v>422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1302</v>
      </c>
      <c r="D45" s="10" t="s">
        <v>422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1370</v>
      </c>
      <c r="D46" s="10" t="s">
        <v>422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361</v>
      </c>
      <c r="D47" s="10" t="s">
        <v>421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1303</v>
      </c>
      <c r="D48" s="10" t="s">
        <v>421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1371</v>
      </c>
      <c r="D49" s="10" t="s">
        <v>421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362</v>
      </c>
      <c r="D50" s="10" t="s">
        <v>807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1304</v>
      </c>
      <c r="D51" s="10" t="s">
        <v>807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1372</v>
      </c>
      <c r="D52" s="10" t="s">
        <v>807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363</v>
      </c>
      <c r="D53" s="10" t="s">
        <v>423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1305</v>
      </c>
      <c r="D54" s="10" t="s">
        <v>423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1373</v>
      </c>
      <c r="D55" s="10" t="s">
        <v>423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46" ht="18.75" customHeight="1">
      <c r="B56" s="5">
        <v>1600010001</v>
      </c>
      <c r="C56" s="7" t="s">
        <v>364</v>
      </c>
      <c r="D56" s="10" t="s">
        <v>808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46" ht="18.75" customHeight="1">
      <c r="B57" s="5">
        <v>1600010002</v>
      </c>
      <c r="C57" s="7" t="s">
        <v>1306</v>
      </c>
      <c r="D57" s="10" t="s">
        <v>808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46" ht="18.75" customHeight="1">
      <c r="B58" s="5">
        <v>1600010003</v>
      </c>
      <c r="C58" s="7" t="s">
        <v>1374</v>
      </c>
      <c r="D58" s="10" t="s">
        <v>808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46" ht="18.75" customHeight="1">
      <c r="B59" s="7">
        <v>1700010001</v>
      </c>
      <c r="C59" s="7" t="s">
        <v>365</v>
      </c>
      <c r="D59" s="10" t="s">
        <v>424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46" ht="18.75" customHeight="1">
      <c r="B60" s="5">
        <v>1700010002</v>
      </c>
      <c r="C60" s="7" t="s">
        <v>1307</v>
      </c>
      <c r="D60" s="10" t="s">
        <v>424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46" ht="18.75" customHeight="1">
      <c r="B61" s="5">
        <v>1700010003</v>
      </c>
      <c r="C61" s="7" t="s">
        <v>1375</v>
      </c>
      <c r="D61" s="10" t="s">
        <v>424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46" ht="18.75" customHeight="1">
      <c r="B62" s="5">
        <v>1800010001</v>
      </c>
      <c r="C62" s="7" t="s">
        <v>366</v>
      </c>
      <c r="D62" s="10" t="s">
        <v>425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46" ht="18.75" customHeight="1">
      <c r="B63" s="5">
        <v>1800010002</v>
      </c>
      <c r="C63" s="7" t="s">
        <v>1308</v>
      </c>
      <c r="D63" s="10" t="s">
        <v>425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46" ht="18.75" customHeight="1">
      <c r="B64" s="5">
        <v>1800010003</v>
      </c>
      <c r="C64" s="7" t="s">
        <v>1376</v>
      </c>
      <c r="D64" s="10" t="s">
        <v>425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8.75" customHeight="1">
      <c r="A65" s="54"/>
      <c r="B65" s="5">
        <v>1900010001</v>
      </c>
      <c r="C65" s="7" t="s">
        <v>838</v>
      </c>
      <c r="D65" s="10" t="s">
        <v>836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8.75" customHeight="1">
      <c r="B66" s="5">
        <v>1900010002</v>
      </c>
      <c r="C66" s="7" t="s">
        <v>1309</v>
      </c>
      <c r="D66" s="10" t="s">
        <v>836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8.75" customHeight="1">
      <c r="B67" s="5">
        <v>1900010003</v>
      </c>
      <c r="C67" s="7" t="s">
        <v>1377</v>
      </c>
      <c r="D67" s="10" t="s">
        <v>836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8.75" customHeight="1">
      <c r="B68" s="7">
        <v>2000010001</v>
      </c>
      <c r="C68" s="7" t="s">
        <v>367</v>
      </c>
      <c r="D68" s="10" t="s">
        <v>837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8.75" customHeight="1">
      <c r="B69" s="5">
        <v>2000010002</v>
      </c>
      <c r="C69" s="7" t="s">
        <v>1310</v>
      </c>
      <c r="D69" s="10" t="s">
        <v>837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8.75" customHeight="1">
      <c r="B70" s="5">
        <v>2000010003</v>
      </c>
      <c r="C70" s="7" t="s">
        <v>1378</v>
      </c>
      <c r="D70" s="10" t="s">
        <v>837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8.75" customHeight="1">
      <c r="B71" s="5">
        <v>2100010001</v>
      </c>
      <c r="C71" s="7" t="s">
        <v>368</v>
      </c>
      <c r="D71" s="10" t="s">
        <v>839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8.75" customHeight="1">
      <c r="B72" s="5">
        <v>2100010002</v>
      </c>
      <c r="C72" s="7" t="s">
        <v>1311</v>
      </c>
      <c r="D72" s="10" t="s">
        <v>839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8.75" customHeight="1">
      <c r="B73" s="5">
        <v>2100010003</v>
      </c>
      <c r="C73" s="7" t="s">
        <v>1379</v>
      </c>
      <c r="D73" s="10" t="s">
        <v>839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8.75" customHeight="1">
      <c r="B74" s="5">
        <v>2200010001</v>
      </c>
      <c r="C74" s="7" t="s">
        <v>369</v>
      </c>
      <c r="D74" s="10" t="s">
        <v>840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8.75" customHeight="1">
      <c r="B75" s="5">
        <v>2200010002</v>
      </c>
      <c r="C75" s="7" t="s">
        <v>1312</v>
      </c>
      <c r="D75" s="10" t="s">
        <v>840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8.75" customHeight="1">
      <c r="B76" s="5">
        <v>2200010003</v>
      </c>
      <c r="C76" s="7" t="s">
        <v>1380</v>
      </c>
      <c r="D76" s="10" t="s">
        <v>840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8.75" customHeight="1">
      <c r="B77" s="7">
        <v>2300010001</v>
      </c>
      <c r="C77" s="7" t="s">
        <v>370</v>
      </c>
      <c r="D77" s="10" t="s">
        <v>419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8.75" customHeight="1">
      <c r="B78" s="5">
        <v>2300010002</v>
      </c>
      <c r="C78" s="7" t="s">
        <v>1313</v>
      </c>
      <c r="D78" s="10" t="s">
        <v>419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8.75" customHeight="1">
      <c r="B79" s="5">
        <v>2300010003</v>
      </c>
      <c r="C79" s="7" t="s">
        <v>1381</v>
      </c>
      <c r="D79" s="10" t="s">
        <v>419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8.75" customHeight="1">
      <c r="B80" s="5">
        <v>2400010001</v>
      </c>
      <c r="C80" s="7" t="s">
        <v>371</v>
      </c>
      <c r="D80" s="10" t="s">
        <v>426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46" ht="18.75" customHeight="1">
      <c r="B81" s="5">
        <v>2400010002</v>
      </c>
      <c r="C81" s="7" t="s">
        <v>1314</v>
      </c>
      <c r="D81" s="10" t="s">
        <v>426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46" ht="18.75" customHeight="1">
      <c r="B82" s="5">
        <v>2400010003</v>
      </c>
      <c r="C82" s="7" t="s">
        <v>1382</v>
      </c>
      <c r="D82" s="10" t="s">
        <v>426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46" ht="18.75" customHeight="1">
      <c r="B83" s="5">
        <v>2500010001</v>
      </c>
      <c r="C83" s="7" t="s">
        <v>372</v>
      </c>
      <c r="D83" s="10" t="s">
        <v>427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46" ht="18.75" customHeight="1">
      <c r="B84" s="5">
        <v>2500010002</v>
      </c>
      <c r="C84" s="7" t="s">
        <v>1315</v>
      </c>
      <c r="D84" s="10" t="s">
        <v>427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46" ht="18.75" customHeight="1">
      <c r="A85" s="8"/>
      <c r="B85" s="5">
        <v>2500010003</v>
      </c>
      <c r="C85" s="7" t="s">
        <v>1383</v>
      </c>
      <c r="D85" s="10" t="s">
        <v>427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373</v>
      </c>
      <c r="D86" s="10" t="s">
        <v>428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1316</v>
      </c>
      <c r="D87" s="10" t="s">
        <v>428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1384</v>
      </c>
      <c r="D88" s="10" t="s">
        <v>428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374</v>
      </c>
      <c r="D89" s="10" t="s">
        <v>809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1317</v>
      </c>
      <c r="D90" s="10" t="s">
        <v>809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1385</v>
      </c>
      <c r="D91" s="10" t="s">
        <v>809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375</v>
      </c>
      <c r="D92" s="10" t="s">
        <v>810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1318</v>
      </c>
      <c r="D93" s="10" t="s">
        <v>810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1386</v>
      </c>
      <c r="D94" s="10" t="s">
        <v>810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376</v>
      </c>
      <c r="D95" s="10" t="s">
        <v>429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1319</v>
      </c>
      <c r="D96" s="10" t="s">
        <v>429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1387</v>
      </c>
      <c r="D97" s="10" t="s">
        <v>429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377</v>
      </c>
      <c r="D98" s="10" t="s">
        <v>811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1320</v>
      </c>
      <c r="D99" s="10" t="s">
        <v>811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1388</v>
      </c>
      <c r="D100" s="10" t="s">
        <v>811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378</v>
      </c>
      <c r="D101" s="10" t="s">
        <v>812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1321</v>
      </c>
      <c r="D102" s="10" t="s">
        <v>812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1389</v>
      </c>
      <c r="D103" s="10" t="s">
        <v>812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379</v>
      </c>
      <c r="D104" s="10" t="s">
        <v>862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1322</v>
      </c>
      <c r="D105" s="10" t="s">
        <v>862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1390</v>
      </c>
      <c r="D106" s="10" t="s">
        <v>862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380</v>
      </c>
      <c r="D107" s="10" t="s">
        <v>863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1323</v>
      </c>
      <c r="D108" s="10" t="s">
        <v>863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1391</v>
      </c>
      <c r="D109" s="10" t="s">
        <v>863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381</v>
      </c>
      <c r="D110" s="10" t="s">
        <v>873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1324</v>
      </c>
      <c r="D111" s="10" t="s">
        <v>873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1392</v>
      </c>
      <c r="D112" s="10" t="s">
        <v>873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382</v>
      </c>
      <c r="D113" s="10" t="s">
        <v>813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1325</v>
      </c>
      <c r="D114" s="10" t="s">
        <v>813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1393</v>
      </c>
      <c r="D115" s="10" t="s">
        <v>813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383</v>
      </c>
      <c r="D116" s="10" t="s">
        <v>864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1326</v>
      </c>
      <c r="D117" s="10" t="s">
        <v>864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1394</v>
      </c>
      <c r="D118" s="10" t="s">
        <v>864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384</v>
      </c>
      <c r="D119" s="10" t="s">
        <v>520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1327</v>
      </c>
      <c r="D120" s="10" t="s">
        <v>520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1395</v>
      </c>
      <c r="D121" s="10" t="s">
        <v>520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385</v>
      </c>
      <c r="D122" s="10" t="s">
        <v>814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1328</v>
      </c>
      <c r="D123" s="10" t="s">
        <v>814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46" ht="18.75" customHeight="1">
      <c r="B124" s="5">
        <v>3800010003</v>
      </c>
      <c r="C124" s="7" t="s">
        <v>1396</v>
      </c>
      <c r="D124" s="10" t="s">
        <v>814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46" ht="18.75" customHeight="1">
      <c r="B125" s="5">
        <v>3900010001</v>
      </c>
      <c r="C125" s="7" t="s">
        <v>386</v>
      </c>
      <c r="D125" s="10" t="s">
        <v>587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29">
        <v>3</v>
      </c>
      <c r="W125" s="29">
        <v>6</v>
      </c>
      <c r="X125" s="29">
        <v>2</v>
      </c>
      <c r="Y125" s="29">
        <v>100</v>
      </c>
      <c r="Z125" s="29">
        <v>3</v>
      </c>
      <c r="AA125" s="29">
        <v>0</v>
      </c>
      <c r="AB125" s="29">
        <v>15</v>
      </c>
      <c r="AC125" s="29" t="b">
        <v>0</v>
      </c>
      <c r="AD125" s="29">
        <v>0</v>
      </c>
      <c r="AE125" s="29">
        <v>0</v>
      </c>
      <c r="AF125" s="29">
        <v>3</v>
      </c>
      <c r="AG125" s="29">
        <v>17</v>
      </c>
      <c r="AH125" s="29">
        <v>3</v>
      </c>
      <c r="AI125" s="29" t="b">
        <v>1</v>
      </c>
    </row>
    <row r="126" spans="1:46" ht="18.75" customHeight="1">
      <c r="B126" s="5">
        <v>3900010002</v>
      </c>
      <c r="C126" s="7" t="s">
        <v>1329</v>
      </c>
      <c r="D126" s="10" t="s">
        <v>587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29">
        <v>3</v>
      </c>
      <c r="W126" s="29">
        <v>6</v>
      </c>
      <c r="X126" s="29">
        <v>2</v>
      </c>
      <c r="Y126" s="29">
        <v>100</v>
      </c>
      <c r="Z126" s="29">
        <v>3</v>
      </c>
      <c r="AA126" s="29">
        <v>0</v>
      </c>
      <c r="AB126" s="29">
        <v>15</v>
      </c>
      <c r="AC126" s="29" t="b">
        <v>0</v>
      </c>
      <c r="AD126" s="29">
        <v>0</v>
      </c>
      <c r="AE126" s="29">
        <v>0</v>
      </c>
      <c r="AF126" s="29">
        <v>3</v>
      </c>
      <c r="AG126" s="29">
        <v>17</v>
      </c>
      <c r="AH126" s="29">
        <v>3</v>
      </c>
      <c r="AI126" s="29" t="b">
        <v>1</v>
      </c>
    </row>
    <row r="127" spans="1:46" ht="18.75" customHeight="1">
      <c r="B127" s="5">
        <v>3900010003</v>
      </c>
      <c r="C127" s="7" t="s">
        <v>1397</v>
      </c>
      <c r="D127" s="10" t="s">
        <v>587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29">
        <v>3</v>
      </c>
      <c r="W127" s="29">
        <v>6</v>
      </c>
      <c r="X127" s="29">
        <v>2</v>
      </c>
      <c r="Y127" s="29">
        <v>100</v>
      </c>
      <c r="Z127" s="29">
        <v>3</v>
      </c>
      <c r="AA127" s="29">
        <v>0</v>
      </c>
      <c r="AB127" s="29">
        <v>15</v>
      </c>
      <c r="AC127" s="29" t="b">
        <v>0</v>
      </c>
      <c r="AD127" s="29">
        <v>0</v>
      </c>
      <c r="AE127" s="29">
        <v>0</v>
      </c>
      <c r="AF127" s="29">
        <v>3</v>
      </c>
      <c r="AG127" s="29">
        <v>17</v>
      </c>
      <c r="AH127" s="29">
        <v>3</v>
      </c>
      <c r="AI127" s="29" t="b">
        <v>1</v>
      </c>
    </row>
    <row r="128" spans="1:46" ht="18.75" customHeight="1">
      <c r="B128" s="5">
        <v>4000010001</v>
      </c>
      <c r="C128" s="7" t="s">
        <v>387</v>
      </c>
      <c r="D128" s="10" t="s">
        <v>815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29">
        <v>2</v>
      </c>
      <c r="W128" s="29">
        <v>6</v>
      </c>
      <c r="X128" s="29">
        <v>5</v>
      </c>
      <c r="Y128" s="29">
        <v>100</v>
      </c>
      <c r="Z128" s="29">
        <v>1</v>
      </c>
      <c r="AA128" s="29">
        <v>4</v>
      </c>
      <c r="AB128" s="29">
        <v>100</v>
      </c>
      <c r="AC128" s="29" t="b">
        <v>0</v>
      </c>
      <c r="AD128" s="29">
        <v>0</v>
      </c>
      <c r="AE128" s="29">
        <v>0</v>
      </c>
      <c r="AF128" s="29">
        <v>2</v>
      </c>
      <c r="AG128" s="29">
        <v>0</v>
      </c>
      <c r="AH128" s="29">
        <v>0</v>
      </c>
      <c r="AI128" s="29" t="b">
        <v>1</v>
      </c>
    </row>
    <row r="129" spans="1:35" ht="18.75" customHeight="1">
      <c r="B129" s="5">
        <v>4000010002</v>
      </c>
      <c r="C129" s="7" t="s">
        <v>1330</v>
      </c>
      <c r="D129" s="10" t="s">
        <v>815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29">
        <v>2</v>
      </c>
      <c r="W129" s="29">
        <v>6</v>
      </c>
      <c r="X129" s="29">
        <v>5</v>
      </c>
      <c r="Y129" s="29">
        <v>100</v>
      </c>
      <c r="Z129" s="29">
        <v>1</v>
      </c>
      <c r="AA129" s="29">
        <v>4</v>
      </c>
      <c r="AB129" s="29">
        <v>100</v>
      </c>
      <c r="AC129" s="29" t="b">
        <v>0</v>
      </c>
      <c r="AD129" s="29">
        <v>0</v>
      </c>
      <c r="AE129" s="29">
        <v>0</v>
      </c>
      <c r="AF129" s="29">
        <v>2</v>
      </c>
      <c r="AG129" s="29">
        <v>0</v>
      </c>
      <c r="AH129" s="29">
        <v>0</v>
      </c>
      <c r="AI129" s="29" t="b">
        <v>1</v>
      </c>
    </row>
    <row r="130" spans="1:35" ht="18.75" customHeight="1">
      <c r="B130" s="5">
        <v>4000010003</v>
      </c>
      <c r="C130" s="7" t="s">
        <v>1398</v>
      </c>
      <c r="D130" s="10" t="s">
        <v>815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29">
        <v>2</v>
      </c>
      <c r="W130" s="29">
        <v>6</v>
      </c>
      <c r="X130" s="29">
        <v>5</v>
      </c>
      <c r="Y130" s="29">
        <v>100</v>
      </c>
      <c r="Z130" s="29">
        <v>1</v>
      </c>
      <c r="AA130" s="29">
        <v>4</v>
      </c>
      <c r="AB130" s="29">
        <v>100</v>
      </c>
      <c r="AC130" s="29" t="b">
        <v>0</v>
      </c>
      <c r="AD130" s="29">
        <v>0</v>
      </c>
      <c r="AE130" s="29">
        <v>0</v>
      </c>
      <c r="AF130" s="29">
        <v>2</v>
      </c>
      <c r="AG130" s="29">
        <v>0</v>
      </c>
      <c r="AH130" s="29">
        <v>0</v>
      </c>
      <c r="AI130" s="29" t="b">
        <v>1</v>
      </c>
    </row>
    <row r="131" spans="1:35" ht="18.75" customHeight="1">
      <c r="B131" s="7">
        <v>4100010001</v>
      </c>
      <c r="C131" s="7" t="s">
        <v>388</v>
      </c>
      <c r="D131" s="10" t="s">
        <v>590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1331</v>
      </c>
      <c r="D132" s="10" t="s">
        <v>590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4"/>
      <c r="B133" s="5">
        <v>4100010003</v>
      </c>
      <c r="C133" s="7" t="s">
        <v>1399</v>
      </c>
      <c r="D133" s="10" t="s">
        <v>590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4"/>
      <c r="B134" s="5">
        <v>4200010001</v>
      </c>
      <c r="C134" s="7" t="s">
        <v>389</v>
      </c>
      <c r="D134" s="10" t="s">
        <v>591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4"/>
      <c r="B135" s="5">
        <v>4200010002</v>
      </c>
      <c r="C135" s="7" t="s">
        <v>1332</v>
      </c>
      <c r="D135" s="10" t="s">
        <v>591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4"/>
      <c r="B136" s="5">
        <v>4200010003</v>
      </c>
      <c r="C136" s="7" t="s">
        <v>1400</v>
      </c>
      <c r="D136" s="10" t="s">
        <v>591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4"/>
      <c r="B137" s="5">
        <v>4300010001</v>
      </c>
      <c r="C137" s="7" t="s">
        <v>390</v>
      </c>
      <c r="D137" s="10" t="s">
        <v>592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4"/>
      <c r="B138" s="5">
        <v>4300010002</v>
      </c>
      <c r="C138" s="7" t="s">
        <v>1333</v>
      </c>
      <c r="D138" s="10" t="s">
        <v>592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4"/>
      <c r="B139" s="5">
        <v>4300010003</v>
      </c>
      <c r="C139" s="7" t="s">
        <v>1401</v>
      </c>
      <c r="D139" s="10" t="s">
        <v>592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4"/>
      <c r="B140" s="7">
        <v>4400010001</v>
      </c>
      <c r="C140" s="7" t="s">
        <v>391</v>
      </c>
      <c r="D140" s="10" t="s">
        <v>593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4"/>
      <c r="B141" s="5">
        <v>4400010002</v>
      </c>
      <c r="C141" s="7" t="s">
        <v>1334</v>
      </c>
      <c r="D141" s="10" t="s">
        <v>593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4"/>
      <c r="B142" s="5">
        <v>4400010003</v>
      </c>
      <c r="C142" s="7" t="s">
        <v>1402</v>
      </c>
      <c r="D142" s="10" t="s">
        <v>593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4"/>
      <c r="B143" s="5">
        <v>4500010001</v>
      </c>
      <c r="C143" s="7" t="s">
        <v>392</v>
      </c>
      <c r="D143" s="10" t="s">
        <v>594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4"/>
      <c r="B144" s="5">
        <v>4500010002</v>
      </c>
      <c r="C144" s="7" t="s">
        <v>1335</v>
      </c>
      <c r="D144" s="10" t="s">
        <v>594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4"/>
      <c r="B145" s="5">
        <v>4500010003</v>
      </c>
      <c r="C145" s="7" t="s">
        <v>1403</v>
      </c>
      <c r="D145" s="10" t="s">
        <v>594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393</v>
      </c>
      <c r="D146" s="10" t="s">
        <v>595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1336</v>
      </c>
      <c r="D147" s="10" t="s">
        <v>595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1404</v>
      </c>
      <c r="D148" s="10" t="s">
        <v>595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394</v>
      </c>
      <c r="D149" s="10" t="s">
        <v>596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1337</v>
      </c>
      <c r="D150" s="10" t="s">
        <v>596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1405</v>
      </c>
      <c r="D151" s="10" t="s">
        <v>596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395</v>
      </c>
      <c r="D152" s="10" t="s">
        <v>597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1338</v>
      </c>
      <c r="D153" s="10" t="s">
        <v>597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1406</v>
      </c>
      <c r="D154" s="10" t="s">
        <v>597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396</v>
      </c>
      <c r="D155" s="10" t="s">
        <v>598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1339</v>
      </c>
      <c r="D156" s="10" t="s">
        <v>598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1407</v>
      </c>
      <c r="D157" s="10" t="s">
        <v>598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397</v>
      </c>
      <c r="D158" s="10" t="s">
        <v>599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1340</v>
      </c>
      <c r="D159" s="10" t="s">
        <v>599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1408</v>
      </c>
      <c r="D160" s="10" t="s">
        <v>599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398</v>
      </c>
      <c r="D161" s="10" t="s">
        <v>600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1341</v>
      </c>
      <c r="D162" s="10" t="s">
        <v>600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1409</v>
      </c>
      <c r="D163" s="10" t="s">
        <v>600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399</v>
      </c>
      <c r="D164" s="10" t="s">
        <v>601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1342</v>
      </c>
      <c r="D165" s="10" t="s">
        <v>601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1410</v>
      </c>
      <c r="D166" s="10" t="s">
        <v>601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400</v>
      </c>
      <c r="D167" s="10" t="s">
        <v>602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1343</v>
      </c>
      <c r="D168" s="10" t="s">
        <v>602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1411</v>
      </c>
      <c r="D169" s="10" t="s">
        <v>602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401</v>
      </c>
      <c r="D170" s="10" t="s">
        <v>603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1344</v>
      </c>
      <c r="D171" s="10" t="s">
        <v>603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1412</v>
      </c>
      <c r="D172" s="10" t="s">
        <v>603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402</v>
      </c>
      <c r="D173" s="10" t="s">
        <v>604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1345</v>
      </c>
      <c r="D174" s="10" t="s">
        <v>604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1413</v>
      </c>
      <c r="D175" s="10" t="s">
        <v>604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403</v>
      </c>
      <c r="D176" s="10" t="s">
        <v>605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1346</v>
      </c>
      <c r="D177" s="10" t="s">
        <v>605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1414</v>
      </c>
      <c r="D178" s="10" t="s">
        <v>605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404</v>
      </c>
      <c r="D179" s="10" t="s">
        <v>606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1347</v>
      </c>
      <c r="D180" s="10" t="s">
        <v>606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1415</v>
      </c>
      <c r="D181" s="10" t="s">
        <v>606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405</v>
      </c>
      <c r="D182" s="10" t="s">
        <v>607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1348</v>
      </c>
      <c r="D183" s="10" t="s">
        <v>607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1416</v>
      </c>
      <c r="D184" s="10" t="s">
        <v>607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406</v>
      </c>
      <c r="D185" s="10" t="s">
        <v>608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1349</v>
      </c>
      <c r="D186" s="10" t="s">
        <v>608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1417</v>
      </c>
      <c r="D187" s="10" t="s">
        <v>608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407</v>
      </c>
      <c r="D188" s="10" t="s">
        <v>609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1350</v>
      </c>
      <c r="D189" s="10" t="s">
        <v>609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1418</v>
      </c>
      <c r="D190" s="10" t="s">
        <v>609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408</v>
      </c>
      <c r="D191" s="10" t="s">
        <v>610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1351</v>
      </c>
      <c r="D192" s="10" t="s">
        <v>610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</row>
    <row r="193" spans="1:35" ht="18.75" customHeight="1">
      <c r="B193" s="5">
        <v>6100010003</v>
      </c>
      <c r="C193" s="7" t="s">
        <v>1419</v>
      </c>
      <c r="D193" s="10" t="s">
        <v>610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</row>
    <row r="194" spans="1:35" ht="18.75" customHeight="1">
      <c r="B194" s="7">
        <v>6200010001</v>
      </c>
      <c r="C194" s="7" t="s">
        <v>409</v>
      </c>
      <c r="D194" s="10" t="s">
        <v>611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1352</v>
      </c>
      <c r="D195" s="10" t="s">
        <v>611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</row>
    <row r="196" spans="1:35" ht="18.75" customHeight="1">
      <c r="B196" s="5">
        <v>6200010003</v>
      </c>
      <c r="C196" s="7" t="s">
        <v>1420</v>
      </c>
      <c r="D196" s="10" t="s">
        <v>611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</row>
    <row r="197" spans="1:35" ht="18.75" customHeight="1">
      <c r="B197" s="5">
        <v>6300010001</v>
      </c>
      <c r="C197" s="7" t="s">
        <v>410</v>
      </c>
      <c r="D197" s="10" t="s">
        <v>612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1353</v>
      </c>
      <c r="D198" s="10" t="s">
        <v>612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</row>
    <row r="199" spans="1:35" ht="18.75" customHeight="1">
      <c r="B199" s="5">
        <v>6300010003</v>
      </c>
      <c r="C199" s="7" t="s">
        <v>1421</v>
      </c>
      <c r="D199" s="10" t="s">
        <v>612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411</v>
      </c>
      <c r="D200" s="10" t="s">
        <v>613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4"/>
      <c r="B201" s="5">
        <v>6400010002</v>
      </c>
      <c r="C201" s="7" t="s">
        <v>1354</v>
      </c>
      <c r="D201" s="10" t="s">
        <v>613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4"/>
      <c r="B202" s="5">
        <v>6400010003</v>
      </c>
      <c r="C202" s="7" t="s">
        <v>1422</v>
      </c>
      <c r="D202" s="10" t="s">
        <v>613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4"/>
      <c r="B203" s="7">
        <v>6500010001</v>
      </c>
      <c r="C203" s="7" t="s">
        <v>412</v>
      </c>
      <c r="D203" s="10" t="s">
        <v>614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4"/>
      <c r="B204" s="5">
        <v>6500010002</v>
      </c>
      <c r="C204" s="7" t="s">
        <v>1355</v>
      </c>
      <c r="D204" s="10" t="s">
        <v>614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4"/>
      <c r="B205" s="5">
        <v>6500010003</v>
      </c>
      <c r="C205" s="7" t="s">
        <v>1423</v>
      </c>
      <c r="D205" s="10" t="s">
        <v>614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4"/>
      <c r="B206" s="5">
        <v>6600010001</v>
      </c>
      <c r="C206" s="7" t="s">
        <v>413</v>
      </c>
      <c r="D206" s="10" t="s">
        <v>615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4"/>
      <c r="B207" s="5">
        <v>6600010002</v>
      </c>
      <c r="C207" s="7" t="s">
        <v>1356</v>
      </c>
      <c r="D207" s="10" t="s">
        <v>615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4"/>
      <c r="B208" s="5">
        <v>6600010003</v>
      </c>
      <c r="C208" s="7" t="s">
        <v>1424</v>
      </c>
      <c r="D208" s="10" t="s">
        <v>615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4"/>
      <c r="B209" s="5">
        <v>6700010001</v>
      </c>
      <c r="C209" s="7" t="s">
        <v>414</v>
      </c>
      <c r="D209" s="10" t="s">
        <v>616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4"/>
      <c r="B210" s="5">
        <v>6700010002</v>
      </c>
      <c r="C210" s="7" t="s">
        <v>1357</v>
      </c>
      <c r="D210" s="10" t="s">
        <v>616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4"/>
      <c r="B211" s="5">
        <v>6700010003</v>
      </c>
      <c r="C211" s="7" t="s">
        <v>1425</v>
      </c>
      <c r="D211" s="10" t="s">
        <v>616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4"/>
      <c r="B212" s="7">
        <v>6800010001</v>
      </c>
      <c r="C212" s="7" t="s">
        <v>415</v>
      </c>
      <c r="D212" s="10" t="s">
        <v>617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1358</v>
      </c>
      <c r="D213" s="10" t="s">
        <v>617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1426</v>
      </c>
      <c r="D214" s="10" t="s">
        <v>617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416</v>
      </c>
      <c r="D215" s="10" t="s">
        <v>618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1359</v>
      </c>
      <c r="D216" s="10" t="s">
        <v>618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1427</v>
      </c>
      <c r="D217" s="10" t="s">
        <v>618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417</v>
      </c>
      <c r="D218" s="10" t="s">
        <v>619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1360</v>
      </c>
      <c r="D219" s="10" t="s">
        <v>619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1428</v>
      </c>
      <c r="D220" s="10" t="s">
        <v>619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68" priority="13">
      <formula>CELL("ROW")=ROW()</formula>
    </cfRule>
  </conditionalFormatting>
  <conditionalFormatting sqref="E11:U29 E85:U97 F17:F220 I17:I220 E153:U165">
    <cfRule type="expression" dxfId="67" priority="12">
      <formula>CELL("ROW")=ROW()</formula>
    </cfRule>
  </conditionalFormatting>
  <conditionalFormatting sqref="A2:U9 A10:G10 V5:AI9 J10:K10 N10:O10 Q10:V10 AB10:AC10 AE10:AI10 X10:Z10 A11:U220">
    <cfRule type="expression" dxfId="66" priority="11">
      <formula>CELL("ROW")=ROW()</formula>
    </cfRule>
  </conditionalFormatting>
  <conditionalFormatting sqref="I10">
    <cfRule type="expression" dxfId="65" priority="10">
      <formula>CELL("ROW")=ROW()</formula>
    </cfRule>
  </conditionalFormatting>
  <conditionalFormatting sqref="W10">
    <cfRule type="expression" dxfId="64" priority="9">
      <formula>CELL("ROW")=ROW()</formula>
    </cfRule>
  </conditionalFormatting>
  <conditionalFormatting sqref="L10">
    <cfRule type="expression" dxfId="63" priority="8">
      <formula>CELL("ROW")=ROW()</formula>
    </cfRule>
  </conditionalFormatting>
  <conditionalFormatting sqref="M10">
    <cfRule type="expression" dxfId="62" priority="7">
      <formula>CELL("ROW")=ROW()</formula>
    </cfRule>
  </conditionalFormatting>
  <conditionalFormatting sqref="P10">
    <cfRule type="expression" dxfId="61" priority="6">
      <formula>CELL("ROW")=ROW()</formula>
    </cfRule>
  </conditionalFormatting>
  <conditionalFormatting sqref="AA10">
    <cfRule type="expression" dxfId="60" priority="5">
      <formula>CELL("ROW")=ROW()</formula>
    </cfRule>
  </conditionalFormatting>
  <conditionalFormatting sqref="AD10">
    <cfRule type="expression" dxfId="59" priority="4">
      <formula>CELL("ROW")=ROW()</formula>
    </cfRule>
  </conditionalFormatting>
  <conditionalFormatting sqref="H10">
    <cfRule type="expression" dxfId="58" priority="3">
      <formula>CELL("ROW")=ROW()</formula>
    </cfRule>
  </conditionalFormatting>
  <conditionalFormatting sqref="G94">
    <cfRule type="expression" dxfId="57" priority="2">
      <formula>CELL("ROW")=ROW()</formula>
    </cfRule>
  </conditionalFormatting>
  <conditionalFormatting sqref="G162">
    <cfRule type="expression" dxfId="56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36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213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214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197</v>
      </c>
      <c r="G6" s="3" t="s">
        <v>209</v>
      </c>
      <c r="H6" s="3" t="s">
        <v>620</v>
      </c>
      <c r="I6" s="3" t="s">
        <v>195</v>
      </c>
      <c r="J6" s="3" t="s">
        <v>196</v>
      </c>
      <c r="K6" s="3" t="s">
        <v>198</v>
      </c>
      <c r="L6" s="3" t="s">
        <v>622</v>
      </c>
      <c r="M6" s="3" t="s">
        <v>624</v>
      </c>
      <c r="N6" s="3" t="s">
        <v>626</v>
      </c>
      <c r="O6" s="3" t="s">
        <v>218</v>
      </c>
      <c r="P6" s="3" t="s">
        <v>631</v>
      </c>
      <c r="Q6" s="3" t="s">
        <v>199</v>
      </c>
      <c r="R6" s="3" t="s">
        <v>628</v>
      </c>
      <c r="S6" s="3" t="s">
        <v>197</v>
      </c>
      <c r="T6" s="3" t="s">
        <v>209</v>
      </c>
      <c r="U6" s="3" t="s">
        <v>620</v>
      </c>
      <c r="V6" s="3" t="s">
        <v>195</v>
      </c>
      <c r="W6" s="3" t="s">
        <v>196</v>
      </c>
      <c r="X6" s="3" t="s">
        <v>198</v>
      </c>
      <c r="Y6" s="3" t="s">
        <v>622</v>
      </c>
      <c r="Z6" s="3" t="s">
        <v>624</v>
      </c>
      <c r="AA6" s="3" t="s">
        <v>626</v>
      </c>
      <c r="AB6" s="3" t="s">
        <v>218</v>
      </c>
      <c r="AC6" s="3" t="s">
        <v>631</v>
      </c>
      <c r="AD6" s="3" t="s">
        <v>199</v>
      </c>
      <c r="AE6" s="3" t="s">
        <v>628</v>
      </c>
      <c r="AF6" s="3" t="s">
        <v>197</v>
      </c>
      <c r="AG6" s="3" t="s">
        <v>209</v>
      </c>
      <c r="AH6" s="3" t="s">
        <v>620</v>
      </c>
      <c r="AI6" s="3" t="s">
        <v>195</v>
      </c>
      <c r="AJ6" s="3" t="s">
        <v>196</v>
      </c>
      <c r="AK6" s="3" t="s">
        <v>198</v>
      </c>
      <c r="AL6" s="3" t="s">
        <v>622</v>
      </c>
      <c r="AM6" s="3" t="s">
        <v>624</v>
      </c>
      <c r="AN6" s="3" t="s">
        <v>626</v>
      </c>
      <c r="AO6" s="3" t="s">
        <v>218</v>
      </c>
      <c r="AP6" s="3" t="s">
        <v>631</v>
      </c>
      <c r="AQ6" s="3" t="s">
        <v>199</v>
      </c>
      <c r="AR6" s="3" t="s">
        <v>628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7</v>
      </c>
      <c r="G8" s="4" t="s">
        <v>174</v>
      </c>
      <c r="H8" s="4" t="s">
        <v>174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174</v>
      </c>
      <c r="N8" s="4" t="s">
        <v>174</v>
      </c>
      <c r="O8" s="4" t="s">
        <v>174</v>
      </c>
      <c r="P8" s="4" t="s">
        <v>174</v>
      </c>
      <c r="Q8" s="4" t="s">
        <v>7</v>
      </c>
      <c r="R8" s="4" t="s">
        <v>629</v>
      </c>
      <c r="S8" s="4" t="s">
        <v>7</v>
      </c>
      <c r="T8" s="4" t="s">
        <v>174</v>
      </c>
      <c r="U8" s="4" t="s">
        <v>174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174</v>
      </c>
      <c r="AA8" s="4" t="s">
        <v>174</v>
      </c>
      <c r="AB8" s="4" t="s">
        <v>174</v>
      </c>
      <c r="AC8" s="4" t="s">
        <v>174</v>
      </c>
      <c r="AD8" s="4" t="s">
        <v>7</v>
      </c>
      <c r="AE8" s="4" t="s">
        <v>629</v>
      </c>
      <c r="AF8" s="4" t="s">
        <v>7</v>
      </c>
      <c r="AG8" s="4" t="s">
        <v>174</v>
      </c>
      <c r="AH8" s="4" t="s">
        <v>174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174</v>
      </c>
      <c r="AN8" s="4" t="s">
        <v>174</v>
      </c>
      <c r="AO8" s="4" t="s">
        <v>174</v>
      </c>
      <c r="AP8" s="4" t="s">
        <v>174</v>
      </c>
      <c r="AQ8" s="4" t="s">
        <v>7</v>
      </c>
      <c r="AR8" s="4" t="s">
        <v>629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210</v>
      </c>
      <c r="F9" s="5" t="s">
        <v>206</v>
      </c>
      <c r="G9" s="9" t="s">
        <v>210</v>
      </c>
      <c r="H9" s="9" t="s">
        <v>621</v>
      </c>
      <c r="I9" s="9" t="s">
        <v>204</v>
      </c>
      <c r="J9" s="5" t="s">
        <v>205</v>
      </c>
      <c r="K9" s="6" t="s">
        <v>207</v>
      </c>
      <c r="L9" s="6" t="s">
        <v>623</v>
      </c>
      <c r="M9" s="6" t="s">
        <v>625</v>
      </c>
      <c r="N9" s="6" t="s">
        <v>627</v>
      </c>
      <c r="O9" s="6" t="s">
        <v>219</v>
      </c>
      <c r="P9" s="6" t="s">
        <v>632</v>
      </c>
      <c r="Q9" s="6" t="s">
        <v>208</v>
      </c>
      <c r="R9" s="6" t="s">
        <v>630</v>
      </c>
      <c r="S9" s="5" t="s">
        <v>206</v>
      </c>
      <c r="T9" s="9" t="s">
        <v>210</v>
      </c>
      <c r="U9" s="9" t="s">
        <v>621</v>
      </c>
      <c r="V9" s="9" t="s">
        <v>204</v>
      </c>
      <c r="W9" s="5" t="s">
        <v>205</v>
      </c>
      <c r="X9" s="6" t="s">
        <v>207</v>
      </c>
      <c r="Y9" s="6" t="s">
        <v>623</v>
      </c>
      <c r="Z9" s="6" t="s">
        <v>625</v>
      </c>
      <c r="AA9" s="6" t="s">
        <v>627</v>
      </c>
      <c r="AB9" s="6" t="s">
        <v>219</v>
      </c>
      <c r="AC9" s="6" t="s">
        <v>632</v>
      </c>
      <c r="AD9" s="6" t="s">
        <v>208</v>
      </c>
      <c r="AE9" s="6" t="s">
        <v>630</v>
      </c>
      <c r="AF9" s="5" t="s">
        <v>206</v>
      </c>
      <c r="AG9" s="9" t="s">
        <v>210</v>
      </c>
      <c r="AH9" s="9" t="s">
        <v>621</v>
      </c>
      <c r="AI9" s="9" t="s">
        <v>204</v>
      </c>
      <c r="AJ9" s="5" t="s">
        <v>205</v>
      </c>
      <c r="AK9" s="6" t="s">
        <v>207</v>
      </c>
      <c r="AL9" s="6" t="s">
        <v>623</v>
      </c>
      <c r="AM9" s="6" t="s">
        <v>625</v>
      </c>
      <c r="AN9" s="6" t="s">
        <v>627</v>
      </c>
      <c r="AO9" s="6" t="s">
        <v>219</v>
      </c>
      <c r="AP9" s="6" t="s">
        <v>632</v>
      </c>
      <c r="AQ9" s="6" t="s">
        <v>208</v>
      </c>
      <c r="AR9" s="6" t="s">
        <v>630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1430</v>
      </c>
      <c r="C10" s="6"/>
      <c r="D10" s="6"/>
      <c r="E10" s="6" t="s">
        <v>217</v>
      </c>
      <c r="F10" s="6" t="s">
        <v>211</v>
      </c>
      <c r="G10" s="6" t="s">
        <v>1278</v>
      </c>
      <c r="H10" s="6"/>
      <c r="I10" s="6" t="s">
        <v>804</v>
      </c>
      <c r="J10" s="6" t="s">
        <v>882</v>
      </c>
      <c r="K10" s="6"/>
      <c r="L10" s="6"/>
      <c r="M10" s="6" t="s">
        <v>882</v>
      </c>
      <c r="N10" s="6"/>
      <c r="O10" s="6"/>
      <c r="P10" s="6"/>
      <c r="Q10" s="6" t="s">
        <v>212</v>
      </c>
      <c r="R10" s="5"/>
      <c r="S10" s="6" t="s">
        <v>766</v>
      </c>
      <c r="T10" s="6" t="s">
        <v>1278</v>
      </c>
      <c r="U10" s="6"/>
      <c r="V10" s="6" t="s">
        <v>804</v>
      </c>
      <c r="W10" s="6" t="s">
        <v>882</v>
      </c>
      <c r="X10" s="6"/>
      <c r="Y10" s="6"/>
      <c r="Z10" s="6" t="s">
        <v>882</v>
      </c>
      <c r="AA10" s="6"/>
      <c r="AB10" s="5"/>
      <c r="AC10" s="5"/>
      <c r="AD10" s="6" t="s">
        <v>212</v>
      </c>
      <c r="AE10" s="5"/>
      <c r="AF10" s="6" t="s">
        <v>766</v>
      </c>
      <c r="AG10" s="6" t="s">
        <v>1278</v>
      </c>
      <c r="AH10" s="6"/>
      <c r="AI10" s="6" t="s">
        <v>216</v>
      </c>
      <c r="AJ10" s="6" t="s">
        <v>882</v>
      </c>
      <c r="AK10" s="6"/>
      <c r="AL10" s="6"/>
      <c r="AM10" s="6" t="s">
        <v>882</v>
      </c>
      <c r="AN10" s="6"/>
      <c r="AO10" s="5"/>
      <c r="AP10" s="5"/>
      <c r="AQ10" s="6" t="s">
        <v>212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276</v>
      </c>
      <c r="D11" s="6" t="s">
        <v>513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1431</v>
      </c>
      <c r="D12" s="6" t="s">
        <v>513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1501</v>
      </c>
      <c r="D13" s="6" t="s">
        <v>513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277</v>
      </c>
      <c r="D14" s="7" t="s">
        <v>887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1432</v>
      </c>
      <c r="D15" s="7" t="s">
        <v>887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1502</v>
      </c>
      <c r="D16" s="7" t="s">
        <v>887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278</v>
      </c>
      <c r="D17" s="7" t="s">
        <v>272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1433</v>
      </c>
      <c r="D18" s="7" t="s">
        <v>272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1503</v>
      </c>
      <c r="D19" s="7" t="s">
        <v>272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279</v>
      </c>
      <c r="D20" s="7" t="s">
        <v>803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1434</v>
      </c>
      <c r="D21" s="7" t="s">
        <v>803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1504</v>
      </c>
      <c r="D22" s="7" t="s">
        <v>803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280</v>
      </c>
      <c r="D23" s="7" t="s">
        <v>514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1435</v>
      </c>
      <c r="D24" s="7" t="s">
        <v>514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1505</v>
      </c>
      <c r="D25" s="7" t="s">
        <v>514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281</v>
      </c>
      <c r="D26" s="7" t="s">
        <v>827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1436</v>
      </c>
      <c r="D27" s="7" t="s">
        <v>827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1506</v>
      </c>
      <c r="D28" s="7" t="s">
        <v>827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282</v>
      </c>
      <c r="D29" s="7" t="s">
        <v>828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1437</v>
      </c>
      <c r="D30" s="7" t="s">
        <v>828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1507</v>
      </c>
      <c r="D31" s="7" t="s">
        <v>828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283</v>
      </c>
      <c r="D32" s="6" t="s">
        <v>829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1438</v>
      </c>
      <c r="D33" s="6" t="s">
        <v>829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1508</v>
      </c>
      <c r="D34" s="6" t="s">
        <v>829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284</v>
      </c>
      <c r="D35" s="7" t="s">
        <v>830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1439</v>
      </c>
      <c r="D36" s="7" t="s">
        <v>830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1509</v>
      </c>
      <c r="D37" s="7" t="s">
        <v>830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285</v>
      </c>
      <c r="D38" s="7" t="s">
        <v>272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1440</v>
      </c>
      <c r="D39" s="7" t="s">
        <v>272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1510</v>
      </c>
      <c r="D40" s="7" t="s">
        <v>272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286</v>
      </c>
      <c r="D41" s="7" t="s">
        <v>273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1441</v>
      </c>
      <c r="D42" s="7" t="s">
        <v>273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1511</v>
      </c>
      <c r="D43" s="7" t="s">
        <v>273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287</v>
      </c>
      <c r="D44" s="7" t="s">
        <v>514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1442</v>
      </c>
      <c r="D45" s="7" t="s">
        <v>514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1512</v>
      </c>
      <c r="D46" s="7" t="s">
        <v>514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288</v>
      </c>
      <c r="D47" s="7" t="s">
        <v>274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1443</v>
      </c>
      <c r="D48" s="7" t="s">
        <v>274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1513</v>
      </c>
      <c r="D49" s="7" t="s">
        <v>274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289</v>
      </c>
      <c r="D50" s="7" t="s">
        <v>275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1444</v>
      </c>
      <c r="D51" s="7" t="s">
        <v>275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1514</v>
      </c>
      <c r="D52" s="7" t="s">
        <v>275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290</v>
      </c>
      <c r="D53" s="7" t="s">
        <v>346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10</v>
      </c>
      <c r="AL53" s="29" t="b">
        <v>0</v>
      </c>
      <c r="AM53" s="29">
        <v>0</v>
      </c>
      <c r="AN53" s="29">
        <v>0</v>
      </c>
      <c r="AO53" s="29">
        <v>3</v>
      </c>
      <c r="AP53" s="29">
        <v>2</v>
      </c>
      <c r="AQ53" s="29">
        <v>3</v>
      </c>
      <c r="AR53" s="29" t="b">
        <v>1</v>
      </c>
    </row>
    <row r="54" spans="1:52" ht="18.75" customHeight="1">
      <c r="B54" s="5">
        <v>150002</v>
      </c>
      <c r="C54" s="6" t="s">
        <v>1445</v>
      </c>
      <c r="D54" s="7" t="s">
        <v>346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10</v>
      </c>
      <c r="AL54" s="29" t="b">
        <v>0</v>
      </c>
      <c r="AM54" s="29">
        <v>0</v>
      </c>
      <c r="AN54" s="29">
        <v>0</v>
      </c>
      <c r="AO54" s="29">
        <v>3</v>
      </c>
      <c r="AP54" s="29">
        <v>2</v>
      </c>
      <c r="AQ54" s="29">
        <v>3</v>
      </c>
      <c r="AR54" s="29" t="b">
        <v>1</v>
      </c>
    </row>
    <row r="55" spans="1:52" ht="18.75" customHeight="1">
      <c r="B55" s="5">
        <v>150003</v>
      </c>
      <c r="C55" s="6" t="s">
        <v>1515</v>
      </c>
      <c r="D55" s="7" t="s">
        <v>346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29">
        <v>3</v>
      </c>
      <c r="AG55" s="29">
        <v>2</v>
      </c>
      <c r="AH55" s="29">
        <v>100</v>
      </c>
      <c r="AI55" s="29">
        <v>1</v>
      </c>
      <c r="AJ55" s="29">
        <v>0</v>
      </c>
      <c r="AK55" s="29">
        <v>10</v>
      </c>
      <c r="AL55" s="29" t="b">
        <v>0</v>
      </c>
      <c r="AM55" s="29">
        <v>0</v>
      </c>
      <c r="AN55" s="29">
        <v>0</v>
      </c>
      <c r="AO55" s="29">
        <v>3</v>
      </c>
      <c r="AP55" s="29">
        <v>2</v>
      </c>
      <c r="AQ55" s="29">
        <v>3</v>
      </c>
      <c r="AR55" s="29" t="b">
        <v>1</v>
      </c>
    </row>
    <row r="56" spans="1:52" ht="18.75" customHeight="1">
      <c r="B56" s="7">
        <v>160001</v>
      </c>
      <c r="C56" s="7" t="s">
        <v>291</v>
      </c>
      <c r="D56" s="7" t="s">
        <v>842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160002</v>
      </c>
      <c r="C57" s="7" t="s">
        <v>1446</v>
      </c>
      <c r="D57" s="7" t="s">
        <v>842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18.75" customHeight="1">
      <c r="B58" s="7">
        <v>160003</v>
      </c>
      <c r="C58" s="7" t="s">
        <v>1516</v>
      </c>
      <c r="D58" s="7" t="s">
        <v>842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</row>
    <row r="59" spans="1:52" ht="18.75" customHeight="1">
      <c r="B59" s="5">
        <v>170001</v>
      </c>
      <c r="C59" s="7" t="s">
        <v>292</v>
      </c>
      <c r="D59" s="7" t="s">
        <v>843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1447</v>
      </c>
      <c r="D60" s="7" t="s">
        <v>843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1517</v>
      </c>
      <c r="D61" s="7" t="s">
        <v>843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293</v>
      </c>
      <c r="D62" s="7" t="s">
        <v>844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1448</v>
      </c>
      <c r="D63" s="7" t="s">
        <v>844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1518</v>
      </c>
      <c r="D64" s="7" t="s">
        <v>844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294</v>
      </c>
      <c r="D65" s="7" t="s">
        <v>347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1449</v>
      </c>
      <c r="D66" s="7" t="s">
        <v>347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1519</v>
      </c>
      <c r="D67" s="7" t="s">
        <v>347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295</v>
      </c>
      <c r="D68" s="7" t="s">
        <v>845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1450</v>
      </c>
      <c r="D69" s="7" t="s">
        <v>845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1520</v>
      </c>
      <c r="D70" s="7" t="s">
        <v>845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296</v>
      </c>
      <c r="D71" s="7" t="s">
        <v>846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1451</v>
      </c>
      <c r="D72" s="7" t="s">
        <v>846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1521</v>
      </c>
      <c r="D73" s="7" t="s">
        <v>846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297</v>
      </c>
      <c r="D74" s="10" t="s">
        <v>348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29">
        <v>3</v>
      </c>
      <c r="AG74" s="29">
        <v>2</v>
      </c>
      <c r="AH74" s="29">
        <v>100</v>
      </c>
      <c r="AI74" s="29">
        <v>1</v>
      </c>
      <c r="AJ74" s="29">
        <v>0</v>
      </c>
      <c r="AK74" s="29">
        <v>15</v>
      </c>
      <c r="AL74" s="29" t="b">
        <v>0</v>
      </c>
      <c r="AM74" s="29">
        <v>0</v>
      </c>
      <c r="AN74" s="29">
        <v>0</v>
      </c>
      <c r="AO74" s="29">
        <v>3</v>
      </c>
      <c r="AP74" s="29">
        <v>5</v>
      </c>
      <c r="AQ74" s="29">
        <v>3</v>
      </c>
      <c r="AR74" s="29" t="b">
        <v>1</v>
      </c>
    </row>
    <row r="75" spans="2:44" ht="18.75" customHeight="1">
      <c r="B75" s="7">
        <v>220002</v>
      </c>
      <c r="C75" s="7" t="s">
        <v>1452</v>
      </c>
      <c r="D75" s="10" t="s">
        <v>348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29">
        <v>3</v>
      </c>
      <c r="AG75" s="29">
        <v>2</v>
      </c>
      <c r="AH75" s="29">
        <v>100</v>
      </c>
      <c r="AI75" s="29">
        <v>1</v>
      </c>
      <c r="AJ75" s="29">
        <v>0</v>
      </c>
      <c r="AK75" s="29">
        <v>15</v>
      </c>
      <c r="AL75" s="29" t="b">
        <v>0</v>
      </c>
      <c r="AM75" s="29">
        <v>0</v>
      </c>
      <c r="AN75" s="29">
        <v>0</v>
      </c>
      <c r="AO75" s="29">
        <v>3</v>
      </c>
      <c r="AP75" s="29">
        <v>5</v>
      </c>
      <c r="AQ75" s="29">
        <v>3</v>
      </c>
      <c r="AR75" s="29" t="b">
        <v>1</v>
      </c>
    </row>
    <row r="76" spans="2:44" ht="18.75" customHeight="1">
      <c r="B76" s="7">
        <v>220003</v>
      </c>
      <c r="C76" s="7" t="s">
        <v>1522</v>
      </c>
      <c r="D76" s="10" t="s">
        <v>348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29">
        <v>3</v>
      </c>
      <c r="AG76" s="29">
        <v>2</v>
      </c>
      <c r="AH76" s="29">
        <v>100</v>
      </c>
      <c r="AI76" s="29">
        <v>1</v>
      </c>
      <c r="AJ76" s="29">
        <v>0</v>
      </c>
      <c r="AK76" s="29">
        <v>15</v>
      </c>
      <c r="AL76" s="29" t="b">
        <v>0</v>
      </c>
      <c r="AM76" s="29">
        <v>0</v>
      </c>
      <c r="AN76" s="29">
        <v>0</v>
      </c>
      <c r="AO76" s="29">
        <v>3</v>
      </c>
      <c r="AP76" s="29">
        <v>5</v>
      </c>
      <c r="AQ76" s="29">
        <v>3</v>
      </c>
      <c r="AR76" s="29" t="b">
        <v>1</v>
      </c>
    </row>
    <row r="77" spans="2:44" ht="18.75" customHeight="1">
      <c r="B77" s="5">
        <v>230001</v>
      </c>
      <c r="C77" s="7" t="s">
        <v>298</v>
      </c>
      <c r="D77" s="10" t="s">
        <v>847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1453</v>
      </c>
      <c r="D78" s="10" t="s">
        <v>847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1523</v>
      </c>
      <c r="D79" s="10" t="s">
        <v>847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299</v>
      </c>
      <c r="D80" s="10" t="s">
        <v>848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1454</v>
      </c>
      <c r="D81" s="10" t="s">
        <v>848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1524</v>
      </c>
      <c r="D82" s="10" t="s">
        <v>848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300</v>
      </c>
      <c r="D83" s="10" t="s">
        <v>849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1455</v>
      </c>
      <c r="D84" s="10" t="s">
        <v>849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1525</v>
      </c>
      <c r="D85" s="10" t="s">
        <v>849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301</v>
      </c>
      <c r="D86" s="10" t="s">
        <v>843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1456</v>
      </c>
      <c r="D87" s="10" t="s">
        <v>843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1526</v>
      </c>
      <c r="D88" s="10" t="s">
        <v>843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302</v>
      </c>
      <c r="D89" s="10" t="s">
        <v>850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1457</v>
      </c>
      <c r="D90" s="10" t="s">
        <v>850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1527</v>
      </c>
      <c r="D91" s="10" t="s">
        <v>850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303</v>
      </c>
      <c r="D92" s="10" t="s">
        <v>347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1458</v>
      </c>
      <c r="D93" s="10" t="s">
        <v>347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1528</v>
      </c>
      <c r="D94" s="10" t="s">
        <v>347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304</v>
      </c>
      <c r="D95" s="10" t="s">
        <v>851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1459</v>
      </c>
      <c r="D96" s="10" t="s">
        <v>851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1529</v>
      </c>
      <c r="D97" s="10" t="s">
        <v>851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305</v>
      </c>
      <c r="D98" s="10" t="s">
        <v>852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1460</v>
      </c>
      <c r="D99" s="10" t="s">
        <v>852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1530</v>
      </c>
      <c r="D100" s="10" t="s">
        <v>852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306</v>
      </c>
      <c r="D101" s="10" t="s">
        <v>516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1461</v>
      </c>
      <c r="D102" s="10" t="s">
        <v>516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1531</v>
      </c>
      <c r="D103" s="10" t="s">
        <v>516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307</v>
      </c>
      <c r="D104" s="10" t="s">
        <v>874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1462</v>
      </c>
      <c r="D105" s="10" t="s">
        <v>874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1532</v>
      </c>
      <c r="D106" s="10" t="s">
        <v>874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308</v>
      </c>
      <c r="D107" s="10" t="s">
        <v>875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1463</v>
      </c>
      <c r="D108" s="10" t="s">
        <v>875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1533</v>
      </c>
      <c r="D109" s="10" t="s">
        <v>875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309</v>
      </c>
      <c r="D110" s="10" t="s">
        <v>876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1464</v>
      </c>
      <c r="D111" s="10" t="s">
        <v>876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1534</v>
      </c>
      <c r="D112" s="10" t="s">
        <v>876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310</v>
      </c>
      <c r="D113" s="10" t="s">
        <v>518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1465</v>
      </c>
      <c r="D114" s="10" t="s">
        <v>518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1535</v>
      </c>
      <c r="D115" s="10" t="s">
        <v>518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311</v>
      </c>
      <c r="D116" s="10" t="s">
        <v>522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1466</v>
      </c>
      <c r="D117" s="10" t="s">
        <v>522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1536</v>
      </c>
      <c r="D118" s="10" t="s">
        <v>522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312</v>
      </c>
      <c r="D119" s="10" t="s">
        <v>521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1467</v>
      </c>
      <c r="D120" s="10" t="s">
        <v>521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1537</v>
      </c>
      <c r="D121" s="10" t="s">
        <v>521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</row>
    <row r="122" spans="1:52" ht="18.75" customHeight="1">
      <c r="B122" s="7">
        <v>380001</v>
      </c>
      <c r="C122" s="7" t="s">
        <v>313</v>
      </c>
      <c r="D122" s="10" t="s">
        <v>877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1468</v>
      </c>
      <c r="D123" s="10" t="s">
        <v>877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1538</v>
      </c>
      <c r="D124" s="10" t="s">
        <v>877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314</v>
      </c>
      <c r="D125" s="10" t="s">
        <v>588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1469</v>
      </c>
      <c r="D126" s="10" t="s">
        <v>588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1539</v>
      </c>
      <c r="D127" s="10" t="s">
        <v>588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315</v>
      </c>
      <c r="D128" s="10" t="s">
        <v>878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1470</v>
      </c>
      <c r="D129" s="10" t="s">
        <v>878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1540</v>
      </c>
      <c r="D130" s="10" t="s">
        <v>878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316</v>
      </c>
      <c r="D131" s="10" t="s">
        <v>590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1471</v>
      </c>
      <c r="D132" s="10" t="s">
        <v>590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1541</v>
      </c>
      <c r="D133" s="10" t="s">
        <v>590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317</v>
      </c>
      <c r="D134" s="10" t="s">
        <v>591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1472</v>
      </c>
      <c r="D135" s="10" t="s">
        <v>591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1542</v>
      </c>
      <c r="D136" s="10" t="s">
        <v>591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318</v>
      </c>
      <c r="D137" s="10" t="s">
        <v>592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1473</v>
      </c>
      <c r="D138" s="10" t="s">
        <v>592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1543</v>
      </c>
      <c r="D139" s="10" t="s">
        <v>592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319</v>
      </c>
      <c r="D140" s="10" t="s">
        <v>593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1474</v>
      </c>
      <c r="D141" s="10" t="s">
        <v>593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1544</v>
      </c>
      <c r="D142" s="10" t="s">
        <v>593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320</v>
      </c>
      <c r="D143" s="10" t="s">
        <v>594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1475</v>
      </c>
      <c r="D144" s="10" t="s">
        <v>594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1545</v>
      </c>
      <c r="D145" s="10" t="s">
        <v>594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321</v>
      </c>
      <c r="D146" s="10" t="s">
        <v>595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1476</v>
      </c>
      <c r="D147" s="10" t="s">
        <v>595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1546</v>
      </c>
      <c r="D148" s="10" t="s">
        <v>595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322</v>
      </c>
      <c r="D149" s="10" t="s">
        <v>596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1477</v>
      </c>
      <c r="D150" s="10" t="s">
        <v>596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1547</v>
      </c>
      <c r="D151" s="10" t="s">
        <v>596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323</v>
      </c>
      <c r="D152" s="10" t="s">
        <v>597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1478</v>
      </c>
      <c r="D153" s="10" t="s">
        <v>597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1548</v>
      </c>
      <c r="D154" s="10" t="s">
        <v>597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324</v>
      </c>
      <c r="D155" s="10" t="s">
        <v>598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1479</v>
      </c>
      <c r="D156" s="10" t="s">
        <v>598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1549</v>
      </c>
      <c r="D157" s="10" t="s">
        <v>598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325</v>
      </c>
      <c r="D158" s="10" t="s">
        <v>599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1480</v>
      </c>
      <c r="D159" s="10" t="s">
        <v>599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1550</v>
      </c>
      <c r="D160" s="10" t="s">
        <v>599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326</v>
      </c>
      <c r="D161" s="10" t="s">
        <v>600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1481</v>
      </c>
      <c r="D162" s="10" t="s">
        <v>600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1551</v>
      </c>
      <c r="D163" s="10" t="s">
        <v>600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327</v>
      </c>
      <c r="D164" s="10" t="s">
        <v>601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1482</v>
      </c>
      <c r="D165" s="10" t="s">
        <v>601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1552</v>
      </c>
      <c r="D166" s="10" t="s">
        <v>601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328</v>
      </c>
      <c r="D167" s="10" t="s">
        <v>602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1483</v>
      </c>
      <c r="D168" s="10" t="s">
        <v>602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1553</v>
      </c>
      <c r="D169" s="10" t="s">
        <v>602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329</v>
      </c>
      <c r="D170" s="10" t="s">
        <v>603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1484</v>
      </c>
      <c r="D171" s="10" t="s">
        <v>603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1554</v>
      </c>
      <c r="D172" s="10" t="s">
        <v>603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330</v>
      </c>
      <c r="D173" s="10" t="s">
        <v>604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1485</v>
      </c>
      <c r="D174" s="10" t="s">
        <v>604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1555</v>
      </c>
      <c r="D175" s="10" t="s">
        <v>604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331</v>
      </c>
      <c r="D176" s="10" t="s">
        <v>605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1486</v>
      </c>
      <c r="D177" s="10" t="s">
        <v>605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1556</v>
      </c>
      <c r="D178" s="10" t="s">
        <v>605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332</v>
      </c>
      <c r="D179" s="10" t="s">
        <v>606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1487</v>
      </c>
      <c r="D180" s="10" t="s">
        <v>606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1557</v>
      </c>
      <c r="D181" s="10" t="s">
        <v>606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333</v>
      </c>
      <c r="D182" s="10" t="s">
        <v>607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1488</v>
      </c>
      <c r="D183" s="10" t="s">
        <v>607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1558</v>
      </c>
      <c r="D184" s="10" t="s">
        <v>607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334</v>
      </c>
      <c r="D185" s="10" t="s">
        <v>608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1489</v>
      </c>
      <c r="D186" s="10" t="s">
        <v>608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1559</v>
      </c>
      <c r="D187" s="10" t="s">
        <v>608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335</v>
      </c>
      <c r="D188" s="10" t="s">
        <v>609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1490</v>
      </c>
      <c r="D189" s="10" t="s">
        <v>609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1560</v>
      </c>
      <c r="D190" s="10" t="s">
        <v>609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336</v>
      </c>
      <c r="D191" s="10" t="s">
        <v>610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1491</v>
      </c>
      <c r="D192" s="10" t="s">
        <v>610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1561</v>
      </c>
      <c r="D193" s="10" t="s">
        <v>610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337</v>
      </c>
      <c r="D194" s="10" t="s">
        <v>611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1492</v>
      </c>
      <c r="D195" s="10" t="s">
        <v>611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1562</v>
      </c>
      <c r="D196" s="10" t="s">
        <v>611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338</v>
      </c>
      <c r="D197" s="10" t="s">
        <v>612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1493</v>
      </c>
      <c r="D198" s="10" t="s">
        <v>612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1563</v>
      </c>
      <c r="D199" s="10" t="s">
        <v>612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339</v>
      </c>
      <c r="D200" s="10" t="s">
        <v>613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1494</v>
      </c>
      <c r="D201" s="10" t="s">
        <v>613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1564</v>
      </c>
      <c r="D202" s="10" t="s">
        <v>613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340</v>
      </c>
      <c r="D203" s="10" t="s">
        <v>614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1495</v>
      </c>
      <c r="D204" s="10" t="s">
        <v>614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1565</v>
      </c>
      <c r="D205" s="10" t="s">
        <v>614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341</v>
      </c>
      <c r="D206" s="10" t="s">
        <v>615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1496</v>
      </c>
      <c r="D207" s="10" t="s">
        <v>615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1566</v>
      </c>
      <c r="D208" s="10" t="s">
        <v>615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342</v>
      </c>
      <c r="D209" s="10" t="s">
        <v>616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1497</v>
      </c>
      <c r="D210" s="10" t="s">
        <v>616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1567</v>
      </c>
      <c r="D211" s="10" t="s">
        <v>616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343</v>
      </c>
      <c r="D212" s="10" t="s">
        <v>617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1498</v>
      </c>
      <c r="D213" s="10" t="s">
        <v>617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1568</v>
      </c>
      <c r="D214" s="10" t="s">
        <v>617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344</v>
      </c>
      <c r="D215" s="10" t="s">
        <v>618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1499</v>
      </c>
      <c r="D216" s="10" t="s">
        <v>618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1569</v>
      </c>
      <c r="D217" s="10" t="s">
        <v>618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345</v>
      </c>
      <c r="D218" s="10" t="s">
        <v>619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1500</v>
      </c>
      <c r="D219" s="10" t="s">
        <v>619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1570</v>
      </c>
      <c r="D220" s="10" t="s">
        <v>619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5" priority="13">
      <formula>CELL("ROW")=ROW()</formula>
    </cfRule>
  </conditionalFormatting>
  <conditionalFormatting sqref="I10">
    <cfRule type="expression" dxfId="54" priority="12">
      <formula>CELL("ROW")=ROW()</formula>
    </cfRule>
  </conditionalFormatting>
  <conditionalFormatting sqref="V10">
    <cfRule type="expression" dxfId="53" priority="11">
      <formula>CELL("ROW")=ROW()</formula>
    </cfRule>
  </conditionalFormatting>
  <conditionalFormatting sqref="J10">
    <cfRule type="expression" dxfId="52" priority="10">
      <formula>CELL("ROW")=ROW()</formula>
    </cfRule>
  </conditionalFormatting>
  <conditionalFormatting sqref="M10">
    <cfRule type="expression" dxfId="51" priority="9">
      <formula>CELL("ROW")=ROW()</formula>
    </cfRule>
  </conditionalFormatting>
  <conditionalFormatting sqref="W10">
    <cfRule type="expression" dxfId="50" priority="8">
      <formula>CELL("ROW")=ROW()</formula>
    </cfRule>
  </conditionalFormatting>
  <conditionalFormatting sqref="Z10">
    <cfRule type="expression" dxfId="49" priority="7">
      <formula>CELL("ROW")=ROW()</formula>
    </cfRule>
  </conditionalFormatting>
  <conditionalFormatting sqref="AJ10">
    <cfRule type="expression" dxfId="48" priority="6">
      <formula>CELL("ROW")=ROW()</formula>
    </cfRule>
  </conditionalFormatting>
  <conditionalFormatting sqref="AM10">
    <cfRule type="expression" dxfId="47" priority="5">
      <formula>CELL("ROW")=ROW()</formula>
    </cfRule>
  </conditionalFormatting>
  <conditionalFormatting sqref="AG10">
    <cfRule type="expression" dxfId="46" priority="4">
      <formula>CELL("ROW")=ROW()</formula>
    </cfRule>
  </conditionalFormatting>
  <conditionalFormatting sqref="G10">
    <cfRule type="expression" dxfId="45" priority="3">
      <formula>CELL("ROW")=ROW()</formula>
    </cfRule>
  </conditionalFormatting>
  <conditionalFormatting sqref="T10">
    <cfRule type="expression" dxfId="44" priority="2">
      <formula>CELL("ROW")=ROW()</formula>
    </cfRule>
  </conditionalFormatting>
  <conditionalFormatting sqref="A7:AI7">
    <cfRule type="expression" dxfId="43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215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214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197</v>
      </c>
      <c r="G6" s="3" t="s">
        <v>209</v>
      </c>
      <c r="H6" s="3" t="s">
        <v>620</v>
      </c>
      <c r="I6" s="3" t="s">
        <v>195</v>
      </c>
      <c r="J6" s="3" t="s">
        <v>196</v>
      </c>
      <c r="K6" s="3" t="s">
        <v>198</v>
      </c>
      <c r="L6" s="3" t="s">
        <v>622</v>
      </c>
      <c r="M6" s="3" t="s">
        <v>624</v>
      </c>
      <c r="N6" s="3" t="s">
        <v>626</v>
      </c>
      <c r="O6" s="3" t="s">
        <v>218</v>
      </c>
      <c r="P6" s="3" t="s">
        <v>631</v>
      </c>
      <c r="Q6" s="3" t="s">
        <v>199</v>
      </c>
      <c r="R6" s="3" t="s">
        <v>628</v>
      </c>
      <c r="S6" s="3" t="s">
        <v>197</v>
      </c>
      <c r="T6" s="3" t="s">
        <v>209</v>
      </c>
      <c r="U6" s="3" t="s">
        <v>620</v>
      </c>
      <c r="V6" s="3" t="s">
        <v>195</v>
      </c>
      <c r="W6" s="3" t="s">
        <v>196</v>
      </c>
      <c r="X6" s="3" t="s">
        <v>198</v>
      </c>
      <c r="Y6" s="3" t="s">
        <v>622</v>
      </c>
      <c r="Z6" s="3" t="s">
        <v>624</v>
      </c>
      <c r="AA6" s="3" t="s">
        <v>626</v>
      </c>
      <c r="AB6" s="3" t="s">
        <v>218</v>
      </c>
      <c r="AC6" s="3" t="s">
        <v>631</v>
      </c>
      <c r="AD6" s="3" t="s">
        <v>199</v>
      </c>
      <c r="AE6" s="3" t="s">
        <v>628</v>
      </c>
      <c r="AF6" s="3" t="s">
        <v>197</v>
      </c>
      <c r="AG6" s="3" t="s">
        <v>209</v>
      </c>
      <c r="AH6" s="3" t="s">
        <v>620</v>
      </c>
      <c r="AI6" s="3" t="s">
        <v>195</v>
      </c>
      <c r="AJ6" s="3" t="s">
        <v>196</v>
      </c>
      <c r="AK6" s="3" t="s">
        <v>198</v>
      </c>
      <c r="AL6" s="3" t="s">
        <v>622</v>
      </c>
      <c r="AM6" s="3" t="s">
        <v>624</v>
      </c>
      <c r="AN6" s="3" t="s">
        <v>626</v>
      </c>
      <c r="AO6" s="3" t="s">
        <v>218</v>
      </c>
      <c r="AP6" s="3" t="s">
        <v>631</v>
      </c>
      <c r="AQ6" s="3" t="s">
        <v>199</v>
      </c>
      <c r="AR6" s="3" t="s">
        <v>628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7</v>
      </c>
      <c r="G8" s="4" t="s">
        <v>174</v>
      </c>
      <c r="H8" s="4" t="s">
        <v>174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174</v>
      </c>
      <c r="N8" s="4" t="s">
        <v>174</v>
      </c>
      <c r="O8" s="4" t="s">
        <v>174</v>
      </c>
      <c r="P8" s="4" t="s">
        <v>174</v>
      </c>
      <c r="Q8" s="4" t="s">
        <v>7</v>
      </c>
      <c r="R8" s="4" t="s">
        <v>629</v>
      </c>
      <c r="S8" s="4" t="s">
        <v>7</v>
      </c>
      <c r="T8" s="4" t="s">
        <v>174</v>
      </c>
      <c r="U8" s="4" t="s">
        <v>174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174</v>
      </c>
      <c r="AA8" s="4" t="s">
        <v>174</v>
      </c>
      <c r="AB8" s="4" t="s">
        <v>174</v>
      </c>
      <c r="AC8" s="4" t="s">
        <v>174</v>
      </c>
      <c r="AD8" s="4" t="s">
        <v>7</v>
      </c>
      <c r="AE8" s="4" t="s">
        <v>629</v>
      </c>
      <c r="AF8" s="4" t="s">
        <v>7</v>
      </c>
      <c r="AG8" s="4" t="s">
        <v>174</v>
      </c>
      <c r="AH8" s="4" t="s">
        <v>174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174</v>
      </c>
      <c r="AN8" s="4" t="s">
        <v>174</v>
      </c>
      <c r="AO8" s="4" t="s">
        <v>174</v>
      </c>
      <c r="AP8" s="4" t="s">
        <v>174</v>
      </c>
      <c r="AQ8" s="4" t="s">
        <v>7</v>
      </c>
      <c r="AR8" s="4" t="s">
        <v>629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210</v>
      </c>
      <c r="F9" s="5" t="s">
        <v>206</v>
      </c>
      <c r="G9" s="9" t="s">
        <v>210</v>
      </c>
      <c r="H9" s="9" t="s">
        <v>621</v>
      </c>
      <c r="I9" s="9" t="s">
        <v>204</v>
      </c>
      <c r="J9" s="5" t="s">
        <v>205</v>
      </c>
      <c r="K9" s="6" t="s">
        <v>207</v>
      </c>
      <c r="L9" s="6" t="s">
        <v>623</v>
      </c>
      <c r="M9" s="6" t="s">
        <v>625</v>
      </c>
      <c r="N9" s="6" t="s">
        <v>627</v>
      </c>
      <c r="O9" s="6" t="s">
        <v>219</v>
      </c>
      <c r="P9" s="6" t="s">
        <v>632</v>
      </c>
      <c r="Q9" s="6" t="s">
        <v>208</v>
      </c>
      <c r="R9" s="6" t="s">
        <v>630</v>
      </c>
      <c r="S9" s="5" t="s">
        <v>206</v>
      </c>
      <c r="T9" s="9" t="s">
        <v>210</v>
      </c>
      <c r="U9" s="9" t="s">
        <v>621</v>
      </c>
      <c r="V9" s="9" t="s">
        <v>204</v>
      </c>
      <c r="W9" s="5" t="s">
        <v>205</v>
      </c>
      <c r="X9" s="6" t="s">
        <v>207</v>
      </c>
      <c r="Y9" s="6" t="s">
        <v>623</v>
      </c>
      <c r="Z9" s="6" t="s">
        <v>625</v>
      </c>
      <c r="AA9" s="6" t="s">
        <v>627</v>
      </c>
      <c r="AB9" s="6" t="s">
        <v>219</v>
      </c>
      <c r="AC9" s="6" t="s">
        <v>632</v>
      </c>
      <c r="AD9" s="6" t="s">
        <v>208</v>
      </c>
      <c r="AE9" s="6" t="s">
        <v>630</v>
      </c>
      <c r="AF9" s="5" t="s">
        <v>206</v>
      </c>
      <c r="AG9" s="9" t="s">
        <v>210</v>
      </c>
      <c r="AH9" s="9" t="s">
        <v>621</v>
      </c>
      <c r="AI9" s="9" t="s">
        <v>204</v>
      </c>
      <c r="AJ9" s="5" t="s">
        <v>205</v>
      </c>
      <c r="AK9" s="6" t="s">
        <v>207</v>
      </c>
      <c r="AL9" s="6" t="s">
        <v>623</v>
      </c>
      <c r="AM9" s="6" t="s">
        <v>625</v>
      </c>
      <c r="AN9" s="6" t="s">
        <v>627</v>
      </c>
      <c r="AO9" s="6" t="s">
        <v>219</v>
      </c>
      <c r="AP9" s="6" t="s">
        <v>632</v>
      </c>
      <c r="AQ9" s="6" t="s">
        <v>208</v>
      </c>
      <c r="AR9" s="6" t="s">
        <v>630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5" t="s">
        <v>12</v>
      </c>
      <c r="B10" s="5"/>
      <c r="C10" s="6"/>
      <c r="D10" s="6"/>
      <c r="E10" s="6" t="s">
        <v>217</v>
      </c>
      <c r="F10" s="6" t="s">
        <v>766</v>
      </c>
      <c r="G10" s="6" t="s">
        <v>1278</v>
      </c>
      <c r="H10" s="6"/>
      <c r="I10" s="6" t="s">
        <v>804</v>
      </c>
      <c r="J10" s="6" t="s">
        <v>882</v>
      </c>
      <c r="K10" s="6"/>
      <c r="L10" s="6"/>
      <c r="M10" s="6" t="s">
        <v>882</v>
      </c>
      <c r="N10" s="6"/>
      <c r="O10" s="6"/>
      <c r="P10" s="6"/>
      <c r="Q10" s="6" t="s">
        <v>212</v>
      </c>
      <c r="R10" s="5"/>
      <c r="S10" s="6" t="s">
        <v>766</v>
      </c>
      <c r="T10" s="6" t="s">
        <v>1278</v>
      </c>
      <c r="U10" s="6"/>
      <c r="V10" s="6" t="s">
        <v>804</v>
      </c>
      <c r="W10" s="6" t="s">
        <v>882</v>
      </c>
      <c r="X10" s="6"/>
      <c r="Y10" s="6"/>
      <c r="Z10" s="6" t="s">
        <v>882</v>
      </c>
      <c r="AA10" s="6"/>
      <c r="AB10" s="5"/>
      <c r="AC10" s="5"/>
      <c r="AD10" s="6" t="s">
        <v>212</v>
      </c>
      <c r="AE10" s="5"/>
      <c r="AF10" s="6" t="s">
        <v>766</v>
      </c>
      <c r="AG10" s="6" t="s">
        <v>1278</v>
      </c>
      <c r="AH10" s="6"/>
      <c r="AI10" s="6" t="s">
        <v>216</v>
      </c>
      <c r="AJ10" s="6" t="s">
        <v>882</v>
      </c>
      <c r="AK10" s="6"/>
      <c r="AL10" s="6"/>
      <c r="AM10" s="6" t="s">
        <v>882</v>
      </c>
      <c r="AN10" s="6"/>
      <c r="AO10" s="6"/>
      <c r="AP10" s="6"/>
      <c r="AQ10" s="6" t="s">
        <v>212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430</v>
      </c>
      <c r="D11" s="6" t="s">
        <v>510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1571</v>
      </c>
      <c r="D12" s="6" t="s">
        <v>510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1641</v>
      </c>
      <c r="D13" s="6" t="s">
        <v>510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431</v>
      </c>
      <c r="D14" s="10" t="s">
        <v>511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1572</v>
      </c>
      <c r="D15" s="10" t="s">
        <v>511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1642</v>
      </c>
      <c r="D16" s="10" t="s">
        <v>511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432</v>
      </c>
      <c r="D17" s="10" t="s">
        <v>501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1573</v>
      </c>
      <c r="D18" s="10" t="s">
        <v>501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1643</v>
      </c>
      <c r="D19" s="10" t="s">
        <v>501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433</v>
      </c>
      <c r="D20" s="10" t="s">
        <v>512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1574</v>
      </c>
      <c r="D21" s="10" t="s">
        <v>512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1644</v>
      </c>
      <c r="D22" s="10" t="s">
        <v>512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434</v>
      </c>
      <c r="D23" s="10" t="s">
        <v>819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1575</v>
      </c>
      <c r="D24" s="10" t="s">
        <v>819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1645</v>
      </c>
      <c r="D25" s="10" t="s">
        <v>819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435</v>
      </c>
      <c r="D26" s="10" t="s">
        <v>500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1576</v>
      </c>
      <c r="D27" s="10" t="s">
        <v>500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1646</v>
      </c>
      <c r="D28" s="10" t="s">
        <v>500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436</v>
      </c>
      <c r="D29" s="10" t="s">
        <v>831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1577</v>
      </c>
      <c r="D30" s="10" t="s">
        <v>831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1647</v>
      </c>
      <c r="D31" s="10" t="s">
        <v>831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437</v>
      </c>
      <c r="D32" s="10" t="s">
        <v>832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1578</v>
      </c>
      <c r="D33" s="10" t="s">
        <v>832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1648</v>
      </c>
      <c r="D34" s="10" t="s">
        <v>832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438</v>
      </c>
      <c r="D35" s="10" t="s">
        <v>833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1579</v>
      </c>
      <c r="D36" s="10" t="s">
        <v>833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1649</v>
      </c>
      <c r="D37" s="10" t="s">
        <v>833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439</v>
      </c>
      <c r="D38" s="10" t="s">
        <v>502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1580</v>
      </c>
      <c r="D39" s="10" t="s">
        <v>502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1650</v>
      </c>
      <c r="D40" s="10" t="s">
        <v>502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440</v>
      </c>
      <c r="D41" s="10" t="s">
        <v>503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1581</v>
      </c>
      <c r="D42" s="10" t="s">
        <v>503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1651</v>
      </c>
      <c r="D43" s="10" t="s">
        <v>503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441</v>
      </c>
      <c r="D44" s="10" t="s">
        <v>504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1582</v>
      </c>
      <c r="D45" s="10" t="s">
        <v>504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1652</v>
      </c>
      <c r="D46" s="10" t="s">
        <v>504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442</v>
      </c>
      <c r="D47" s="10" t="s">
        <v>505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1583</v>
      </c>
      <c r="D48" s="10" t="s">
        <v>505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1653</v>
      </c>
      <c r="D49" s="10" t="s">
        <v>505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443</v>
      </c>
      <c r="D50" s="10" t="s">
        <v>820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1584</v>
      </c>
      <c r="D51" s="10" t="s">
        <v>820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1654</v>
      </c>
      <c r="D52" s="10" t="s">
        <v>820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444</v>
      </c>
      <c r="D53" s="10" t="s">
        <v>506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5">
        <v>150002</v>
      </c>
      <c r="C54" s="6" t="s">
        <v>1585</v>
      </c>
      <c r="D54" s="10" t="s">
        <v>506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150003</v>
      </c>
      <c r="C55" s="6" t="s">
        <v>1655</v>
      </c>
      <c r="D55" s="10" t="s">
        <v>506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7">
        <v>160001</v>
      </c>
      <c r="C56" s="7" t="s">
        <v>445</v>
      </c>
      <c r="D56" s="10" t="s">
        <v>821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29">
        <v>2</v>
      </c>
      <c r="AG56" s="29">
        <v>2</v>
      </c>
      <c r="AH56" s="29">
        <v>100</v>
      </c>
      <c r="AI56" s="29">
        <v>22</v>
      </c>
      <c r="AJ56" s="29">
        <v>4</v>
      </c>
      <c r="AK56" s="29">
        <v>90</v>
      </c>
      <c r="AL56" s="29" t="b">
        <v>0</v>
      </c>
      <c r="AM56" s="29">
        <v>0</v>
      </c>
      <c r="AN56" s="29">
        <v>0</v>
      </c>
      <c r="AO56" s="29">
        <v>49</v>
      </c>
      <c r="AP56" s="29">
        <v>0</v>
      </c>
      <c r="AQ56" s="29">
        <v>0</v>
      </c>
      <c r="AR56" s="29" t="b">
        <v>1</v>
      </c>
    </row>
    <row r="57" spans="1:52" ht="18.75" customHeight="1">
      <c r="B57" s="7">
        <v>160002</v>
      </c>
      <c r="C57" s="7" t="s">
        <v>1586</v>
      </c>
      <c r="D57" s="10" t="s">
        <v>821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29">
        <v>2</v>
      </c>
      <c r="AG57" s="29">
        <v>2</v>
      </c>
      <c r="AH57" s="29">
        <v>100</v>
      </c>
      <c r="AI57" s="29">
        <v>22</v>
      </c>
      <c r="AJ57" s="29">
        <v>4</v>
      </c>
      <c r="AK57" s="29">
        <v>90</v>
      </c>
      <c r="AL57" s="29" t="b">
        <v>0</v>
      </c>
      <c r="AM57" s="29">
        <v>0</v>
      </c>
      <c r="AN57" s="29">
        <v>0</v>
      </c>
      <c r="AO57" s="29">
        <v>49</v>
      </c>
      <c r="AP57" s="29">
        <v>0</v>
      </c>
      <c r="AQ57" s="29">
        <v>0</v>
      </c>
      <c r="AR57" s="29" t="b">
        <v>1</v>
      </c>
    </row>
    <row r="58" spans="1:52" ht="18.75" customHeight="1">
      <c r="B58" s="7">
        <v>160003</v>
      </c>
      <c r="C58" s="7" t="s">
        <v>1656</v>
      </c>
      <c r="D58" s="10" t="s">
        <v>821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29">
        <v>2</v>
      </c>
      <c r="AG58" s="29">
        <v>2</v>
      </c>
      <c r="AH58" s="29">
        <v>100</v>
      </c>
      <c r="AI58" s="29">
        <v>22</v>
      </c>
      <c r="AJ58" s="29">
        <v>4</v>
      </c>
      <c r="AK58" s="29">
        <v>90</v>
      </c>
      <c r="AL58" s="29" t="b">
        <v>0</v>
      </c>
      <c r="AM58" s="29">
        <v>0</v>
      </c>
      <c r="AN58" s="29">
        <v>0</v>
      </c>
      <c r="AO58" s="29">
        <v>49</v>
      </c>
      <c r="AP58" s="29">
        <v>0</v>
      </c>
      <c r="AQ58" s="29">
        <v>0</v>
      </c>
      <c r="AR58" s="29" t="b">
        <v>1</v>
      </c>
    </row>
    <row r="59" spans="1:52" ht="18.75" customHeight="1">
      <c r="B59" s="5">
        <v>170001</v>
      </c>
      <c r="C59" s="7" t="s">
        <v>446</v>
      </c>
      <c r="D59" s="10" t="s">
        <v>853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1587</v>
      </c>
      <c r="D60" s="10" t="s">
        <v>853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1657</v>
      </c>
      <c r="D61" s="10" t="s">
        <v>853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447</v>
      </c>
      <c r="D62" s="10" t="s">
        <v>507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1588</v>
      </c>
      <c r="D63" s="10" t="s">
        <v>507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1658</v>
      </c>
      <c r="D64" s="10" t="s">
        <v>507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448</v>
      </c>
      <c r="D65" s="10" t="s">
        <v>822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1589</v>
      </c>
      <c r="D66" s="10" t="s">
        <v>822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1659</v>
      </c>
      <c r="D67" s="10" t="s">
        <v>822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449</v>
      </c>
      <c r="D68" s="10" t="s">
        <v>508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1590</v>
      </c>
      <c r="D69" s="10" t="s">
        <v>508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1660</v>
      </c>
      <c r="D70" s="10" t="s">
        <v>508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450</v>
      </c>
      <c r="D71" s="10" t="s">
        <v>509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1591</v>
      </c>
      <c r="D72" s="10" t="s">
        <v>509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1661</v>
      </c>
      <c r="D73" s="10" t="s">
        <v>509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451</v>
      </c>
      <c r="D74" s="10" t="s">
        <v>854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</row>
    <row r="75" spans="2:44" ht="18.75" customHeight="1">
      <c r="B75" s="7">
        <v>220002</v>
      </c>
      <c r="C75" s="7" t="s">
        <v>1592</v>
      </c>
      <c r="D75" s="10" t="s">
        <v>854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</row>
    <row r="76" spans="2:44" ht="18.75" customHeight="1">
      <c r="B76" s="7">
        <v>220003</v>
      </c>
      <c r="C76" s="7" t="s">
        <v>1662</v>
      </c>
      <c r="D76" s="10" t="s">
        <v>854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</row>
    <row r="77" spans="2:44" ht="18.75" customHeight="1">
      <c r="B77" s="5">
        <v>230001</v>
      </c>
      <c r="C77" s="7" t="s">
        <v>452</v>
      </c>
      <c r="D77" s="10" t="s">
        <v>855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1593</v>
      </c>
      <c r="D78" s="10" t="s">
        <v>855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1663</v>
      </c>
      <c r="D79" s="10" t="s">
        <v>855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453</v>
      </c>
      <c r="D80" s="10" t="s">
        <v>823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1594</v>
      </c>
      <c r="D81" s="10" t="s">
        <v>823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1664</v>
      </c>
      <c r="D82" s="10" t="s">
        <v>823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454</v>
      </c>
      <c r="D83" s="10" t="s">
        <v>515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1595</v>
      </c>
      <c r="D84" s="10" t="s">
        <v>515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1665</v>
      </c>
      <c r="D85" s="10" t="s">
        <v>515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455</v>
      </c>
      <c r="D86" s="10" t="s">
        <v>856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1596</v>
      </c>
      <c r="D87" s="10" t="s">
        <v>856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1666</v>
      </c>
      <c r="D88" s="10" t="s">
        <v>856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456</v>
      </c>
      <c r="D89" s="10" t="s">
        <v>824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1597</v>
      </c>
      <c r="D90" s="10" t="s">
        <v>824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1667</v>
      </c>
      <c r="D91" s="10" t="s">
        <v>824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457</v>
      </c>
      <c r="D92" s="10" t="s">
        <v>857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1598</v>
      </c>
      <c r="D93" s="10" t="s">
        <v>857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1670</v>
      </c>
      <c r="D94" s="10" t="s">
        <v>857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458</v>
      </c>
      <c r="D95" s="10" t="s">
        <v>858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1599</v>
      </c>
      <c r="D96" s="10" t="s">
        <v>858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1668</v>
      </c>
      <c r="D97" s="10" t="s">
        <v>858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459</v>
      </c>
      <c r="D98" s="10" t="s">
        <v>825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1600</v>
      </c>
      <c r="D99" s="10" t="s">
        <v>825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1669</v>
      </c>
      <c r="D100" s="10" t="s">
        <v>825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460</v>
      </c>
      <c r="D101" s="10" t="s">
        <v>517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1601</v>
      </c>
      <c r="D102" s="10" t="s">
        <v>517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1671</v>
      </c>
      <c r="D103" s="10" t="s">
        <v>517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461</v>
      </c>
      <c r="D104" s="10" t="s">
        <v>879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1602</v>
      </c>
      <c r="D105" s="10" t="s">
        <v>879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1672</v>
      </c>
      <c r="D106" s="10" t="s">
        <v>879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462</v>
      </c>
      <c r="D107" s="10" t="s">
        <v>880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1603</v>
      </c>
      <c r="D108" s="10" t="s">
        <v>880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1673</v>
      </c>
      <c r="D109" s="10" t="s">
        <v>880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463</v>
      </c>
      <c r="D110" s="10" t="s">
        <v>881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1604</v>
      </c>
      <c r="D111" s="10" t="s">
        <v>881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1674</v>
      </c>
      <c r="D112" s="10" t="s">
        <v>881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464</v>
      </c>
      <c r="D113" s="10" t="s">
        <v>816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1605</v>
      </c>
      <c r="D114" s="10" t="s">
        <v>816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1675</v>
      </c>
      <c r="D115" s="10" t="s">
        <v>816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465</v>
      </c>
      <c r="D116" s="10" t="s">
        <v>519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1606</v>
      </c>
      <c r="D117" s="10" t="s">
        <v>519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1676</v>
      </c>
      <c r="D118" s="10" t="s">
        <v>519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466</v>
      </c>
      <c r="D119" s="10" t="s">
        <v>523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1607</v>
      </c>
      <c r="D120" s="10" t="s">
        <v>523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1677</v>
      </c>
      <c r="D121" s="10" t="s">
        <v>523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29">
        <v>3</v>
      </c>
      <c r="AG121" s="29">
        <v>2</v>
      </c>
      <c r="AH121" s="29">
        <v>35</v>
      </c>
      <c r="AI121" s="29">
        <v>30</v>
      </c>
      <c r="AJ121" s="29">
        <v>0</v>
      </c>
      <c r="AK121" s="29">
        <v>0</v>
      </c>
      <c r="AL121" s="29" t="b">
        <v>0</v>
      </c>
      <c r="AM121" s="29">
        <v>0</v>
      </c>
      <c r="AN121" s="29">
        <v>0</v>
      </c>
      <c r="AO121" s="29">
        <v>3</v>
      </c>
      <c r="AP121" s="29">
        <v>31</v>
      </c>
      <c r="AQ121" s="29">
        <v>2</v>
      </c>
      <c r="AR121" s="29" t="b">
        <v>1</v>
      </c>
    </row>
    <row r="122" spans="1:52" ht="18.75" customHeight="1">
      <c r="B122" s="7">
        <v>380001</v>
      </c>
      <c r="C122" s="7" t="s">
        <v>467</v>
      </c>
      <c r="D122" s="10" t="s">
        <v>817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1608</v>
      </c>
      <c r="D123" s="10" t="s">
        <v>817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1678</v>
      </c>
      <c r="D124" s="10" t="s">
        <v>817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468</v>
      </c>
      <c r="D125" s="10" t="s">
        <v>589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1609</v>
      </c>
      <c r="D126" s="10" t="s">
        <v>589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1679</v>
      </c>
      <c r="D127" s="10" t="s">
        <v>589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469</v>
      </c>
      <c r="D128" s="10" t="s">
        <v>818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1610</v>
      </c>
      <c r="D129" s="10" t="s">
        <v>818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1681</v>
      </c>
      <c r="D130" s="10" t="s">
        <v>818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470</v>
      </c>
      <c r="D131" s="10" t="s">
        <v>590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1611</v>
      </c>
      <c r="D132" s="10" t="s">
        <v>590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1680</v>
      </c>
      <c r="D133" s="10" t="s">
        <v>590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471</v>
      </c>
      <c r="D134" s="10" t="s">
        <v>591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1612</v>
      </c>
      <c r="D135" s="10" t="s">
        <v>591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1682</v>
      </c>
      <c r="D136" s="10" t="s">
        <v>591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472</v>
      </c>
      <c r="D137" s="10" t="s">
        <v>592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1613</v>
      </c>
      <c r="D138" s="10" t="s">
        <v>592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1683</v>
      </c>
      <c r="D139" s="10" t="s">
        <v>592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473</v>
      </c>
      <c r="D140" s="10" t="s">
        <v>593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1614</v>
      </c>
      <c r="D141" s="10" t="s">
        <v>593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1684</v>
      </c>
      <c r="D142" s="10" t="s">
        <v>593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474</v>
      </c>
      <c r="D143" s="10" t="s">
        <v>594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1615</v>
      </c>
      <c r="D144" s="10" t="s">
        <v>594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1685</v>
      </c>
      <c r="D145" s="10" t="s">
        <v>594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475</v>
      </c>
      <c r="D146" s="10" t="s">
        <v>595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1616</v>
      </c>
      <c r="D147" s="10" t="s">
        <v>595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1686</v>
      </c>
      <c r="D148" s="10" t="s">
        <v>595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476</v>
      </c>
      <c r="D149" s="10" t="s">
        <v>596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1617</v>
      </c>
      <c r="D150" s="10" t="s">
        <v>596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1687</v>
      </c>
      <c r="D151" s="10" t="s">
        <v>596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477</v>
      </c>
      <c r="D152" s="10" t="s">
        <v>597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1618</v>
      </c>
      <c r="D153" s="10" t="s">
        <v>597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1688</v>
      </c>
      <c r="D154" s="10" t="s">
        <v>597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478</v>
      </c>
      <c r="D155" s="10" t="s">
        <v>598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1619</v>
      </c>
      <c r="D156" s="10" t="s">
        <v>598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1689</v>
      </c>
      <c r="D157" s="10" t="s">
        <v>598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479</v>
      </c>
      <c r="D158" s="10" t="s">
        <v>599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1620</v>
      </c>
      <c r="D159" s="10" t="s">
        <v>599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1690</v>
      </c>
      <c r="D160" s="10" t="s">
        <v>599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480</v>
      </c>
      <c r="D161" s="10" t="s">
        <v>600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1621</v>
      </c>
      <c r="D162" s="10" t="s">
        <v>600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1691</v>
      </c>
      <c r="D163" s="10" t="s">
        <v>600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481</v>
      </c>
      <c r="D164" s="10" t="s">
        <v>601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1622</v>
      </c>
      <c r="D165" s="10" t="s">
        <v>601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1692</v>
      </c>
      <c r="D166" s="10" t="s">
        <v>601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482</v>
      </c>
      <c r="D167" s="10" t="s">
        <v>602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1623</v>
      </c>
      <c r="D168" s="10" t="s">
        <v>602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1693</v>
      </c>
      <c r="D169" s="10" t="s">
        <v>602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483</v>
      </c>
      <c r="D170" s="10" t="s">
        <v>603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1624</v>
      </c>
      <c r="D171" s="10" t="s">
        <v>603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1694</v>
      </c>
      <c r="D172" s="10" t="s">
        <v>603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484</v>
      </c>
      <c r="D173" s="10" t="s">
        <v>604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1625</v>
      </c>
      <c r="D174" s="10" t="s">
        <v>604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1695</v>
      </c>
      <c r="D175" s="10" t="s">
        <v>604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485</v>
      </c>
      <c r="D176" s="10" t="s">
        <v>605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1626</v>
      </c>
      <c r="D177" s="10" t="s">
        <v>605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1696</v>
      </c>
      <c r="D178" s="10" t="s">
        <v>605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486</v>
      </c>
      <c r="D179" s="10" t="s">
        <v>606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1627</v>
      </c>
      <c r="D180" s="10" t="s">
        <v>606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1697</v>
      </c>
      <c r="D181" s="10" t="s">
        <v>606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487</v>
      </c>
      <c r="D182" s="10" t="s">
        <v>607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1628</v>
      </c>
      <c r="D183" s="10" t="s">
        <v>607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1698</v>
      </c>
      <c r="D184" s="10" t="s">
        <v>607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488</v>
      </c>
      <c r="D185" s="10" t="s">
        <v>608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1629</v>
      </c>
      <c r="D186" s="10" t="s">
        <v>608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1699</v>
      </c>
      <c r="D187" s="10" t="s">
        <v>608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489</v>
      </c>
      <c r="D188" s="10" t="s">
        <v>609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1630</v>
      </c>
      <c r="D189" s="10" t="s">
        <v>609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1700</v>
      </c>
      <c r="D190" s="10" t="s">
        <v>609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490</v>
      </c>
      <c r="D191" s="10" t="s">
        <v>610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1631</v>
      </c>
      <c r="D192" s="10" t="s">
        <v>610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1701</v>
      </c>
      <c r="D193" s="10" t="s">
        <v>610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491</v>
      </c>
      <c r="D194" s="10" t="s">
        <v>611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1632</v>
      </c>
      <c r="D195" s="10" t="s">
        <v>611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1702</v>
      </c>
      <c r="D196" s="10" t="s">
        <v>611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492</v>
      </c>
      <c r="D197" s="10" t="s">
        <v>612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1633</v>
      </c>
      <c r="D198" s="10" t="s">
        <v>612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1703</v>
      </c>
      <c r="D199" s="10" t="s">
        <v>612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493</v>
      </c>
      <c r="D200" s="10" t="s">
        <v>613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1634</v>
      </c>
      <c r="D201" s="10" t="s">
        <v>613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1704</v>
      </c>
      <c r="D202" s="10" t="s">
        <v>613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494</v>
      </c>
      <c r="D203" s="10" t="s">
        <v>614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1635</v>
      </c>
      <c r="D204" s="10" t="s">
        <v>614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1705</v>
      </c>
      <c r="D205" s="10" t="s">
        <v>614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495</v>
      </c>
      <c r="D206" s="10" t="s">
        <v>615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1636</v>
      </c>
      <c r="D207" s="10" t="s">
        <v>615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1706</v>
      </c>
      <c r="D208" s="10" t="s">
        <v>615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496</v>
      </c>
      <c r="D209" s="10" t="s">
        <v>616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1637</v>
      </c>
      <c r="D210" s="10" t="s">
        <v>616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1707</v>
      </c>
      <c r="D211" s="10" t="s">
        <v>616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497</v>
      </c>
      <c r="D212" s="10" t="s">
        <v>617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1638</v>
      </c>
      <c r="D213" s="10" t="s">
        <v>617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1708</v>
      </c>
      <c r="D214" s="10" t="s">
        <v>617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498</v>
      </c>
      <c r="D215" s="10" t="s">
        <v>618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1639</v>
      </c>
      <c r="D216" s="10" t="s">
        <v>618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1709</v>
      </c>
      <c r="D217" s="10" t="s">
        <v>618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499</v>
      </c>
      <c r="D218" s="10" t="s">
        <v>619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1640</v>
      </c>
      <c r="D219" s="10" t="s">
        <v>619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1710</v>
      </c>
      <c r="D220" s="10" t="s">
        <v>619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42" priority="5">
      <formula>CELL("ROW")=ROW()</formula>
    </cfRule>
  </conditionalFormatting>
  <conditionalFormatting sqref="G10">
    <cfRule type="expression" dxfId="41" priority="4">
      <formula>CELL("ROW")=ROW()</formula>
    </cfRule>
  </conditionalFormatting>
  <conditionalFormatting sqref="T10">
    <cfRule type="expression" dxfId="40" priority="3">
      <formula>CELL("ROW")=ROW()</formula>
    </cfRule>
  </conditionalFormatting>
  <conditionalFormatting sqref="AG10">
    <cfRule type="expression" dxfId="39" priority="2">
      <formula>CELL("ROW")=ROW()</formula>
    </cfRule>
  </conditionalFormatting>
  <conditionalFormatting sqref="A7:AI7">
    <cfRule type="expression" dxfId="38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220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194</v>
      </c>
      <c r="D4" s="3" t="s">
        <v>893</v>
      </c>
      <c r="E4" s="3" t="s">
        <v>894</v>
      </c>
      <c r="F4" s="3" t="s">
        <v>897</v>
      </c>
      <c r="G4" s="3" t="s">
        <v>898</v>
      </c>
      <c r="H4" s="3" t="s">
        <v>899</v>
      </c>
      <c r="I4" s="3" t="s">
        <v>891</v>
      </c>
      <c r="J4" s="3" t="s">
        <v>889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174</v>
      </c>
      <c r="E8" s="4" t="s">
        <v>174</v>
      </c>
      <c r="F8" s="4" t="s">
        <v>888</v>
      </c>
      <c r="G8" s="4" t="s">
        <v>888</v>
      </c>
      <c r="H8" s="4" t="s">
        <v>888</v>
      </c>
      <c r="I8" s="4" t="s">
        <v>888</v>
      </c>
      <c r="J8" s="4" t="s">
        <v>174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202</v>
      </c>
      <c r="D9" s="6" t="s">
        <v>895</v>
      </c>
      <c r="E9" s="6" t="s">
        <v>896</v>
      </c>
      <c r="F9" s="6" t="s">
        <v>900</v>
      </c>
      <c r="G9" s="6" t="s">
        <v>901</v>
      </c>
      <c r="H9" s="6" t="s">
        <v>902</v>
      </c>
      <c r="I9" s="5" t="s">
        <v>892</v>
      </c>
      <c r="J9" s="6" t="s">
        <v>890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1279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903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920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905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906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907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908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910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909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911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912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921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922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923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924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925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926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927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928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929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930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931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932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933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934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935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936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937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938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939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940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941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942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943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944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945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946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947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948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949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950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951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952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953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954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955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956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957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958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913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959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960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961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962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963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964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965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966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967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968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969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970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971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972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914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915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916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917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918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919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973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974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975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976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977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978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979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980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981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982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983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984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985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986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987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988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989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990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991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992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993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994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995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996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997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998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999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1000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1001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1002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1003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1004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1005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1006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1007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1008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1009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1010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1011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1012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1013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1014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1015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1016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1017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1018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1019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1020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1021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1022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1023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1024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1025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1026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1027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1028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1029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1030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1031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1032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1033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1034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1035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1036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1037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1038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1039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1040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1041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1042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1043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1044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1045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1046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1047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1048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1049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1050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1051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1052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1053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1054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1055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1056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1057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1058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1059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1060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1061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1062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1063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1064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1065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1066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1067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1068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1069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1070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1071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1072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1073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1074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1075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1076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1077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1078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1079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1080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1081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1082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1083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1084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1085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1086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1087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1088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1089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1090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1091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1092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1093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1094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1095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1096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1097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1098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1099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1100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1101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1102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1103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1104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1105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1106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1107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1108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1109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1110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1111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1112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1113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1114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1115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1116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1117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1118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1119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1120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1121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1122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1123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1124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1125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1126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1127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1128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1129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1130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1131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1132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1133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1134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1135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1136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1137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1138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1139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1140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1141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1142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1143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1144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1145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1146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1147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1148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1149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1150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1151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1152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1153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1154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1155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1156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1157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1158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1159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1160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1161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1162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1163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1164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1165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1166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1167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1168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1169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1170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1171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1172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1173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1174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1175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1176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1177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1178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1179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1180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1181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1182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1183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1184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1185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1186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1187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1188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1189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1190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1191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1192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1193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1194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1195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1196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1197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1198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1199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1200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1201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1202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1203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1204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1205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904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1206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1207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1208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1209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1210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1211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1212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1213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1214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1215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1215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1215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1216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1216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1216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1217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1217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1217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1218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1218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1219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1219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1220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1220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1221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1221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1222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1222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1223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1223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1224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1224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1225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1225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1226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1226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1227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1227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1228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1228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1229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1229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1230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1230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1231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1231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1232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1232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1233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1233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1234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1234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1235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1235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1236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1236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1237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1237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1238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1238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1239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1239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1240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1240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1241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1242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1243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1244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1244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1245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1245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1246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1246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1247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1247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1248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1248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1249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1249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1250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1250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1251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1251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1252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1252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1253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1253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1254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1254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1255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1256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1255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1256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1257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1257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1258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1258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1259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1259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1260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1260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1261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1261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1262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1262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1263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1263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1264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1264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1265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1265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1266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1266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1267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1267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1268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1268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1269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1270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1271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1272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1273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1274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1275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1275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K9" sqref="K9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229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230</v>
      </c>
      <c r="D4" s="3" t="s">
        <v>15</v>
      </c>
      <c r="E4" s="3" t="s">
        <v>194</v>
      </c>
      <c r="F4" s="3" t="s">
        <v>1992</v>
      </c>
      <c r="G4" s="3"/>
      <c r="H4" s="3"/>
      <c r="I4" s="3" t="s">
        <v>179</v>
      </c>
      <c r="J4" s="3"/>
      <c r="K4" s="3"/>
      <c r="L4" s="3"/>
      <c r="M4" s="3"/>
      <c r="N4" s="3"/>
      <c r="O4" s="3" t="s">
        <v>234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180</v>
      </c>
      <c r="J6" s="3" t="s">
        <v>181</v>
      </c>
      <c r="K6" s="3" t="s">
        <v>221</v>
      </c>
      <c r="L6" s="3" t="s">
        <v>180</v>
      </c>
      <c r="M6" s="3" t="s">
        <v>181</v>
      </c>
      <c r="N6" s="3" t="s">
        <v>221</v>
      </c>
      <c r="O6" s="3" t="s">
        <v>180</v>
      </c>
      <c r="P6" s="3" t="s">
        <v>181</v>
      </c>
      <c r="Q6" s="3" t="s">
        <v>221</v>
      </c>
      <c r="R6" s="3" t="s">
        <v>180</v>
      </c>
      <c r="S6" s="3" t="s">
        <v>181</v>
      </c>
      <c r="T6" s="3" t="s">
        <v>221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1925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231</v>
      </c>
      <c r="D9" s="5" t="s">
        <v>233</v>
      </c>
      <c r="E9" s="5" t="s">
        <v>202</v>
      </c>
      <c r="F9" s="6" t="s">
        <v>1934</v>
      </c>
      <c r="G9" s="6" t="s">
        <v>118</v>
      </c>
      <c r="H9" s="5" t="s">
        <v>32</v>
      </c>
      <c r="I9" s="6" t="s">
        <v>183</v>
      </c>
      <c r="J9" s="6" t="s">
        <v>184</v>
      </c>
      <c r="K9" s="6" t="s">
        <v>222</v>
      </c>
      <c r="L9" s="6" t="s">
        <v>183</v>
      </c>
      <c r="M9" s="6" t="s">
        <v>184</v>
      </c>
      <c r="N9" s="6" t="s">
        <v>222</v>
      </c>
      <c r="O9" s="6" t="s">
        <v>183</v>
      </c>
      <c r="P9" s="6" t="s">
        <v>184</v>
      </c>
      <c r="Q9" s="6" t="s">
        <v>222</v>
      </c>
      <c r="R9" s="6" t="s">
        <v>183</v>
      </c>
      <c r="S9" s="6" t="s">
        <v>184</v>
      </c>
      <c r="T9" s="6" t="s">
        <v>222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232</v>
      </c>
      <c r="D10" s="19"/>
      <c r="E10" s="19"/>
      <c r="F10" s="6" t="s">
        <v>123</v>
      </c>
      <c r="G10" s="19"/>
      <c r="H10" s="19"/>
      <c r="I10" s="19" t="s">
        <v>235</v>
      </c>
      <c r="J10" s="19"/>
      <c r="K10" s="19"/>
      <c r="L10" s="19" t="s">
        <v>235</v>
      </c>
      <c r="M10" s="19"/>
      <c r="N10" s="19"/>
      <c r="O10" s="19" t="s">
        <v>235</v>
      </c>
      <c r="P10" s="18"/>
      <c r="Q10" s="19"/>
      <c r="R10" s="19" t="s">
        <v>235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236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237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241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242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243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244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6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E8" sqref="E8:G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253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257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258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259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254</v>
      </c>
      <c r="D11" s="6" t="s">
        <v>260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255</v>
      </c>
      <c r="D12" s="6" t="s">
        <v>261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256</v>
      </c>
      <c r="D13" s="48" t="s">
        <v>262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264</v>
      </c>
      <c r="D14" s="6" t="s">
        <v>270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269</v>
      </c>
      <c r="D15" s="6" t="s">
        <v>271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5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5" sqref="G5:I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263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265</v>
      </c>
      <c r="D4" s="3" t="s">
        <v>257</v>
      </c>
      <c r="E4" s="3" t="s">
        <v>1986</v>
      </c>
      <c r="F4" s="3" t="s">
        <v>1989</v>
      </c>
      <c r="G4" s="3" t="s">
        <v>268</v>
      </c>
      <c r="H4" s="3"/>
      <c r="I4" s="3"/>
      <c r="J4" s="3"/>
      <c r="K4" s="3"/>
      <c r="L4" s="3"/>
      <c r="M4" s="3" t="s">
        <v>1981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180</v>
      </c>
      <c r="H6" s="3" t="s">
        <v>181</v>
      </c>
      <c r="I6" s="3" t="s">
        <v>221</v>
      </c>
      <c r="J6" s="3" t="s">
        <v>180</v>
      </c>
      <c r="K6" s="3" t="s">
        <v>181</v>
      </c>
      <c r="L6" s="3" t="s">
        <v>221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258</v>
      </c>
      <c r="D8" s="4" t="s">
        <v>258</v>
      </c>
      <c r="E8" s="4" t="s">
        <v>174</v>
      </c>
      <c r="F8" s="4" t="s">
        <v>174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266</v>
      </c>
      <c r="D9" s="5" t="s">
        <v>267</v>
      </c>
      <c r="E9" s="5" t="s">
        <v>1987</v>
      </c>
      <c r="F9" s="5" t="s">
        <v>1990</v>
      </c>
      <c r="G9" s="6" t="s">
        <v>183</v>
      </c>
      <c r="H9" s="6" t="s">
        <v>184</v>
      </c>
      <c r="I9" s="6" t="s">
        <v>222</v>
      </c>
      <c r="J9" s="6" t="s">
        <v>183</v>
      </c>
      <c r="K9" s="6" t="s">
        <v>184</v>
      </c>
      <c r="L9" s="6" t="s">
        <v>222</v>
      </c>
      <c r="M9" s="6" t="s">
        <v>1934</v>
      </c>
      <c r="N9" s="6" t="s">
        <v>118</v>
      </c>
      <c r="O9" s="5" t="s">
        <v>32</v>
      </c>
      <c r="P9" s="6" t="s">
        <v>1934</v>
      </c>
      <c r="Q9" s="6" t="s">
        <v>118</v>
      </c>
      <c r="R9" s="5" t="s">
        <v>32</v>
      </c>
      <c r="S9" s="6" t="s">
        <v>1934</v>
      </c>
      <c r="T9" s="6" t="s">
        <v>118</v>
      </c>
      <c r="U9" s="5" t="s">
        <v>32</v>
      </c>
      <c r="V9" s="6" t="s">
        <v>1934</v>
      </c>
      <c r="W9" s="6" t="s">
        <v>118</v>
      </c>
      <c r="X9" s="5" t="s">
        <v>32</v>
      </c>
      <c r="Y9" s="6" t="s">
        <v>1934</v>
      </c>
      <c r="Z9" s="6" t="s">
        <v>118</v>
      </c>
      <c r="AA9" s="5" t="s">
        <v>32</v>
      </c>
      <c r="AB9" s="6" t="s">
        <v>1934</v>
      </c>
      <c r="AC9" s="6" t="s">
        <v>118</v>
      </c>
      <c r="AD9" s="5" t="s">
        <v>32</v>
      </c>
      <c r="AE9" s="6" t="s">
        <v>1934</v>
      </c>
      <c r="AF9" s="6" t="s">
        <v>118</v>
      </c>
      <c r="AG9" s="5" t="s">
        <v>32</v>
      </c>
      <c r="AH9" s="6" t="s">
        <v>1934</v>
      </c>
      <c r="AI9" s="6" t="s">
        <v>118</v>
      </c>
      <c r="AJ9" s="5" t="s">
        <v>32</v>
      </c>
      <c r="AK9" s="6" t="s">
        <v>1934</v>
      </c>
      <c r="AL9" s="6" t="s">
        <v>118</v>
      </c>
      <c r="AM9" s="5" t="s">
        <v>32</v>
      </c>
      <c r="AN9" s="6" t="s">
        <v>1934</v>
      </c>
      <c r="AO9" s="6" t="s">
        <v>118</v>
      </c>
      <c r="AP9" s="5" t="s">
        <v>32</v>
      </c>
      <c r="AQ9" s="6" t="s">
        <v>1934</v>
      </c>
      <c r="AR9" s="6" t="s">
        <v>118</v>
      </c>
      <c r="AS9" s="5" t="s">
        <v>32</v>
      </c>
      <c r="AT9" s="6" t="s">
        <v>1934</v>
      </c>
      <c r="AU9" s="6" t="s">
        <v>118</v>
      </c>
      <c r="AV9" s="5" t="s">
        <v>32</v>
      </c>
      <c r="AW9" s="6" t="s">
        <v>1934</v>
      </c>
      <c r="AX9" s="6" t="s">
        <v>118</v>
      </c>
      <c r="AY9" s="5" t="s">
        <v>32</v>
      </c>
      <c r="AZ9" s="6" t="s">
        <v>1934</v>
      </c>
      <c r="BA9" s="6" t="s">
        <v>118</v>
      </c>
      <c r="BB9" s="5" t="s">
        <v>32</v>
      </c>
      <c r="BC9" s="6" t="s">
        <v>1934</v>
      </c>
      <c r="BD9" s="6" t="s">
        <v>118</v>
      </c>
      <c r="BE9" s="5" t="s">
        <v>32</v>
      </c>
      <c r="BF9" s="6" t="s">
        <v>1934</v>
      </c>
      <c r="BG9" s="6" t="s">
        <v>118</v>
      </c>
      <c r="BH9" s="5" t="s">
        <v>32</v>
      </c>
      <c r="BI9" s="6" t="s">
        <v>1934</v>
      </c>
      <c r="BJ9" s="6" t="s">
        <v>118</v>
      </c>
      <c r="BK9" s="5" t="s">
        <v>32</v>
      </c>
      <c r="BL9" s="6" t="s">
        <v>1934</v>
      </c>
      <c r="BM9" s="6" t="s">
        <v>118</v>
      </c>
      <c r="BN9" s="5" t="s">
        <v>32</v>
      </c>
      <c r="BO9" s="6" t="s">
        <v>1934</v>
      </c>
      <c r="BP9" s="6" t="s">
        <v>118</v>
      </c>
      <c r="BQ9" s="5" t="s">
        <v>32</v>
      </c>
      <c r="BR9" s="6" t="s">
        <v>1934</v>
      </c>
      <c r="BS9" s="6" t="s">
        <v>118</v>
      </c>
      <c r="BT9" s="5" t="s">
        <v>32</v>
      </c>
      <c r="BU9" s="6" t="s">
        <v>1934</v>
      </c>
      <c r="BV9" s="6" t="s">
        <v>118</v>
      </c>
      <c r="BW9" s="5" t="s">
        <v>32</v>
      </c>
      <c r="BX9" s="6" t="s">
        <v>1934</v>
      </c>
      <c r="BY9" s="6" t="s">
        <v>118</v>
      </c>
      <c r="BZ9" s="5" t="s">
        <v>32</v>
      </c>
      <c r="CA9" s="6" t="s">
        <v>1934</v>
      </c>
      <c r="CB9" s="6" t="s">
        <v>118</v>
      </c>
      <c r="CC9" s="5" t="s">
        <v>32</v>
      </c>
      <c r="CD9" s="6" t="s">
        <v>1934</v>
      </c>
      <c r="CE9" s="6" t="s">
        <v>118</v>
      </c>
      <c r="CF9" s="5" t="s">
        <v>32</v>
      </c>
      <c r="CG9" s="6" t="s">
        <v>1934</v>
      </c>
      <c r="CH9" s="6" t="s">
        <v>118</v>
      </c>
      <c r="CI9" s="5" t="s">
        <v>32</v>
      </c>
      <c r="CJ9" s="6" t="s">
        <v>1934</v>
      </c>
      <c r="CK9" s="6" t="s">
        <v>118</v>
      </c>
      <c r="CL9" s="5" t="s">
        <v>32</v>
      </c>
      <c r="CM9" s="6" t="s">
        <v>1934</v>
      </c>
      <c r="CN9" s="6" t="s">
        <v>118</v>
      </c>
      <c r="CO9" s="5" t="s">
        <v>32</v>
      </c>
      <c r="CP9" s="6" t="s">
        <v>1934</v>
      </c>
      <c r="CQ9" s="6" t="s">
        <v>118</v>
      </c>
      <c r="CR9" s="5" t="s">
        <v>32</v>
      </c>
      <c r="CS9" s="6" t="s">
        <v>1934</v>
      </c>
      <c r="CT9" s="6" t="s">
        <v>118</v>
      </c>
      <c r="CU9" s="5" t="s">
        <v>32</v>
      </c>
      <c r="CV9" s="6" t="s">
        <v>1934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1988</v>
      </c>
      <c r="F10" s="19"/>
      <c r="G10" s="19" t="s">
        <v>235</v>
      </c>
      <c r="H10" s="19"/>
      <c r="I10" s="19"/>
      <c r="J10" s="19" t="s">
        <v>235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264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1985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1980</v>
      </c>
      <c r="D13" s="14"/>
      <c r="E13" s="14">
        <v>0</v>
      </c>
      <c r="F13" s="14">
        <v>0</v>
      </c>
      <c r="G13" s="14">
        <v>3</v>
      </c>
      <c r="H13" s="14"/>
      <c r="I13" s="23" t="s">
        <v>1982</v>
      </c>
      <c r="J13" s="14">
        <v>4</v>
      </c>
      <c r="K13" s="14"/>
      <c r="L13" s="23" t="s">
        <v>1983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1984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4" priority="30">
      <formula>CELL("ROW")=ROW()</formula>
    </cfRule>
  </conditionalFormatting>
  <conditionalFormatting sqref="P7:R7">
    <cfRule type="expression" dxfId="33" priority="29">
      <formula>CELL("ROW")=ROW()</formula>
    </cfRule>
  </conditionalFormatting>
  <conditionalFormatting sqref="S7:U7">
    <cfRule type="expression" dxfId="32" priority="28">
      <formula>CELL("ROW")=ROW()</formula>
    </cfRule>
  </conditionalFormatting>
  <conditionalFormatting sqref="V7:X7">
    <cfRule type="expression" dxfId="31" priority="27">
      <formula>CELL("ROW")=ROW()</formula>
    </cfRule>
  </conditionalFormatting>
  <conditionalFormatting sqref="Y7:AA7">
    <cfRule type="expression" dxfId="30" priority="26">
      <formula>CELL("ROW")=ROW()</formula>
    </cfRule>
  </conditionalFormatting>
  <conditionalFormatting sqref="AB7:AD7">
    <cfRule type="expression" dxfId="29" priority="25">
      <formula>CELL("ROW")=ROW()</formula>
    </cfRule>
  </conditionalFormatting>
  <conditionalFormatting sqref="AE7:AG7">
    <cfRule type="expression" dxfId="28" priority="24">
      <formula>CELL("ROW")=ROW()</formula>
    </cfRule>
  </conditionalFormatting>
  <conditionalFormatting sqref="AH7:AJ7">
    <cfRule type="expression" dxfId="27" priority="23">
      <formula>CELL("ROW")=ROW()</formula>
    </cfRule>
  </conditionalFormatting>
  <conditionalFormatting sqref="AK7:AM7">
    <cfRule type="expression" dxfId="26" priority="22">
      <formula>CELL("ROW")=ROW()</formula>
    </cfRule>
  </conditionalFormatting>
  <conditionalFormatting sqref="AN7:AP7">
    <cfRule type="expression" dxfId="25" priority="21">
      <formula>CELL("ROW")=ROW()</formula>
    </cfRule>
  </conditionalFormatting>
  <conditionalFormatting sqref="AQ7:AS7">
    <cfRule type="expression" dxfId="24" priority="20">
      <formula>CELL("ROW")=ROW()</formula>
    </cfRule>
  </conditionalFormatting>
  <conditionalFormatting sqref="AT7:AV7">
    <cfRule type="expression" dxfId="23" priority="19">
      <formula>CELL("ROW")=ROW()</formula>
    </cfRule>
  </conditionalFormatting>
  <conditionalFormatting sqref="AW7:AY7">
    <cfRule type="expression" dxfId="22" priority="18">
      <formula>CELL("ROW")=ROW()</formula>
    </cfRule>
  </conditionalFormatting>
  <conditionalFormatting sqref="AZ7:BB7">
    <cfRule type="expression" dxfId="21" priority="17">
      <formula>CELL("ROW")=ROW()</formula>
    </cfRule>
  </conditionalFormatting>
  <conditionalFormatting sqref="BC7:BE7">
    <cfRule type="expression" dxfId="20" priority="16">
      <formula>CELL("ROW")=ROW()</formula>
    </cfRule>
  </conditionalFormatting>
  <conditionalFormatting sqref="BF7:BH7">
    <cfRule type="expression" dxfId="19" priority="15">
      <formula>CELL("ROW")=ROW()</formula>
    </cfRule>
  </conditionalFormatting>
  <conditionalFormatting sqref="BI7:BK7">
    <cfRule type="expression" dxfId="18" priority="14">
      <formula>CELL("ROW")=ROW()</formula>
    </cfRule>
  </conditionalFormatting>
  <conditionalFormatting sqref="BL7:BN7">
    <cfRule type="expression" dxfId="17" priority="13">
      <formula>CELL("ROW")=ROW()</formula>
    </cfRule>
  </conditionalFormatting>
  <conditionalFormatting sqref="BO7:BQ7">
    <cfRule type="expression" dxfId="16" priority="12">
      <formula>CELL("ROW")=ROW()</formula>
    </cfRule>
  </conditionalFormatting>
  <conditionalFormatting sqref="BR7:BT7">
    <cfRule type="expression" dxfId="15" priority="11">
      <formula>CELL("ROW")=ROW()</formula>
    </cfRule>
  </conditionalFormatting>
  <conditionalFormatting sqref="BU7:BW7">
    <cfRule type="expression" dxfId="14" priority="10">
      <formula>CELL("ROW")=ROW()</formula>
    </cfRule>
  </conditionalFormatting>
  <conditionalFormatting sqref="BX7:BZ7">
    <cfRule type="expression" dxfId="13" priority="9">
      <formula>CELL("ROW")=ROW()</formula>
    </cfRule>
  </conditionalFormatting>
  <conditionalFormatting sqref="CA7:CC7">
    <cfRule type="expression" dxfId="12" priority="8">
      <formula>CELL("ROW")=ROW()</formula>
    </cfRule>
  </conditionalFormatting>
  <conditionalFormatting sqref="CD7:CF7">
    <cfRule type="expression" dxfId="11" priority="7">
      <formula>CELL("ROW")=ROW()</formula>
    </cfRule>
  </conditionalFormatting>
  <conditionalFormatting sqref="CG7:CI7">
    <cfRule type="expression" dxfId="10" priority="6">
      <formula>CELL("ROW")=ROW()</formula>
    </cfRule>
  </conditionalFormatting>
  <conditionalFormatting sqref="CJ7:CL7">
    <cfRule type="expression" dxfId="9" priority="5">
      <formula>CELL("ROW")=ROW()</formula>
    </cfRule>
  </conditionalFormatting>
  <conditionalFormatting sqref="CM7:CO7">
    <cfRule type="expression" dxfId="8" priority="4">
      <formula>CELL("ROW")=ROW()</formula>
    </cfRule>
  </conditionalFormatting>
  <conditionalFormatting sqref="CP7:CR7">
    <cfRule type="expression" dxfId="7" priority="3">
      <formula>CELL("ROW")=ROW()</formula>
    </cfRule>
  </conditionalFormatting>
  <conditionalFormatting sqref="CS7:CU7">
    <cfRule type="expression" dxfId="6" priority="2">
      <formula>CELL("ROW")=ROW()</formula>
    </cfRule>
  </conditionalFormatting>
  <conditionalFormatting sqref="CV7:CX7">
    <cfRule type="expression" dxfId="5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1280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1281</v>
      </c>
      <c r="D4" s="3" t="s">
        <v>1283</v>
      </c>
      <c r="E4" s="3" t="s">
        <v>1285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1282</v>
      </c>
      <c r="D9" s="5" t="s">
        <v>1284</v>
      </c>
      <c r="E9" s="6" t="s">
        <v>1286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1287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1736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1729</v>
      </c>
      <c r="D4" s="3" t="s">
        <v>1730</v>
      </c>
      <c r="E4" s="3" t="s">
        <v>1731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1732</v>
      </c>
      <c r="D9" s="5" t="s">
        <v>1733</v>
      </c>
      <c r="E9" s="6" t="s">
        <v>1734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1735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3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abSelected="1"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1745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1746</v>
      </c>
      <c r="D4" s="3" t="s">
        <v>1747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1749</v>
      </c>
      <c r="D9" s="5" t="s">
        <v>1748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2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2" sqref="D12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2027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257</v>
      </c>
      <c r="D4" s="3" t="s">
        <v>2028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180</v>
      </c>
      <c r="E6" s="3" t="s">
        <v>181</v>
      </c>
      <c r="F6" s="3" t="s">
        <v>221</v>
      </c>
      <c r="G6" s="3" t="s">
        <v>180</v>
      </c>
      <c r="H6" s="3" t="s">
        <v>181</v>
      </c>
      <c r="I6" s="3" t="s">
        <v>221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258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267</v>
      </c>
      <c r="D9" s="6" t="s">
        <v>183</v>
      </c>
      <c r="E9" s="6" t="s">
        <v>184</v>
      </c>
      <c r="F9" s="6" t="s">
        <v>222</v>
      </c>
      <c r="G9" s="6" t="s">
        <v>183</v>
      </c>
      <c r="H9" s="6" t="s">
        <v>184</v>
      </c>
      <c r="I9" s="6" t="s">
        <v>222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235</v>
      </c>
      <c r="E10" s="19"/>
      <c r="F10" s="19"/>
      <c r="G10" s="19" t="s">
        <v>235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2029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1" priority="2">
      <formula>CELL("ROW")=ROW()</formula>
    </cfRule>
  </conditionalFormatting>
  <conditionalFormatting sqref="D7:I7">
    <cfRule type="expression" dxfId="0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7" hidden="1" customWidth="1"/>
    <col min="2" max="2" width="10.625" style="57" hidden="1" customWidth="1"/>
    <col min="3" max="3" width="3.75" style="57" customWidth="1"/>
    <col min="4" max="15" width="13.25" style="57" customWidth="1"/>
    <col min="16" max="16384" width="9" style="57"/>
  </cols>
  <sheetData>
    <row r="1" spans="2:15" ht="15" hidden="1" thickBot="1"/>
    <row r="2" spans="2:15" ht="15" hidden="1" customHeight="1" thickBot="1">
      <c r="B2" s="58" t="s">
        <v>1878</v>
      </c>
    </row>
    <row r="3" spans="2:15" ht="15" customHeight="1" thickBot="1">
      <c r="B3" s="74"/>
    </row>
    <row r="4" spans="2:15" ht="15" thickBot="1">
      <c r="D4" s="62" t="s">
        <v>1884</v>
      </c>
      <c r="E4" s="61" t="s">
        <v>1429</v>
      </c>
      <c r="F4" s="60" t="s">
        <v>1880</v>
      </c>
      <c r="G4" s="60" t="s">
        <v>1882</v>
      </c>
      <c r="H4" s="59" t="s">
        <v>1883</v>
      </c>
      <c r="I4" s="74"/>
      <c r="J4" s="74"/>
    </row>
    <row r="5" spans="2:15">
      <c r="D5" s="63" t="s">
        <v>1879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1881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1890</v>
      </c>
      <c r="E8" s="66">
        <v>100</v>
      </c>
    </row>
    <row r="9" spans="2:15" ht="15" thickBot="1"/>
    <row r="10" spans="2:15" ht="15" thickBot="1">
      <c r="D10" s="62" t="s">
        <v>1885</v>
      </c>
      <c r="E10" s="61" t="s">
        <v>1910</v>
      </c>
      <c r="F10" s="66" t="s">
        <v>1911</v>
      </c>
      <c r="G10" s="74"/>
      <c r="H10" s="74"/>
      <c r="I10" s="74"/>
      <c r="J10" s="74"/>
    </row>
    <row r="11" spans="2:15" ht="15" thickBot="1">
      <c r="D11" s="65" t="s">
        <v>1896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1919</v>
      </c>
    </row>
    <row r="14" spans="2:15" ht="15" hidden="1" thickBot="1">
      <c r="D14" s="75" t="s">
        <v>1894</v>
      </c>
      <c r="E14" s="61" t="s">
        <v>1895</v>
      </c>
      <c r="F14" s="60" t="s">
        <v>1886</v>
      </c>
      <c r="G14" s="60" t="s">
        <v>1887</v>
      </c>
      <c r="H14" s="60" t="s">
        <v>1888</v>
      </c>
      <c r="I14" s="60" t="s">
        <v>1914</v>
      </c>
      <c r="J14" s="60" t="s">
        <v>1915</v>
      </c>
      <c r="K14" s="60" t="s">
        <v>1889</v>
      </c>
      <c r="L14" s="61" t="s">
        <v>1906</v>
      </c>
      <c r="M14" s="60" t="s">
        <v>1907</v>
      </c>
      <c r="N14" s="60" t="s">
        <v>1908</v>
      </c>
      <c r="O14" s="59" t="s">
        <v>1909</v>
      </c>
    </row>
    <row r="15" spans="2:15" hidden="1">
      <c r="D15" s="63" t="s">
        <v>1879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1881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1891</v>
      </c>
      <c r="E17" s="61" t="s">
        <v>1892</v>
      </c>
      <c r="F17" s="60" t="s">
        <v>1893</v>
      </c>
      <c r="G17" s="60" t="s">
        <v>1921</v>
      </c>
      <c r="H17" s="60" t="s">
        <v>1916</v>
      </c>
      <c r="I17" s="60" t="s">
        <v>1917</v>
      </c>
      <c r="J17" s="78" t="s">
        <v>1918</v>
      </c>
    </row>
    <row r="18" spans="4:15" hidden="1">
      <c r="D18" s="63" t="s">
        <v>1912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1913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1920</v>
      </c>
      <c r="E21" s="80" t="s">
        <v>1922</v>
      </c>
      <c r="F21" s="81"/>
      <c r="G21" s="81"/>
    </row>
    <row r="22" spans="4:15" ht="15" hidden="1" thickBot="1">
      <c r="D22" s="75" t="s">
        <v>1894</v>
      </c>
      <c r="E22" s="61" t="s">
        <v>1895</v>
      </c>
      <c r="F22" s="60" t="s">
        <v>1886</v>
      </c>
      <c r="G22" s="60" t="s">
        <v>1887</v>
      </c>
      <c r="H22" s="60" t="s">
        <v>1888</v>
      </c>
      <c r="I22" s="60" t="s">
        <v>1914</v>
      </c>
      <c r="J22" s="60" t="s">
        <v>1915</v>
      </c>
      <c r="K22" s="60" t="s">
        <v>1889</v>
      </c>
      <c r="L22" s="61" t="s">
        <v>1906</v>
      </c>
      <c r="M22" s="60" t="s">
        <v>1907</v>
      </c>
      <c r="N22" s="60" t="s">
        <v>1908</v>
      </c>
      <c r="O22" s="59" t="s">
        <v>1909</v>
      </c>
    </row>
    <row r="23" spans="4:15" hidden="1">
      <c r="D23" s="63" t="s">
        <v>1879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1881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1891</v>
      </c>
      <c r="E25" s="61" t="s">
        <v>1892</v>
      </c>
      <c r="F25" s="60" t="s">
        <v>1893</v>
      </c>
      <c r="G25" s="60" t="s">
        <v>1921</v>
      </c>
      <c r="H25" s="60" t="s">
        <v>1916</v>
      </c>
      <c r="I25" s="60" t="s">
        <v>1917</v>
      </c>
      <c r="J25" s="78" t="s">
        <v>1918</v>
      </c>
    </row>
    <row r="26" spans="4:15" hidden="1">
      <c r="D26" s="63" t="s">
        <v>1912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1913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1923</v>
      </c>
      <c r="E29" s="80" t="s">
        <v>1924</v>
      </c>
      <c r="F29" s="81"/>
      <c r="G29" s="81"/>
    </row>
    <row r="30" spans="4:15" ht="15" thickBot="1">
      <c r="D30" s="75" t="s">
        <v>1894</v>
      </c>
      <c r="E30" s="61" t="s">
        <v>1895</v>
      </c>
      <c r="F30" s="60" t="s">
        <v>1886</v>
      </c>
      <c r="G30" s="60" t="s">
        <v>1887</v>
      </c>
      <c r="H30" s="60" t="s">
        <v>1888</v>
      </c>
      <c r="I30" s="60" t="s">
        <v>1914</v>
      </c>
      <c r="J30" s="60" t="s">
        <v>1915</v>
      </c>
      <c r="K30" s="60" t="s">
        <v>1889</v>
      </c>
      <c r="L30" s="61" t="s">
        <v>1906</v>
      </c>
      <c r="M30" s="60" t="s">
        <v>1907</v>
      </c>
      <c r="N30" s="60" t="s">
        <v>1908</v>
      </c>
      <c r="O30" s="59" t="s">
        <v>1909</v>
      </c>
    </row>
    <row r="31" spans="4:15">
      <c r="D31" s="63" t="s">
        <v>1879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1881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1891</v>
      </c>
      <c r="E33" s="61" t="s">
        <v>1892</v>
      </c>
      <c r="F33" s="60" t="s">
        <v>1893</v>
      </c>
      <c r="G33" s="60" t="s">
        <v>1921</v>
      </c>
      <c r="H33" s="60" t="s">
        <v>1916</v>
      </c>
      <c r="I33" s="60" t="s">
        <v>1917</v>
      </c>
      <c r="J33" s="78" t="s">
        <v>1918</v>
      </c>
    </row>
    <row r="34" spans="4:10" hidden="1">
      <c r="D34" s="63" t="s">
        <v>1912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1913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29</vt:i4>
      </vt:variant>
    </vt:vector>
  </HeadingPairs>
  <TitlesOfParts>
    <vt:vector size="29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2022-09-27T14:20:58Z</dcterms:modified>
</cp:coreProperties>
</file>