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A641C642-47D3-4736-8D24-0818D6859ACD}" xr6:coauthVersionLast="47" xr6:coauthVersionMax="47" xr10:uidLastSave="{00000000-0000-0000-0000-000000000000}"/>
  <bookViews>
    <workbookView xWindow="-120" yWindow="-120" windowWidth="29040" windowHeight="15840" firstSheet="1" activeTab="26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I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I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J32" i="31" l="1"/>
  <c r="F35" i="31" s="1"/>
  <c r="F19" i="31"/>
  <c r="E19" i="31"/>
  <c r="F18" i="31"/>
  <c r="E18" i="31"/>
  <c r="E27" i="31"/>
  <c r="E26" i="31"/>
  <c r="F27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35" i="31" l="1"/>
  <c r="G35" i="31" s="1"/>
  <c r="E34" i="31"/>
  <c r="G19" i="31"/>
  <c r="F34" i="31"/>
  <c r="G18" i="31"/>
  <c r="G27" i="31"/>
  <c r="F26" i="31"/>
  <c r="G26" i="31" s="1"/>
  <c r="G34" i="31" l="1"/>
</calcChain>
</file>

<file path=xl/sharedStrings.xml><?xml version="1.0" encoding="utf-8"?>
<sst xmlns="http://schemas.openxmlformats.org/spreadsheetml/2006/main" count="4681" uniqueCount="2030">
  <si>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</si>
  <si>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</si>
  <si>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</si>
  <si>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</si>
  <si>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</si>
  <si>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</si>
  <si>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</si>
  <si>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</si>
  <si>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</si>
  <si>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</si>
  <si>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</si>
  <si>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</si>
  <si>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</si>
  <si>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</si>
  <si>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</si>
  <si>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</si>
  <si>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</si>
  <si>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</si>
  <si>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</si>
  <si>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</si>
  <si>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</si>
  <si>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</si>
  <si>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</si>
  <si>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</si>
  <si>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</si>
  <si>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</si>
  <si>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</si>
  <si>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</si>
  <si>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</si>
  <si>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</si>
  <si>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</si>
  <si>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</si>
  <si>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</si>
  <si>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</si>
  <si>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</si>
  <si>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</si>
  <si>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</si>
  <si>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</si>
  <si>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</si>
  <si>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</si>
  <si>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</si>
  <si>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</si>
  <si>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</si>
  <si>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</si>
  <si>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</si>
  <si>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</si>
  <si>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</si>
  <si>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</si>
  <si>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</si>
  <si>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</si>
  <si>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</si>
  <si>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</si>
  <si>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</si>
  <si>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</si>
  <si>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</si>
  <si>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</si>
  <si>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</si>
  <si>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</si>
  <si>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</si>
  <si>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</si>
  <si>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</si>
  <si>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</si>
  <si>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</si>
  <si>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</si>
  <si>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</si>
  <si>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</si>
  <si>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</si>
  <si>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</si>
  <si>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</si>
  <si>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</si>
  <si>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</si>
  <si>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</si>
  <si>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</si>
  <si>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</si>
  <si>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</si>
  <si>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</si>
  <si>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</si>
  <si>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</si>
  <si>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</si>
  <si>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</si>
  <si>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</si>
  <si>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</si>
  <si>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</si>
  <si>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</si>
  <si>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</si>
  <si>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</si>
  <si>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</si>
  <si>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</si>
  <si>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</si>
  <si>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</si>
  <si>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</si>
  <si>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</si>
  <si>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</si>
  <si>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</si>
  <si>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</si>
  <si>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</si>
  <si>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</si>
  <si>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</si>
  <si>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</si>
  <si>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</si>
  <si>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</si>
  <si>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</si>
  <si>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</si>
  <si>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</si>
  <si>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</si>
  <si>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</si>
  <si>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</si>
  <si>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</si>
  <si>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</si>
  <si>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</si>
  <si>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</si>
  <si>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</si>
  <si>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</si>
  <si>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</si>
  <si>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</si>
  <si>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</si>
  <si>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</si>
  <si>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</si>
  <si>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</si>
  <si>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</si>
  <si>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</si>
  <si>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</si>
  <si>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</si>
  <si>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</si>
  <si>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</si>
  <si>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</si>
  <si>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</si>
  <si>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</si>
  <si>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</si>
  <si>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</si>
  <si>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</si>
  <si>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</si>
  <si>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</si>
  <si>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</si>
  <si>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</si>
  <si>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</si>
  <si>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</si>
  <si>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level1Attack</t>
    <phoneticPr fontId="5"/>
  </si>
  <si>
    <t>level1Hp</t>
    <phoneticPr fontId="5"/>
  </si>
  <si>
    <t>level1Heal</t>
    <phoneticPr fontId="5"/>
  </si>
  <si>
    <t>level100Hp</t>
    <phoneticPr fontId="5"/>
  </si>
  <si>
    <t>level100Attack</t>
    <phoneticPr fontId="5"/>
  </si>
  <si>
    <t>level100Heal</t>
    <phoneticPr fontId="5"/>
  </si>
  <si>
    <t>レベル100での体力</t>
    <rPh sb="0" eb="2">
      <t>ジテn</t>
    </rPh>
    <phoneticPr fontId="5"/>
  </si>
  <si>
    <t>レベル1での体力</t>
    <rPh sb="0" eb="2">
      <t>ジテn</t>
    </rPh>
    <phoneticPr fontId="5"/>
  </si>
  <si>
    <t>レベル1での攻撃力</t>
    <rPh sb="0" eb="2">
      <t>ジテn</t>
    </rPh>
    <phoneticPr fontId="5"/>
  </si>
  <si>
    <t>レベル1での回復力</t>
    <rPh sb="0" eb="2">
      <t>ジテn</t>
    </rPh>
    <phoneticPr fontId="5"/>
  </si>
  <si>
    <t>レベル100での攻撃力</t>
    <rPh sb="0" eb="2">
      <t>ジテn</t>
    </rPh>
    <phoneticPr fontId="5"/>
  </si>
  <si>
    <t>レベル100での回復力</t>
    <rPh sb="0" eb="2">
      <t>ジテn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</si>
  <si>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</si>
  <si>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</si>
  <si>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</si>
  <si>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</si>
  <si>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</si>
  <si>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</si>
  <si>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</si>
  <si>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</si>
  <si>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</si>
  <si>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</si>
  <si>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</si>
  <si>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</si>
  <si>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</si>
  <si>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</si>
  <si>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</si>
  <si>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</si>
  <si>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</si>
  <si>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</si>
  <si>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</si>
  <si>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</si>
  <si>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</si>
  <si>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firstRewardBundleId</t>
    <phoneticPr fontId="5"/>
  </si>
  <si>
    <t>dropBundleId</t>
    <phoneticPr fontId="5"/>
  </si>
  <si>
    <t>初回クリア報酬</t>
    <phoneticPr fontId="5"/>
  </si>
  <si>
    <t>ドロップバンドルID</t>
    <phoneticPr fontId="5"/>
  </si>
  <si>
    <t>QuestMonsterMB</t>
    <phoneticPr fontId="5"/>
  </si>
  <si>
    <t>monsterId</t>
    <phoneticPr fontId="5"/>
  </si>
  <si>
    <t>モンスターID</t>
    <phoneticPr fontId="5"/>
  </si>
  <si>
    <t>HP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</si>
  <si>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</si>
  <si>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</si>
  <si>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</si>
  <si>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</si>
  <si>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</si>
  <si>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</si>
  <si>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</si>
  <si>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</si>
  <si>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</si>
  <si>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</si>
  <si>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</si>
  <si>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</si>
  <si>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</si>
  <si>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</si>
  <si>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</si>
  <si>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</si>
  <si>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</si>
  <si>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</si>
  <si>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</si>
  <si>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</si>
  <si>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</si>
  <si>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</si>
  <si>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</si>
  <si>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</si>
  <si>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</si>
  <si>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</si>
  <si>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</si>
  <si>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</si>
  <si>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</si>
  <si>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</si>
  <si>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</si>
  <si>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</si>
  <si>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</si>
  <si>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</si>
  <si>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</si>
  <si>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</si>
  <si>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</si>
  <si>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</si>
  <si>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</si>
  <si>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</si>
  <si>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</si>
  <si>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</si>
  <si>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</si>
  <si>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</si>
  <si>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</si>
  <si>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</si>
  <si>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</si>
  <si>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</si>
  <si>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</si>
  <si>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</si>
  <si>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</si>
  <si>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</si>
  <si>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</si>
  <si>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</si>
  <si>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questWaveIdList</t>
  </si>
  <si>
    <t>クエストウェーブIDリスト</t>
    <phoneticPr fontId="5"/>
  </si>
  <si>
    <t>questMonsterIdList</t>
    <phoneticPr fontId="5"/>
  </si>
  <si>
    <t>level1Defense</t>
    <phoneticPr fontId="5"/>
  </si>
  <si>
    <t>level1Speed</t>
    <phoneticPr fontId="5"/>
  </si>
  <si>
    <t>レベル１での防御力</t>
    <rPh sb="6" eb="9">
      <t>ボウギョリョク</t>
    </rPh>
    <phoneticPr fontId="5"/>
  </si>
  <si>
    <t>レベル１でのスピード</t>
    <phoneticPr fontId="5"/>
  </si>
  <si>
    <t>level100Defense</t>
    <phoneticPr fontId="5"/>
  </si>
  <si>
    <t>level100Speed</t>
    <phoneticPr fontId="5"/>
  </si>
  <si>
    <t>レベル100での防御力</t>
    <rPh sb="8" eb="11">
      <t>ボウギョリョク</t>
    </rPh>
    <phoneticPr fontId="5"/>
  </si>
  <si>
    <t>レベル100でのスピード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</si>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</sst>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176" fontId="2" fillId="0" borderId="4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Z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15" width="12.625" style="37" customWidth="1"/>
    <col min="16" max="16" width="13.75" style="37" customWidth="1"/>
    <col min="17" max="17" width="14.375" style="37" customWidth="1"/>
    <col min="18" max="22" width="12.625" style="37" customWidth="1"/>
    <col min="23" max="29" width="14.75" style="37" customWidth="1"/>
    <col min="30" max="30" width="15.25" style="37" customWidth="1"/>
    <col min="31" max="31" width="17.5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14</v>
      </c>
    </row>
    <row r="3" spans="1:5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149</v>
      </c>
      <c r="E4" s="3" t="s">
        <v>1828</v>
      </c>
      <c r="F4" s="3" t="s">
        <v>1862</v>
      </c>
      <c r="G4" s="3" t="s">
        <v>23</v>
      </c>
      <c r="H4" s="3"/>
      <c r="I4" s="3" t="s">
        <v>2002</v>
      </c>
      <c r="J4" s="3" t="s">
        <v>2003</v>
      </c>
      <c r="K4" s="3" t="s">
        <v>2004</v>
      </c>
      <c r="L4" s="3" t="s">
        <v>2005</v>
      </c>
      <c r="M4" s="3" t="s">
        <v>138</v>
      </c>
      <c r="N4" s="3" t="s">
        <v>137</v>
      </c>
      <c r="O4" s="3" t="s">
        <v>139</v>
      </c>
      <c r="P4" s="3" t="s">
        <v>235</v>
      </c>
      <c r="Q4" s="3" t="s">
        <v>236</v>
      </c>
      <c r="R4" s="3" t="s">
        <v>140</v>
      </c>
      <c r="S4" s="3" t="s">
        <v>141</v>
      </c>
      <c r="T4" s="3" t="s">
        <v>142</v>
      </c>
      <c r="U4" s="3" t="s">
        <v>239</v>
      </c>
      <c r="V4" s="3" t="s">
        <v>240</v>
      </c>
      <c r="W4" s="3" t="s">
        <v>1802</v>
      </c>
      <c r="X4" s="3" t="s">
        <v>1803</v>
      </c>
      <c r="Y4" s="3" t="s">
        <v>1804</v>
      </c>
      <c r="Z4" s="3" t="s">
        <v>1808</v>
      </c>
      <c r="AA4" s="3" t="s">
        <v>1810</v>
      </c>
      <c r="AB4" s="3" t="s">
        <v>1811</v>
      </c>
      <c r="AC4" s="3" t="s">
        <v>1814</v>
      </c>
      <c r="AD4" s="3" t="s">
        <v>1818</v>
      </c>
      <c r="AE4" s="3" t="s">
        <v>1819</v>
      </c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2006</v>
      </c>
      <c r="J7" s="4" t="s">
        <v>2006</v>
      </c>
      <c r="K7" s="4" t="s">
        <v>2006</v>
      </c>
      <c r="L7" s="4" t="s">
        <v>2006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 t="s">
        <v>20</v>
      </c>
      <c r="W7" s="4" t="s">
        <v>20</v>
      </c>
      <c r="X7" s="4" t="s">
        <v>20</v>
      </c>
      <c r="Y7" s="4" t="s">
        <v>20</v>
      </c>
      <c r="Z7" s="4" t="s">
        <v>20</v>
      </c>
      <c r="AA7" s="4" t="s">
        <v>20</v>
      </c>
      <c r="AB7" s="4" t="s">
        <v>20</v>
      </c>
      <c r="AC7" s="4" t="s">
        <v>20</v>
      </c>
      <c r="AD7" s="4" t="s">
        <v>20</v>
      </c>
      <c r="AE7" s="4" t="s">
        <v>20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6" t="s">
        <v>11</v>
      </c>
      <c r="C8" s="6" t="s">
        <v>16</v>
      </c>
      <c r="D8" s="6" t="s">
        <v>1830</v>
      </c>
      <c r="E8" s="6" t="s">
        <v>1829</v>
      </c>
      <c r="F8" s="6" t="s">
        <v>1863</v>
      </c>
      <c r="G8" s="6" t="s">
        <v>21</v>
      </c>
      <c r="H8" s="6"/>
      <c r="I8" s="6" t="s">
        <v>2007</v>
      </c>
      <c r="J8" s="6" t="s">
        <v>2008</v>
      </c>
      <c r="K8" s="6" t="s">
        <v>2009</v>
      </c>
      <c r="L8" s="6" t="s">
        <v>2010</v>
      </c>
      <c r="M8" s="6" t="s">
        <v>144</v>
      </c>
      <c r="N8" s="6" t="s">
        <v>145</v>
      </c>
      <c r="O8" s="6" t="s">
        <v>146</v>
      </c>
      <c r="P8" s="6" t="s">
        <v>237</v>
      </c>
      <c r="Q8" s="6" t="s">
        <v>238</v>
      </c>
      <c r="R8" s="6" t="s">
        <v>143</v>
      </c>
      <c r="S8" s="6" t="s">
        <v>147</v>
      </c>
      <c r="T8" s="6" t="s">
        <v>148</v>
      </c>
      <c r="U8" s="6" t="s">
        <v>241</v>
      </c>
      <c r="V8" s="6" t="s">
        <v>242</v>
      </c>
      <c r="W8" s="6" t="s">
        <v>1805</v>
      </c>
      <c r="X8" s="6" t="s">
        <v>1806</v>
      </c>
      <c r="Y8" s="6" t="s">
        <v>1807</v>
      </c>
      <c r="Z8" s="6" t="s">
        <v>1809</v>
      </c>
      <c r="AA8" s="6" t="s">
        <v>1812</v>
      </c>
      <c r="AB8" s="6" t="s">
        <v>1813</v>
      </c>
      <c r="AC8" s="6" t="s">
        <v>1815</v>
      </c>
      <c r="AD8" s="6" t="s">
        <v>1816</v>
      </c>
      <c r="AE8" s="6" t="s">
        <v>1817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6"/>
      <c r="AQ8" s="6"/>
      <c r="AR8" s="5"/>
      <c r="AS8" s="5"/>
      <c r="AT8" s="5"/>
      <c r="AU8" s="5"/>
      <c r="AV8" s="5"/>
      <c r="AW8" s="5"/>
      <c r="AX8" s="5"/>
      <c r="AY8" s="5"/>
      <c r="AZ8" s="5"/>
    </row>
    <row r="9" spans="1:52" ht="132" customHeight="1">
      <c r="A9" s="57" t="s">
        <v>12</v>
      </c>
      <c r="B9" s="6"/>
      <c r="C9" s="6"/>
      <c r="D9" s="6" t="s">
        <v>150</v>
      </c>
      <c r="E9" s="6" t="s">
        <v>1831</v>
      </c>
      <c r="F9" s="6"/>
      <c r="G9" s="6" t="s">
        <v>24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6"/>
      <c r="AI9" s="6"/>
      <c r="AJ9" s="6"/>
      <c r="AK9" s="6"/>
      <c r="AL9" s="6"/>
      <c r="AM9" s="6"/>
      <c r="AN9" s="5"/>
      <c r="AO9" s="5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8.75" customHeight="1">
      <c r="A10" s="58" t="s">
        <v>13</v>
      </c>
      <c r="B10" s="7">
        <v>1</v>
      </c>
      <c r="C10" s="7" t="s">
        <v>610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160</v>
      </c>
      <c r="J10" s="7">
        <v>110</v>
      </c>
      <c r="K10" s="7">
        <v>110</v>
      </c>
      <c r="L10" s="7">
        <v>30</v>
      </c>
      <c r="M10" s="7">
        <v>120</v>
      </c>
      <c r="N10" s="7">
        <v>180</v>
      </c>
      <c r="O10" s="7">
        <v>80</v>
      </c>
      <c r="P10" s="7">
        <v>100</v>
      </c>
      <c r="Q10" s="7">
        <v>100</v>
      </c>
      <c r="R10" s="7">
        <v>2600</v>
      </c>
      <c r="S10" s="7">
        <v>3200</v>
      </c>
      <c r="T10" s="7">
        <v>1900</v>
      </c>
      <c r="U10" s="7">
        <v>2000</v>
      </c>
      <c r="V10" s="7">
        <v>2000</v>
      </c>
      <c r="W10" s="7">
        <v>100010001</v>
      </c>
      <c r="X10" s="7">
        <v>100010002</v>
      </c>
      <c r="Y10" s="7">
        <v>100010003</v>
      </c>
      <c r="Z10" s="7">
        <v>10001</v>
      </c>
      <c r="AA10" s="7">
        <v>10002</v>
      </c>
      <c r="AB10" s="7">
        <v>10003</v>
      </c>
      <c r="AC10" s="7">
        <v>10001</v>
      </c>
      <c r="AD10" s="7">
        <v>10002</v>
      </c>
      <c r="AE10" s="7">
        <v>10003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ht="18.75" customHeight="1">
      <c r="A11" s="8"/>
      <c r="B11" s="7">
        <v>2</v>
      </c>
      <c r="C11" s="7" t="s">
        <v>611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45</v>
      </c>
      <c r="J11" s="7">
        <v>50</v>
      </c>
      <c r="K11" s="7">
        <v>50</v>
      </c>
      <c r="L11" s="7">
        <v>45</v>
      </c>
      <c r="M11" s="7">
        <v>130</v>
      </c>
      <c r="N11" s="7">
        <v>120</v>
      </c>
      <c r="O11" s="7">
        <v>170</v>
      </c>
      <c r="P11" s="7">
        <v>100</v>
      </c>
      <c r="Q11" s="7">
        <v>120</v>
      </c>
      <c r="R11" s="7">
        <v>2800</v>
      </c>
      <c r="S11" s="7">
        <v>2600</v>
      </c>
      <c r="T11" s="7">
        <v>3100</v>
      </c>
      <c r="U11" s="7">
        <v>2000</v>
      </c>
      <c r="V11" s="7">
        <v>2600</v>
      </c>
      <c r="W11" s="7">
        <v>200010001</v>
      </c>
      <c r="X11" s="7">
        <v>200010002</v>
      </c>
      <c r="Y11" s="7">
        <v>200010003</v>
      </c>
      <c r="Z11" s="7">
        <v>20001</v>
      </c>
      <c r="AA11" s="7">
        <v>20002</v>
      </c>
      <c r="AB11" s="7">
        <v>20003</v>
      </c>
      <c r="AC11" s="7">
        <v>20001</v>
      </c>
      <c r="AD11" s="7">
        <v>20002</v>
      </c>
      <c r="AE11" s="7">
        <v>20003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7">
        <v>3</v>
      </c>
      <c r="C12" s="7" t="s">
        <v>612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80</v>
      </c>
      <c r="J12" s="7">
        <v>80</v>
      </c>
      <c r="K12" s="7">
        <v>80</v>
      </c>
      <c r="L12" s="7">
        <v>80</v>
      </c>
      <c r="M12" s="7">
        <v>180</v>
      </c>
      <c r="N12" s="7">
        <v>140</v>
      </c>
      <c r="O12" s="7">
        <v>120</v>
      </c>
      <c r="P12" s="7">
        <v>100</v>
      </c>
      <c r="Q12" s="7">
        <v>80</v>
      </c>
      <c r="R12" s="7">
        <v>3200</v>
      </c>
      <c r="S12" s="7">
        <v>2700</v>
      </c>
      <c r="T12" s="7">
        <v>2600</v>
      </c>
      <c r="U12" s="7">
        <v>2000</v>
      </c>
      <c r="V12" s="7">
        <v>1500</v>
      </c>
      <c r="W12" s="7">
        <v>300010001</v>
      </c>
      <c r="X12" s="7">
        <v>300010002</v>
      </c>
      <c r="Y12" s="7">
        <v>300010003</v>
      </c>
      <c r="Z12" s="7">
        <v>30001</v>
      </c>
      <c r="AA12" s="7">
        <v>30002</v>
      </c>
      <c r="AB12" s="7">
        <v>30003</v>
      </c>
      <c r="AC12" s="7">
        <v>30001</v>
      </c>
      <c r="AD12" s="7">
        <v>30002</v>
      </c>
      <c r="AE12" s="7">
        <v>30003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4</v>
      </c>
      <c r="C13" s="7" t="s">
        <v>613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80</v>
      </c>
      <c r="J13" s="7">
        <v>80</v>
      </c>
      <c r="K13" s="7">
        <v>80</v>
      </c>
      <c r="L13" s="7">
        <v>80</v>
      </c>
      <c r="M13" s="7">
        <v>160</v>
      </c>
      <c r="N13" s="7">
        <v>180</v>
      </c>
      <c r="O13" s="7">
        <v>100</v>
      </c>
      <c r="P13" s="7">
        <v>100</v>
      </c>
      <c r="Q13" s="7">
        <v>100</v>
      </c>
      <c r="R13" s="7">
        <v>3000</v>
      </c>
      <c r="S13" s="7">
        <v>3200</v>
      </c>
      <c r="T13" s="7">
        <v>2400</v>
      </c>
      <c r="U13" s="7">
        <v>2000</v>
      </c>
      <c r="V13" s="7">
        <v>2600</v>
      </c>
      <c r="W13" s="7">
        <v>400010001</v>
      </c>
      <c r="X13" s="7">
        <v>400010002</v>
      </c>
      <c r="Y13" s="7">
        <v>400010003</v>
      </c>
      <c r="Z13" s="7">
        <v>40001</v>
      </c>
      <c r="AA13" s="7">
        <v>40002</v>
      </c>
      <c r="AB13" s="7">
        <v>40003</v>
      </c>
      <c r="AC13" s="7">
        <v>40001</v>
      </c>
      <c r="AD13" s="7">
        <v>40002</v>
      </c>
      <c r="AE13" s="7">
        <v>40003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5</v>
      </c>
      <c r="C14" s="7" t="s">
        <v>614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80</v>
      </c>
      <c r="J14" s="7">
        <v>80</v>
      </c>
      <c r="K14" s="7">
        <v>80</v>
      </c>
      <c r="L14" s="7">
        <v>80</v>
      </c>
      <c r="M14" s="7">
        <v>150</v>
      </c>
      <c r="N14" s="7">
        <v>140</v>
      </c>
      <c r="O14" s="7">
        <v>180</v>
      </c>
      <c r="P14" s="7">
        <v>100</v>
      </c>
      <c r="Q14" s="7">
        <v>100</v>
      </c>
      <c r="R14" s="7">
        <v>2900</v>
      </c>
      <c r="S14" s="7">
        <v>2700</v>
      </c>
      <c r="T14" s="7">
        <v>3200</v>
      </c>
      <c r="U14" s="7">
        <v>2000</v>
      </c>
      <c r="V14" s="7">
        <v>2200</v>
      </c>
      <c r="W14" s="7">
        <v>500010001</v>
      </c>
      <c r="X14" s="7">
        <v>500010002</v>
      </c>
      <c r="Y14" s="7">
        <v>500010003</v>
      </c>
      <c r="Z14" s="7">
        <v>50001</v>
      </c>
      <c r="AA14" s="7">
        <v>50002</v>
      </c>
      <c r="AB14" s="7">
        <v>50003</v>
      </c>
      <c r="AC14" s="7">
        <v>50001</v>
      </c>
      <c r="AD14" s="7">
        <v>50002</v>
      </c>
      <c r="AE14" s="7">
        <v>50003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6</v>
      </c>
      <c r="C15" s="7" t="s">
        <v>615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80</v>
      </c>
      <c r="J15" s="7">
        <v>80</v>
      </c>
      <c r="K15" s="7">
        <v>80</v>
      </c>
      <c r="L15" s="7">
        <v>80</v>
      </c>
      <c r="M15" s="7">
        <v>200</v>
      </c>
      <c r="N15" s="7">
        <v>180</v>
      </c>
      <c r="O15" s="7">
        <v>150</v>
      </c>
      <c r="P15" s="7">
        <v>100</v>
      </c>
      <c r="Q15" s="7">
        <v>60</v>
      </c>
      <c r="R15" s="7">
        <v>3400</v>
      </c>
      <c r="S15" s="7">
        <v>3200</v>
      </c>
      <c r="T15" s="7">
        <v>2900</v>
      </c>
      <c r="U15" s="7">
        <v>2000</v>
      </c>
      <c r="V15" s="7">
        <v>1200</v>
      </c>
      <c r="W15" s="7">
        <v>600010001</v>
      </c>
      <c r="X15" s="7">
        <v>600010002</v>
      </c>
      <c r="Y15" s="7">
        <v>600010003</v>
      </c>
      <c r="Z15" s="7">
        <v>60001</v>
      </c>
      <c r="AA15" s="7">
        <v>60002</v>
      </c>
      <c r="AB15" s="7">
        <v>60003</v>
      </c>
      <c r="AC15" s="7">
        <v>60001</v>
      </c>
      <c r="AD15" s="7">
        <v>60002</v>
      </c>
      <c r="AE15" s="7">
        <v>60003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7</v>
      </c>
      <c r="C16" s="7" t="s">
        <v>616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80</v>
      </c>
      <c r="J16" s="7">
        <v>80</v>
      </c>
      <c r="K16" s="7">
        <v>80</v>
      </c>
      <c r="L16" s="7">
        <v>80</v>
      </c>
      <c r="M16" s="7">
        <v>120</v>
      </c>
      <c r="N16" s="7">
        <v>180</v>
      </c>
      <c r="O16" s="7">
        <v>80</v>
      </c>
      <c r="P16" s="7">
        <v>100</v>
      </c>
      <c r="Q16" s="7">
        <v>100</v>
      </c>
      <c r="R16" s="7">
        <v>2600</v>
      </c>
      <c r="S16" s="7">
        <v>3200</v>
      </c>
      <c r="T16" s="7">
        <v>1900</v>
      </c>
      <c r="U16" s="7">
        <v>2000</v>
      </c>
      <c r="V16" s="7">
        <v>2000</v>
      </c>
      <c r="W16" s="7">
        <v>700010001</v>
      </c>
      <c r="X16" s="7">
        <v>700010002</v>
      </c>
      <c r="Y16" s="7">
        <v>700010003</v>
      </c>
      <c r="Z16" s="7">
        <v>70001</v>
      </c>
      <c r="AA16" s="7">
        <v>70002</v>
      </c>
      <c r="AB16" s="7">
        <v>70003</v>
      </c>
      <c r="AC16" s="7">
        <v>70001</v>
      </c>
      <c r="AD16" s="7">
        <v>70002</v>
      </c>
      <c r="AE16" s="7">
        <v>70003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8</v>
      </c>
      <c r="C17" s="7" t="s">
        <v>617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80</v>
      </c>
      <c r="J17" s="7">
        <v>80</v>
      </c>
      <c r="K17" s="7">
        <v>80</v>
      </c>
      <c r="L17" s="7">
        <v>80</v>
      </c>
      <c r="M17" s="7">
        <v>130</v>
      </c>
      <c r="N17" s="7">
        <v>120</v>
      </c>
      <c r="O17" s="7">
        <v>170</v>
      </c>
      <c r="P17" s="7">
        <v>100</v>
      </c>
      <c r="Q17" s="7">
        <v>80</v>
      </c>
      <c r="R17" s="7">
        <v>2800</v>
      </c>
      <c r="S17" s="7">
        <v>2600</v>
      </c>
      <c r="T17" s="7">
        <v>3100</v>
      </c>
      <c r="U17" s="7">
        <v>2000</v>
      </c>
      <c r="V17" s="7">
        <v>1600</v>
      </c>
      <c r="W17" s="7">
        <v>800010001</v>
      </c>
      <c r="X17" s="7">
        <v>800010002</v>
      </c>
      <c r="Y17" s="7">
        <v>800010003</v>
      </c>
      <c r="Z17" s="7">
        <v>80001</v>
      </c>
      <c r="AA17" s="7">
        <v>80002</v>
      </c>
      <c r="AB17" s="7">
        <v>80003</v>
      </c>
      <c r="AC17" s="7">
        <v>80001</v>
      </c>
      <c r="AD17" s="7">
        <v>80002</v>
      </c>
      <c r="AE17" s="7">
        <v>80003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9</v>
      </c>
      <c r="C18" s="7" t="s">
        <v>618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80</v>
      </c>
      <c r="J18" s="7">
        <v>80</v>
      </c>
      <c r="K18" s="7">
        <v>80</v>
      </c>
      <c r="L18" s="7">
        <v>80</v>
      </c>
      <c r="M18" s="7">
        <v>180</v>
      </c>
      <c r="N18" s="7">
        <v>140</v>
      </c>
      <c r="O18" s="7">
        <v>120</v>
      </c>
      <c r="P18" s="7">
        <v>100</v>
      </c>
      <c r="Q18" s="7">
        <v>60</v>
      </c>
      <c r="R18" s="7">
        <v>3200</v>
      </c>
      <c r="S18" s="7">
        <v>2700</v>
      </c>
      <c r="T18" s="7">
        <v>2600</v>
      </c>
      <c r="U18" s="7">
        <v>2000</v>
      </c>
      <c r="V18" s="7">
        <v>1400</v>
      </c>
      <c r="W18" s="7">
        <v>900010001</v>
      </c>
      <c r="X18" s="7">
        <v>900010002</v>
      </c>
      <c r="Y18" s="7">
        <v>900010003</v>
      </c>
      <c r="Z18" s="7">
        <v>90001</v>
      </c>
      <c r="AA18" s="7">
        <v>90002</v>
      </c>
      <c r="AB18" s="7">
        <v>90003</v>
      </c>
      <c r="AC18" s="7">
        <v>90001</v>
      </c>
      <c r="AD18" s="7">
        <v>90002</v>
      </c>
      <c r="AE18" s="7">
        <v>90003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10</v>
      </c>
      <c r="C19" s="7" t="s">
        <v>619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80</v>
      </c>
      <c r="J19" s="7">
        <v>80</v>
      </c>
      <c r="K19" s="7">
        <v>80</v>
      </c>
      <c r="L19" s="7">
        <v>80</v>
      </c>
      <c r="M19" s="7">
        <v>160</v>
      </c>
      <c r="N19" s="7">
        <v>180</v>
      </c>
      <c r="O19" s="7">
        <v>100</v>
      </c>
      <c r="P19" s="7">
        <v>100</v>
      </c>
      <c r="Q19" s="7">
        <v>100</v>
      </c>
      <c r="R19" s="7">
        <v>3000</v>
      </c>
      <c r="S19" s="7">
        <v>3200</v>
      </c>
      <c r="T19" s="7">
        <v>2400</v>
      </c>
      <c r="U19" s="7">
        <v>2000</v>
      </c>
      <c r="V19" s="7">
        <v>2000</v>
      </c>
      <c r="W19" s="7">
        <v>1000010001</v>
      </c>
      <c r="X19" s="7">
        <v>1000010002</v>
      </c>
      <c r="Y19" s="7">
        <v>1000010003</v>
      </c>
      <c r="Z19" s="7">
        <v>100001</v>
      </c>
      <c r="AA19" s="7">
        <v>100002</v>
      </c>
      <c r="AB19" s="7">
        <v>100003</v>
      </c>
      <c r="AC19" s="7">
        <v>100001</v>
      </c>
      <c r="AD19" s="7">
        <v>100002</v>
      </c>
      <c r="AE19" s="7">
        <v>100003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11</v>
      </c>
      <c r="C20" s="7" t="s">
        <v>620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80</v>
      </c>
      <c r="J20" s="7">
        <v>80</v>
      </c>
      <c r="K20" s="7">
        <v>80</v>
      </c>
      <c r="L20" s="7">
        <v>80</v>
      </c>
      <c r="M20" s="7">
        <v>150</v>
      </c>
      <c r="N20" s="7">
        <v>140</v>
      </c>
      <c r="O20" s="7">
        <v>180</v>
      </c>
      <c r="P20" s="7">
        <v>100</v>
      </c>
      <c r="Q20" s="7">
        <v>120</v>
      </c>
      <c r="R20" s="7">
        <v>2900</v>
      </c>
      <c r="S20" s="7">
        <v>2700</v>
      </c>
      <c r="T20" s="7">
        <v>3200</v>
      </c>
      <c r="U20" s="7">
        <v>2000</v>
      </c>
      <c r="V20" s="7">
        <v>2500</v>
      </c>
      <c r="W20" s="7">
        <v>1100010001</v>
      </c>
      <c r="X20" s="7">
        <v>1100010002</v>
      </c>
      <c r="Y20" s="7">
        <v>1100010003</v>
      </c>
      <c r="Z20" s="7">
        <v>110001</v>
      </c>
      <c r="AA20" s="7">
        <v>110002</v>
      </c>
      <c r="AB20" s="7">
        <v>110003</v>
      </c>
      <c r="AC20" s="7">
        <v>110001</v>
      </c>
      <c r="AD20" s="7">
        <v>110002</v>
      </c>
      <c r="AE20" s="7">
        <v>110003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12</v>
      </c>
      <c r="C21" s="7" t="s">
        <v>621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80</v>
      </c>
      <c r="J21" s="7">
        <v>80</v>
      </c>
      <c r="K21" s="7">
        <v>80</v>
      </c>
      <c r="L21" s="7">
        <v>80</v>
      </c>
      <c r="M21" s="7">
        <v>200</v>
      </c>
      <c r="N21" s="7">
        <v>180</v>
      </c>
      <c r="O21" s="7">
        <v>150</v>
      </c>
      <c r="P21" s="7">
        <v>100</v>
      </c>
      <c r="Q21" s="7">
        <v>140</v>
      </c>
      <c r="R21" s="7">
        <v>3400</v>
      </c>
      <c r="S21" s="7">
        <v>3200</v>
      </c>
      <c r="T21" s="7">
        <v>2900</v>
      </c>
      <c r="U21" s="7">
        <v>2000</v>
      </c>
      <c r="V21" s="7">
        <v>2000</v>
      </c>
      <c r="W21" s="7">
        <v>1200010001</v>
      </c>
      <c r="X21" s="7">
        <v>1200010002</v>
      </c>
      <c r="Y21" s="7">
        <v>1200010003</v>
      </c>
      <c r="Z21" s="7">
        <v>120001</v>
      </c>
      <c r="AA21" s="7">
        <v>120002</v>
      </c>
      <c r="AB21" s="7">
        <v>120003</v>
      </c>
      <c r="AC21" s="7">
        <v>120001</v>
      </c>
      <c r="AD21" s="7">
        <v>120002</v>
      </c>
      <c r="AE21" s="7">
        <v>120003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13</v>
      </c>
      <c r="C22" s="7" t="s">
        <v>622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80</v>
      </c>
      <c r="J22" s="7">
        <v>80</v>
      </c>
      <c r="K22" s="7">
        <v>80</v>
      </c>
      <c r="L22" s="7">
        <v>80</v>
      </c>
      <c r="M22" s="7">
        <v>120</v>
      </c>
      <c r="N22" s="7">
        <v>180</v>
      </c>
      <c r="O22" s="7">
        <v>80</v>
      </c>
      <c r="P22" s="7">
        <v>100</v>
      </c>
      <c r="Q22" s="7">
        <v>160</v>
      </c>
      <c r="R22" s="7">
        <v>2600</v>
      </c>
      <c r="S22" s="7">
        <v>3200</v>
      </c>
      <c r="T22" s="7">
        <v>1900</v>
      </c>
      <c r="U22" s="7">
        <v>2000</v>
      </c>
      <c r="V22" s="7">
        <v>2200</v>
      </c>
      <c r="W22" s="7">
        <v>1300010001</v>
      </c>
      <c r="X22" s="7">
        <v>1300010002</v>
      </c>
      <c r="Y22" s="7">
        <v>1300010003</v>
      </c>
      <c r="Z22" s="7">
        <v>130001</v>
      </c>
      <c r="AA22" s="7">
        <v>130002</v>
      </c>
      <c r="AB22" s="7">
        <v>130003</v>
      </c>
      <c r="AC22" s="7">
        <v>130001</v>
      </c>
      <c r="AD22" s="7">
        <v>130002</v>
      </c>
      <c r="AE22" s="7">
        <v>130003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7">
        <v>14</v>
      </c>
      <c r="C23" s="7" t="s">
        <v>623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80</v>
      </c>
      <c r="J23" s="7">
        <v>80</v>
      </c>
      <c r="K23" s="7">
        <v>80</v>
      </c>
      <c r="L23" s="7">
        <v>80</v>
      </c>
      <c r="M23" s="7">
        <v>130</v>
      </c>
      <c r="N23" s="7">
        <v>120</v>
      </c>
      <c r="O23" s="7">
        <v>170</v>
      </c>
      <c r="P23" s="7">
        <v>100</v>
      </c>
      <c r="Q23" s="7">
        <v>130</v>
      </c>
      <c r="R23" s="7">
        <v>2800</v>
      </c>
      <c r="S23" s="7">
        <v>2600</v>
      </c>
      <c r="T23" s="7">
        <v>3100</v>
      </c>
      <c r="U23" s="7">
        <v>2000</v>
      </c>
      <c r="V23" s="7">
        <v>2900</v>
      </c>
      <c r="W23" s="7">
        <v>1400010001</v>
      </c>
      <c r="X23" s="7">
        <v>1400010002</v>
      </c>
      <c r="Y23" s="7">
        <v>1400010003</v>
      </c>
      <c r="Z23" s="7">
        <v>140001</v>
      </c>
      <c r="AA23" s="7">
        <v>140002</v>
      </c>
      <c r="AB23" s="7">
        <v>140003</v>
      </c>
      <c r="AC23" s="7">
        <v>140001</v>
      </c>
      <c r="AD23" s="7">
        <v>140002</v>
      </c>
      <c r="AE23" s="7">
        <v>140003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7">
        <v>15</v>
      </c>
      <c r="C24" s="7" t="s">
        <v>624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80</v>
      </c>
      <c r="J24" s="7">
        <v>80</v>
      </c>
      <c r="K24" s="7">
        <v>80</v>
      </c>
      <c r="L24" s="7">
        <v>80</v>
      </c>
      <c r="M24" s="7">
        <v>180</v>
      </c>
      <c r="N24" s="7">
        <v>140</v>
      </c>
      <c r="O24" s="7">
        <v>120</v>
      </c>
      <c r="P24" s="7">
        <v>100</v>
      </c>
      <c r="Q24" s="7">
        <v>100</v>
      </c>
      <c r="R24" s="7">
        <v>3200</v>
      </c>
      <c r="S24" s="7">
        <v>2700</v>
      </c>
      <c r="T24" s="7">
        <v>2600</v>
      </c>
      <c r="U24" s="7">
        <v>2000</v>
      </c>
      <c r="V24" s="7">
        <v>2300</v>
      </c>
      <c r="W24" s="7">
        <v>1500010001</v>
      </c>
      <c r="X24" s="7">
        <v>1500010002</v>
      </c>
      <c r="Y24" s="7">
        <v>1500010003</v>
      </c>
      <c r="Z24" s="7">
        <v>150001</v>
      </c>
      <c r="AA24" s="7">
        <v>150002</v>
      </c>
      <c r="AB24" s="7">
        <v>150003</v>
      </c>
      <c r="AC24" s="7">
        <v>150001</v>
      </c>
      <c r="AD24" s="7">
        <v>150002</v>
      </c>
      <c r="AE24" s="7">
        <v>150003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16</v>
      </c>
      <c r="C25" s="7" t="s">
        <v>625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80</v>
      </c>
      <c r="J25" s="7">
        <v>80</v>
      </c>
      <c r="K25" s="7">
        <v>80</v>
      </c>
      <c r="L25" s="7">
        <v>80</v>
      </c>
      <c r="M25" s="7">
        <v>160</v>
      </c>
      <c r="N25" s="7">
        <v>180</v>
      </c>
      <c r="O25" s="7">
        <v>100</v>
      </c>
      <c r="P25" s="7">
        <v>100</v>
      </c>
      <c r="Q25" s="7">
        <v>60</v>
      </c>
      <c r="R25" s="7">
        <v>3000</v>
      </c>
      <c r="S25" s="7">
        <v>3200</v>
      </c>
      <c r="T25" s="7">
        <v>2400</v>
      </c>
      <c r="U25" s="7">
        <v>2000</v>
      </c>
      <c r="V25" s="7">
        <v>2400</v>
      </c>
      <c r="W25" s="7">
        <v>1600010001</v>
      </c>
      <c r="X25" s="7">
        <v>1600010002</v>
      </c>
      <c r="Y25" s="7">
        <v>1600010003</v>
      </c>
      <c r="Z25" s="7">
        <v>160001</v>
      </c>
      <c r="AA25" s="7">
        <v>160002</v>
      </c>
      <c r="AB25" s="7">
        <v>160003</v>
      </c>
      <c r="AC25" s="7">
        <v>160001</v>
      </c>
      <c r="AD25" s="7">
        <v>160002</v>
      </c>
      <c r="AE25" s="7">
        <v>160003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17</v>
      </c>
      <c r="C26" s="7" t="s">
        <v>626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80</v>
      </c>
      <c r="J26" s="7">
        <v>80</v>
      </c>
      <c r="K26" s="7">
        <v>80</v>
      </c>
      <c r="L26" s="7">
        <v>80</v>
      </c>
      <c r="M26" s="7">
        <v>150</v>
      </c>
      <c r="N26" s="7">
        <v>140</v>
      </c>
      <c r="O26" s="7">
        <v>180</v>
      </c>
      <c r="P26" s="7">
        <v>100</v>
      </c>
      <c r="Q26" s="7">
        <v>120</v>
      </c>
      <c r="R26" s="7">
        <v>2900</v>
      </c>
      <c r="S26" s="7">
        <v>2700</v>
      </c>
      <c r="T26" s="7">
        <v>3200</v>
      </c>
      <c r="U26" s="7">
        <v>2000</v>
      </c>
      <c r="V26" s="7">
        <v>1200</v>
      </c>
      <c r="W26" s="7">
        <v>1700010001</v>
      </c>
      <c r="X26" s="7">
        <v>1700010002</v>
      </c>
      <c r="Y26" s="7">
        <v>1700010003</v>
      </c>
      <c r="Z26" s="7">
        <v>170001</v>
      </c>
      <c r="AA26" s="7">
        <v>170002</v>
      </c>
      <c r="AB26" s="7">
        <v>170003</v>
      </c>
      <c r="AC26" s="7">
        <v>170001</v>
      </c>
      <c r="AD26" s="7">
        <v>170002</v>
      </c>
      <c r="AE26" s="7">
        <v>170003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18</v>
      </c>
      <c r="C27" s="7" t="s">
        <v>627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80</v>
      </c>
      <c r="J27" s="7">
        <v>80</v>
      </c>
      <c r="K27" s="7">
        <v>80</v>
      </c>
      <c r="L27" s="7">
        <v>80</v>
      </c>
      <c r="M27" s="7">
        <v>200</v>
      </c>
      <c r="N27" s="7">
        <v>180</v>
      </c>
      <c r="O27" s="7">
        <v>150</v>
      </c>
      <c r="P27" s="7">
        <v>100</v>
      </c>
      <c r="Q27" s="7">
        <v>100</v>
      </c>
      <c r="R27" s="7">
        <v>3400</v>
      </c>
      <c r="S27" s="7">
        <v>3200</v>
      </c>
      <c r="T27" s="7">
        <v>2900</v>
      </c>
      <c r="U27" s="7">
        <v>2000</v>
      </c>
      <c r="V27" s="7">
        <v>2800</v>
      </c>
      <c r="W27" s="7">
        <v>1800010001</v>
      </c>
      <c r="X27" s="7">
        <v>1800010002</v>
      </c>
      <c r="Y27" s="7">
        <v>1800010003</v>
      </c>
      <c r="Z27" s="7">
        <v>180001</v>
      </c>
      <c r="AA27" s="7">
        <v>180002</v>
      </c>
      <c r="AB27" s="7">
        <v>180003</v>
      </c>
      <c r="AC27" s="7">
        <v>180001</v>
      </c>
      <c r="AD27" s="7">
        <v>180002</v>
      </c>
      <c r="AE27" s="7">
        <v>180003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19</v>
      </c>
      <c r="C28" s="7" t="s">
        <v>628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80</v>
      </c>
      <c r="J28" s="7">
        <v>80</v>
      </c>
      <c r="K28" s="7">
        <v>80</v>
      </c>
      <c r="L28" s="7">
        <v>80</v>
      </c>
      <c r="M28" s="7">
        <v>150</v>
      </c>
      <c r="N28" s="7">
        <v>140</v>
      </c>
      <c r="O28" s="7">
        <v>180</v>
      </c>
      <c r="P28" s="7">
        <v>100</v>
      </c>
      <c r="Q28" s="7">
        <v>100</v>
      </c>
      <c r="R28" s="7">
        <v>2900</v>
      </c>
      <c r="S28" s="7">
        <v>2700</v>
      </c>
      <c r="T28" s="7">
        <v>3200</v>
      </c>
      <c r="U28" s="7">
        <v>2000</v>
      </c>
      <c r="V28" s="7">
        <v>2300</v>
      </c>
      <c r="W28" s="7">
        <v>1900010001</v>
      </c>
      <c r="X28" s="7">
        <v>1900010002</v>
      </c>
      <c r="Y28" s="7">
        <v>1900010003</v>
      </c>
      <c r="Z28" s="7">
        <v>190001</v>
      </c>
      <c r="AA28" s="7">
        <v>190002</v>
      </c>
      <c r="AB28" s="7">
        <v>190003</v>
      </c>
      <c r="AC28" s="7">
        <v>190001</v>
      </c>
      <c r="AD28" s="7">
        <v>190002</v>
      </c>
      <c r="AE28" s="7">
        <v>190003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20</v>
      </c>
      <c r="C29" s="7" t="s">
        <v>629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80</v>
      </c>
      <c r="J29" s="7">
        <v>80</v>
      </c>
      <c r="K29" s="7">
        <v>80</v>
      </c>
      <c r="L29" s="7">
        <v>80</v>
      </c>
      <c r="M29" s="7">
        <v>200</v>
      </c>
      <c r="N29" s="7">
        <v>180</v>
      </c>
      <c r="O29" s="7">
        <v>150</v>
      </c>
      <c r="P29" s="7">
        <v>100</v>
      </c>
      <c r="Q29" s="7">
        <v>120</v>
      </c>
      <c r="R29" s="7">
        <v>3400</v>
      </c>
      <c r="S29" s="7">
        <v>3200</v>
      </c>
      <c r="T29" s="7">
        <v>2900</v>
      </c>
      <c r="U29" s="7">
        <v>2000</v>
      </c>
      <c r="V29" s="7">
        <v>2600</v>
      </c>
      <c r="W29" s="7">
        <v>2000010001</v>
      </c>
      <c r="X29" s="7">
        <v>2000010002</v>
      </c>
      <c r="Y29" s="7">
        <v>2000010003</v>
      </c>
      <c r="Z29" s="7">
        <v>200001</v>
      </c>
      <c r="AA29" s="7">
        <v>200002</v>
      </c>
      <c r="AB29" s="7">
        <v>200003</v>
      </c>
      <c r="AC29" s="7">
        <v>200001</v>
      </c>
      <c r="AD29" s="7">
        <v>200002</v>
      </c>
      <c r="AE29" s="7">
        <v>200003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21</v>
      </c>
      <c r="C30" s="7" t="s">
        <v>630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80</v>
      </c>
      <c r="J30" s="7">
        <v>80</v>
      </c>
      <c r="K30" s="7">
        <v>80</v>
      </c>
      <c r="L30" s="7">
        <v>80</v>
      </c>
      <c r="M30" s="7">
        <v>120</v>
      </c>
      <c r="N30" s="7">
        <v>180</v>
      </c>
      <c r="O30" s="7">
        <v>80</v>
      </c>
      <c r="P30" s="7">
        <v>100</v>
      </c>
      <c r="Q30" s="7">
        <v>100</v>
      </c>
      <c r="R30" s="7">
        <v>2600</v>
      </c>
      <c r="S30" s="7">
        <v>3200</v>
      </c>
      <c r="T30" s="7">
        <v>1900</v>
      </c>
      <c r="U30" s="7">
        <v>2000</v>
      </c>
      <c r="V30" s="7">
        <v>2000</v>
      </c>
      <c r="W30" s="7">
        <v>2100010001</v>
      </c>
      <c r="X30" s="7">
        <v>2100010002</v>
      </c>
      <c r="Y30" s="7">
        <v>2100010003</v>
      </c>
      <c r="Z30" s="7">
        <v>210001</v>
      </c>
      <c r="AA30" s="7">
        <v>210002</v>
      </c>
      <c r="AB30" s="7">
        <v>210003</v>
      </c>
      <c r="AC30" s="7">
        <v>210001</v>
      </c>
      <c r="AD30" s="7">
        <v>210002</v>
      </c>
      <c r="AE30" s="7">
        <v>210003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22</v>
      </c>
      <c r="C31" s="7" t="s">
        <v>631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80</v>
      </c>
      <c r="J31" s="7">
        <v>80</v>
      </c>
      <c r="K31" s="7">
        <v>80</v>
      </c>
      <c r="L31" s="7">
        <v>80</v>
      </c>
      <c r="M31" s="7">
        <v>130</v>
      </c>
      <c r="N31" s="7">
        <v>120</v>
      </c>
      <c r="O31" s="7">
        <v>170</v>
      </c>
      <c r="P31" s="7">
        <v>100</v>
      </c>
      <c r="Q31" s="7">
        <v>120</v>
      </c>
      <c r="R31" s="7">
        <v>2800</v>
      </c>
      <c r="S31" s="7">
        <v>2600</v>
      </c>
      <c r="T31" s="7">
        <v>3100</v>
      </c>
      <c r="U31" s="7">
        <v>2000</v>
      </c>
      <c r="V31" s="7">
        <v>2600</v>
      </c>
      <c r="W31" s="7">
        <v>2200010001</v>
      </c>
      <c r="X31" s="7">
        <v>2200010002</v>
      </c>
      <c r="Y31" s="7">
        <v>2200010003</v>
      </c>
      <c r="Z31" s="7">
        <v>220001</v>
      </c>
      <c r="AA31" s="7">
        <v>220002</v>
      </c>
      <c r="AB31" s="7">
        <v>220003</v>
      </c>
      <c r="AC31" s="7">
        <v>220001</v>
      </c>
      <c r="AD31" s="7">
        <v>220002</v>
      </c>
      <c r="AE31" s="7">
        <v>220003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23</v>
      </c>
      <c r="C32" s="7" t="s">
        <v>632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80</v>
      </c>
      <c r="J32" s="7">
        <v>80</v>
      </c>
      <c r="K32" s="7">
        <v>80</v>
      </c>
      <c r="L32" s="7">
        <v>80</v>
      </c>
      <c r="M32" s="7">
        <v>180</v>
      </c>
      <c r="N32" s="7">
        <v>140</v>
      </c>
      <c r="O32" s="7">
        <v>120</v>
      </c>
      <c r="P32" s="7">
        <v>100</v>
      </c>
      <c r="Q32" s="7">
        <v>80</v>
      </c>
      <c r="R32" s="7">
        <v>3200</v>
      </c>
      <c r="S32" s="7">
        <v>2700</v>
      </c>
      <c r="T32" s="7">
        <v>2600</v>
      </c>
      <c r="U32" s="7">
        <v>2000</v>
      </c>
      <c r="V32" s="7">
        <v>1500</v>
      </c>
      <c r="W32" s="7">
        <v>2300010001</v>
      </c>
      <c r="X32" s="7">
        <v>2300010002</v>
      </c>
      <c r="Y32" s="7">
        <v>2300010003</v>
      </c>
      <c r="Z32" s="7">
        <v>230001</v>
      </c>
      <c r="AA32" s="7">
        <v>230002</v>
      </c>
      <c r="AB32" s="7">
        <v>230003</v>
      </c>
      <c r="AC32" s="7">
        <v>230001</v>
      </c>
      <c r="AD32" s="7">
        <v>230002</v>
      </c>
      <c r="AE32" s="7">
        <v>230003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24</v>
      </c>
      <c r="C33" s="7" t="s">
        <v>633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80</v>
      </c>
      <c r="J33" s="7">
        <v>80</v>
      </c>
      <c r="K33" s="7">
        <v>80</v>
      </c>
      <c r="L33" s="7">
        <v>80</v>
      </c>
      <c r="M33" s="7">
        <v>160</v>
      </c>
      <c r="N33" s="7">
        <v>180</v>
      </c>
      <c r="O33" s="7">
        <v>100</v>
      </c>
      <c r="P33" s="7">
        <v>100</v>
      </c>
      <c r="Q33" s="7">
        <v>100</v>
      </c>
      <c r="R33" s="7">
        <v>3000</v>
      </c>
      <c r="S33" s="7">
        <v>3200</v>
      </c>
      <c r="T33" s="7">
        <v>2400</v>
      </c>
      <c r="U33" s="7">
        <v>2000</v>
      </c>
      <c r="V33" s="7">
        <v>2600</v>
      </c>
      <c r="W33" s="7">
        <v>2400010001</v>
      </c>
      <c r="X33" s="7">
        <v>2400010002</v>
      </c>
      <c r="Y33" s="7">
        <v>2400010003</v>
      </c>
      <c r="Z33" s="7">
        <v>240001</v>
      </c>
      <c r="AA33" s="7">
        <v>240002</v>
      </c>
      <c r="AB33" s="7">
        <v>240003</v>
      </c>
      <c r="AC33" s="7">
        <v>240001</v>
      </c>
      <c r="AD33" s="7">
        <v>240002</v>
      </c>
      <c r="AE33" s="7">
        <v>240003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25</v>
      </c>
      <c r="C34" s="7" t="s">
        <v>634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80</v>
      </c>
      <c r="J34" s="7">
        <v>80</v>
      </c>
      <c r="K34" s="7">
        <v>80</v>
      </c>
      <c r="L34" s="7">
        <v>80</v>
      </c>
      <c r="M34" s="7">
        <v>150</v>
      </c>
      <c r="N34" s="7">
        <v>140</v>
      </c>
      <c r="O34" s="7">
        <v>180</v>
      </c>
      <c r="P34" s="7">
        <v>100</v>
      </c>
      <c r="Q34" s="7">
        <v>100</v>
      </c>
      <c r="R34" s="7">
        <v>2900</v>
      </c>
      <c r="S34" s="7">
        <v>2700</v>
      </c>
      <c r="T34" s="7">
        <v>3200</v>
      </c>
      <c r="U34" s="7">
        <v>2000</v>
      </c>
      <c r="V34" s="7">
        <v>2200</v>
      </c>
      <c r="W34" s="7">
        <v>2500010001</v>
      </c>
      <c r="X34" s="7">
        <v>2500010002</v>
      </c>
      <c r="Y34" s="7">
        <v>2500010003</v>
      </c>
      <c r="Z34" s="7">
        <v>250001</v>
      </c>
      <c r="AA34" s="7">
        <v>250002</v>
      </c>
      <c r="AB34" s="7">
        <v>250003</v>
      </c>
      <c r="AC34" s="7">
        <v>250001</v>
      </c>
      <c r="AD34" s="7">
        <v>250002</v>
      </c>
      <c r="AE34" s="7">
        <v>250003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7">
        <v>26</v>
      </c>
      <c r="C35" s="7" t="s">
        <v>635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80</v>
      </c>
      <c r="J35" s="7">
        <v>80</v>
      </c>
      <c r="K35" s="7">
        <v>80</v>
      </c>
      <c r="L35" s="7">
        <v>80</v>
      </c>
      <c r="M35" s="7">
        <v>200</v>
      </c>
      <c r="N35" s="7">
        <v>180</v>
      </c>
      <c r="O35" s="7">
        <v>150</v>
      </c>
      <c r="P35" s="7">
        <v>100</v>
      </c>
      <c r="Q35" s="7">
        <v>60</v>
      </c>
      <c r="R35" s="7">
        <v>3400</v>
      </c>
      <c r="S35" s="7">
        <v>3200</v>
      </c>
      <c r="T35" s="7">
        <v>2900</v>
      </c>
      <c r="U35" s="7">
        <v>2000</v>
      </c>
      <c r="V35" s="7">
        <v>1200</v>
      </c>
      <c r="W35" s="7">
        <v>2600010001</v>
      </c>
      <c r="X35" s="7">
        <v>2600010002</v>
      </c>
      <c r="Y35" s="7">
        <v>2600010003</v>
      </c>
      <c r="Z35" s="7">
        <v>260001</v>
      </c>
      <c r="AA35" s="7">
        <v>260002</v>
      </c>
      <c r="AB35" s="7">
        <v>260003</v>
      </c>
      <c r="AC35" s="7">
        <v>260001</v>
      </c>
      <c r="AD35" s="7">
        <v>260002</v>
      </c>
      <c r="AE35" s="7">
        <v>260003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7">
        <v>27</v>
      </c>
      <c r="C36" s="7" t="s">
        <v>636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80</v>
      </c>
      <c r="J36" s="7">
        <v>80</v>
      </c>
      <c r="K36" s="7">
        <v>80</v>
      </c>
      <c r="L36" s="7">
        <v>80</v>
      </c>
      <c r="M36" s="7">
        <v>120</v>
      </c>
      <c r="N36" s="7">
        <v>180</v>
      </c>
      <c r="O36" s="7">
        <v>80</v>
      </c>
      <c r="P36" s="7">
        <v>100</v>
      </c>
      <c r="Q36" s="7">
        <v>100</v>
      </c>
      <c r="R36" s="7">
        <v>2600</v>
      </c>
      <c r="S36" s="7">
        <v>3200</v>
      </c>
      <c r="T36" s="7">
        <v>1900</v>
      </c>
      <c r="U36" s="7">
        <v>2000</v>
      </c>
      <c r="V36" s="7">
        <v>2000</v>
      </c>
      <c r="W36" s="7">
        <v>2700010001</v>
      </c>
      <c r="X36" s="7">
        <v>2700010002</v>
      </c>
      <c r="Y36" s="7">
        <v>2700010003</v>
      </c>
      <c r="Z36" s="7">
        <v>270001</v>
      </c>
      <c r="AA36" s="7">
        <v>270002</v>
      </c>
      <c r="AB36" s="7">
        <v>270003</v>
      </c>
      <c r="AC36" s="7">
        <v>270001</v>
      </c>
      <c r="AD36" s="7">
        <v>270002</v>
      </c>
      <c r="AE36" s="7">
        <v>270003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28</v>
      </c>
      <c r="C37" s="7" t="s">
        <v>637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80</v>
      </c>
      <c r="J37" s="7">
        <v>80</v>
      </c>
      <c r="K37" s="7">
        <v>80</v>
      </c>
      <c r="L37" s="7">
        <v>80</v>
      </c>
      <c r="M37" s="7">
        <v>130</v>
      </c>
      <c r="N37" s="7">
        <v>120</v>
      </c>
      <c r="O37" s="7">
        <v>170</v>
      </c>
      <c r="P37" s="7">
        <v>100</v>
      </c>
      <c r="Q37" s="7">
        <v>80</v>
      </c>
      <c r="R37" s="7">
        <v>2800</v>
      </c>
      <c r="S37" s="7">
        <v>2600</v>
      </c>
      <c r="T37" s="7">
        <v>3100</v>
      </c>
      <c r="U37" s="7">
        <v>2000</v>
      </c>
      <c r="V37" s="7">
        <v>1600</v>
      </c>
      <c r="W37" s="7">
        <v>2800010001</v>
      </c>
      <c r="X37" s="7">
        <v>2800010002</v>
      </c>
      <c r="Y37" s="7">
        <v>2800010003</v>
      </c>
      <c r="Z37" s="7">
        <v>280001</v>
      </c>
      <c r="AA37" s="7">
        <v>280002</v>
      </c>
      <c r="AB37" s="7">
        <v>280003</v>
      </c>
      <c r="AC37" s="7">
        <v>280001</v>
      </c>
      <c r="AD37" s="7">
        <v>280002</v>
      </c>
      <c r="AE37" s="7">
        <v>280003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29</v>
      </c>
      <c r="C38" s="7" t="s">
        <v>638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80</v>
      </c>
      <c r="J38" s="7">
        <v>80</v>
      </c>
      <c r="K38" s="7">
        <v>80</v>
      </c>
      <c r="L38" s="7">
        <v>80</v>
      </c>
      <c r="M38" s="7">
        <v>180</v>
      </c>
      <c r="N38" s="7">
        <v>140</v>
      </c>
      <c r="O38" s="7">
        <v>120</v>
      </c>
      <c r="P38" s="7">
        <v>100</v>
      </c>
      <c r="Q38" s="7">
        <v>60</v>
      </c>
      <c r="R38" s="7">
        <v>3200</v>
      </c>
      <c r="S38" s="7">
        <v>2700</v>
      </c>
      <c r="T38" s="7">
        <v>2600</v>
      </c>
      <c r="U38" s="7">
        <v>2000</v>
      </c>
      <c r="V38" s="7">
        <v>1400</v>
      </c>
      <c r="W38" s="7">
        <v>2900010001</v>
      </c>
      <c r="X38" s="7">
        <v>2900010002</v>
      </c>
      <c r="Y38" s="7">
        <v>2900010003</v>
      </c>
      <c r="Z38" s="7">
        <v>290001</v>
      </c>
      <c r="AA38" s="7">
        <v>290002</v>
      </c>
      <c r="AB38" s="7">
        <v>290003</v>
      </c>
      <c r="AC38" s="7">
        <v>290001</v>
      </c>
      <c r="AD38" s="7">
        <v>290002</v>
      </c>
      <c r="AE38" s="7">
        <v>290003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30</v>
      </c>
      <c r="C39" s="7" t="s">
        <v>639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80</v>
      </c>
      <c r="J39" s="7">
        <v>80</v>
      </c>
      <c r="K39" s="7">
        <v>80</v>
      </c>
      <c r="L39" s="7">
        <v>80</v>
      </c>
      <c r="M39" s="7">
        <v>160</v>
      </c>
      <c r="N39" s="7">
        <v>180</v>
      </c>
      <c r="O39" s="7">
        <v>100</v>
      </c>
      <c r="P39" s="7">
        <v>100</v>
      </c>
      <c r="Q39" s="7">
        <v>100</v>
      </c>
      <c r="R39" s="7">
        <v>3000</v>
      </c>
      <c r="S39" s="7">
        <v>3200</v>
      </c>
      <c r="T39" s="7">
        <v>2400</v>
      </c>
      <c r="U39" s="7">
        <v>2000</v>
      </c>
      <c r="V39" s="7">
        <v>2000</v>
      </c>
      <c r="W39" s="7">
        <v>3000010001</v>
      </c>
      <c r="X39" s="7">
        <v>3000010002</v>
      </c>
      <c r="Y39" s="7">
        <v>3000010003</v>
      </c>
      <c r="Z39" s="7">
        <v>300001</v>
      </c>
      <c r="AA39" s="7">
        <v>300002</v>
      </c>
      <c r="AB39" s="7">
        <v>300003</v>
      </c>
      <c r="AC39" s="7">
        <v>300001</v>
      </c>
      <c r="AD39" s="7">
        <v>300002</v>
      </c>
      <c r="AE39" s="7">
        <v>300003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31</v>
      </c>
      <c r="C40" s="7" t="s">
        <v>640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80</v>
      </c>
      <c r="J40" s="7">
        <v>80</v>
      </c>
      <c r="K40" s="7">
        <v>80</v>
      </c>
      <c r="L40" s="7">
        <v>80</v>
      </c>
      <c r="M40" s="7">
        <v>150</v>
      </c>
      <c r="N40" s="7">
        <v>140</v>
      </c>
      <c r="O40" s="7">
        <v>180</v>
      </c>
      <c r="P40" s="7">
        <v>100</v>
      </c>
      <c r="Q40" s="7">
        <v>120</v>
      </c>
      <c r="R40" s="7">
        <v>2900</v>
      </c>
      <c r="S40" s="7">
        <v>2700</v>
      </c>
      <c r="T40" s="7">
        <v>3200</v>
      </c>
      <c r="U40" s="7">
        <v>2000</v>
      </c>
      <c r="V40" s="7">
        <v>2500</v>
      </c>
      <c r="W40" s="7">
        <v>3100010001</v>
      </c>
      <c r="X40" s="7">
        <v>3100010002</v>
      </c>
      <c r="Y40" s="7">
        <v>3100010003</v>
      </c>
      <c r="Z40" s="7">
        <v>310001</v>
      </c>
      <c r="AA40" s="7">
        <v>310002</v>
      </c>
      <c r="AB40" s="7">
        <v>310003</v>
      </c>
      <c r="AC40" s="7">
        <v>310001</v>
      </c>
      <c r="AD40" s="7">
        <v>310002</v>
      </c>
      <c r="AE40" s="7">
        <v>310003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7">
        <v>32</v>
      </c>
      <c r="C41" s="7" t="s">
        <v>641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80</v>
      </c>
      <c r="J41" s="7">
        <v>80</v>
      </c>
      <c r="K41" s="7">
        <v>80</v>
      </c>
      <c r="L41" s="7">
        <v>80</v>
      </c>
      <c r="M41" s="7">
        <v>200</v>
      </c>
      <c r="N41" s="7">
        <v>180</v>
      </c>
      <c r="O41" s="7">
        <v>150</v>
      </c>
      <c r="P41" s="7">
        <v>100</v>
      </c>
      <c r="Q41" s="7">
        <v>140</v>
      </c>
      <c r="R41" s="7">
        <v>3400</v>
      </c>
      <c r="S41" s="7">
        <v>3200</v>
      </c>
      <c r="T41" s="7">
        <v>2900</v>
      </c>
      <c r="U41" s="7">
        <v>2000</v>
      </c>
      <c r="V41" s="7">
        <v>2000</v>
      </c>
      <c r="W41" s="7">
        <v>3200010001</v>
      </c>
      <c r="X41" s="7">
        <v>3200010002</v>
      </c>
      <c r="Y41" s="7">
        <v>3200010003</v>
      </c>
      <c r="Z41" s="7">
        <v>320001</v>
      </c>
      <c r="AA41" s="7">
        <v>320002</v>
      </c>
      <c r="AB41" s="7">
        <v>320003</v>
      </c>
      <c r="AC41" s="7">
        <v>320001</v>
      </c>
      <c r="AD41" s="7">
        <v>320002</v>
      </c>
      <c r="AE41" s="7">
        <v>320003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7">
        <v>33</v>
      </c>
      <c r="C42" s="7" t="s">
        <v>642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80</v>
      </c>
      <c r="J42" s="7">
        <v>80</v>
      </c>
      <c r="K42" s="7">
        <v>80</v>
      </c>
      <c r="L42" s="7">
        <v>80</v>
      </c>
      <c r="M42" s="7">
        <v>120</v>
      </c>
      <c r="N42" s="7">
        <v>180</v>
      </c>
      <c r="O42" s="7">
        <v>80</v>
      </c>
      <c r="P42" s="7">
        <v>100</v>
      </c>
      <c r="Q42" s="7">
        <v>160</v>
      </c>
      <c r="R42" s="7">
        <v>2600</v>
      </c>
      <c r="S42" s="7">
        <v>3200</v>
      </c>
      <c r="T42" s="7">
        <v>1900</v>
      </c>
      <c r="U42" s="7">
        <v>2000</v>
      </c>
      <c r="V42" s="7">
        <v>2200</v>
      </c>
      <c r="W42" s="7">
        <v>3300010001</v>
      </c>
      <c r="X42" s="7">
        <v>3300010002</v>
      </c>
      <c r="Y42" s="7">
        <v>3300010003</v>
      </c>
      <c r="Z42" s="7">
        <v>330001</v>
      </c>
      <c r="AA42" s="7">
        <v>330002</v>
      </c>
      <c r="AB42" s="7">
        <v>330003</v>
      </c>
      <c r="AC42" s="7">
        <v>330001</v>
      </c>
      <c r="AD42" s="7">
        <v>330002</v>
      </c>
      <c r="AE42" s="7">
        <v>330003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34</v>
      </c>
      <c r="C43" s="7" t="s">
        <v>643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80</v>
      </c>
      <c r="K43" s="7">
        <v>80</v>
      </c>
      <c r="L43" s="7">
        <v>80</v>
      </c>
      <c r="M43" s="7">
        <v>130</v>
      </c>
      <c r="N43" s="7">
        <v>120</v>
      </c>
      <c r="O43" s="7">
        <v>170</v>
      </c>
      <c r="P43" s="7">
        <v>100</v>
      </c>
      <c r="Q43" s="7">
        <v>130</v>
      </c>
      <c r="R43" s="7">
        <v>2800</v>
      </c>
      <c r="S43" s="7">
        <v>2600</v>
      </c>
      <c r="T43" s="7">
        <v>3100</v>
      </c>
      <c r="U43" s="7">
        <v>2000</v>
      </c>
      <c r="V43" s="7">
        <v>2900</v>
      </c>
      <c r="W43" s="7">
        <v>3400010001</v>
      </c>
      <c r="X43" s="7">
        <v>3400010002</v>
      </c>
      <c r="Y43" s="7">
        <v>3400010003</v>
      </c>
      <c r="Z43" s="7">
        <v>340001</v>
      </c>
      <c r="AA43" s="7">
        <v>340002</v>
      </c>
      <c r="AB43" s="7">
        <v>340003</v>
      </c>
      <c r="AC43" s="7">
        <v>340001</v>
      </c>
      <c r="AD43" s="7">
        <v>340002</v>
      </c>
      <c r="AE43" s="7">
        <v>340003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35</v>
      </c>
      <c r="C44" s="7" t="s">
        <v>644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80</v>
      </c>
      <c r="K44" s="7">
        <v>80</v>
      </c>
      <c r="L44" s="7">
        <v>80</v>
      </c>
      <c r="M44" s="7">
        <v>180</v>
      </c>
      <c r="N44" s="7">
        <v>140</v>
      </c>
      <c r="O44" s="7">
        <v>120</v>
      </c>
      <c r="P44" s="7">
        <v>100</v>
      </c>
      <c r="Q44" s="7">
        <v>100</v>
      </c>
      <c r="R44" s="7">
        <v>3200</v>
      </c>
      <c r="S44" s="7">
        <v>2700</v>
      </c>
      <c r="T44" s="7">
        <v>2600</v>
      </c>
      <c r="U44" s="7">
        <v>2000</v>
      </c>
      <c r="V44" s="7">
        <v>2300</v>
      </c>
      <c r="W44" s="7">
        <v>3500010001</v>
      </c>
      <c r="X44" s="7">
        <v>3500010002</v>
      </c>
      <c r="Y44" s="7">
        <v>3500010003</v>
      </c>
      <c r="Z44" s="7">
        <v>350001</v>
      </c>
      <c r="AA44" s="7">
        <v>350002</v>
      </c>
      <c r="AB44" s="7">
        <v>350003</v>
      </c>
      <c r="AC44" s="7">
        <v>350001</v>
      </c>
      <c r="AD44" s="7">
        <v>350002</v>
      </c>
      <c r="AE44" s="7">
        <v>350003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36</v>
      </c>
      <c r="C45" s="7" t="s">
        <v>645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80</v>
      </c>
      <c r="J45" s="7">
        <v>80</v>
      </c>
      <c r="K45" s="7">
        <v>80</v>
      </c>
      <c r="L45" s="7">
        <v>80</v>
      </c>
      <c r="M45" s="7">
        <v>160</v>
      </c>
      <c r="N45" s="7">
        <v>180</v>
      </c>
      <c r="O45" s="7">
        <v>100</v>
      </c>
      <c r="P45" s="7">
        <v>100</v>
      </c>
      <c r="Q45" s="7">
        <v>60</v>
      </c>
      <c r="R45" s="7">
        <v>3000</v>
      </c>
      <c r="S45" s="7">
        <v>3200</v>
      </c>
      <c r="T45" s="7">
        <v>2400</v>
      </c>
      <c r="U45" s="7">
        <v>2000</v>
      </c>
      <c r="V45" s="7">
        <v>2400</v>
      </c>
      <c r="W45" s="7">
        <v>3600010001</v>
      </c>
      <c r="X45" s="7">
        <v>3600010002</v>
      </c>
      <c r="Y45" s="7">
        <v>3600010003</v>
      </c>
      <c r="Z45" s="7">
        <v>360001</v>
      </c>
      <c r="AA45" s="7">
        <v>360002</v>
      </c>
      <c r="AB45" s="7">
        <v>360003</v>
      </c>
      <c r="AC45" s="7">
        <v>360001</v>
      </c>
      <c r="AD45" s="7">
        <v>360002</v>
      </c>
      <c r="AE45" s="7">
        <v>360003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37</v>
      </c>
      <c r="C46" s="7" t="s">
        <v>646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80</v>
      </c>
      <c r="J46" s="7">
        <v>80</v>
      </c>
      <c r="K46" s="7">
        <v>80</v>
      </c>
      <c r="L46" s="7">
        <v>80</v>
      </c>
      <c r="M46" s="7">
        <v>150</v>
      </c>
      <c r="N46" s="7">
        <v>140</v>
      </c>
      <c r="O46" s="7">
        <v>180</v>
      </c>
      <c r="P46" s="7">
        <v>100</v>
      </c>
      <c r="Q46" s="7">
        <v>120</v>
      </c>
      <c r="R46" s="7">
        <v>2900</v>
      </c>
      <c r="S46" s="7">
        <v>2700</v>
      </c>
      <c r="T46" s="7">
        <v>3200</v>
      </c>
      <c r="U46" s="7">
        <v>2000</v>
      </c>
      <c r="V46" s="7">
        <v>1200</v>
      </c>
      <c r="W46" s="7">
        <v>3700010001</v>
      </c>
      <c r="X46" s="7">
        <v>3700010002</v>
      </c>
      <c r="Y46" s="7">
        <v>3700010003</v>
      </c>
      <c r="Z46" s="7">
        <v>370001</v>
      </c>
      <c r="AA46" s="7">
        <v>370002</v>
      </c>
      <c r="AB46" s="7">
        <v>370003</v>
      </c>
      <c r="AC46" s="7">
        <v>370001</v>
      </c>
      <c r="AD46" s="7">
        <v>370002</v>
      </c>
      <c r="AE46" s="7">
        <v>370003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7">
        <v>38</v>
      </c>
      <c r="C47" s="7" t="s">
        <v>647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80</v>
      </c>
      <c r="J47" s="7">
        <v>80</v>
      </c>
      <c r="K47" s="7">
        <v>80</v>
      </c>
      <c r="L47" s="7">
        <v>80</v>
      </c>
      <c r="M47" s="7">
        <v>200</v>
      </c>
      <c r="N47" s="7">
        <v>180</v>
      </c>
      <c r="O47" s="7">
        <v>150</v>
      </c>
      <c r="P47" s="7">
        <v>100</v>
      </c>
      <c r="Q47" s="7">
        <v>100</v>
      </c>
      <c r="R47" s="7">
        <v>3400</v>
      </c>
      <c r="S47" s="7">
        <v>3200</v>
      </c>
      <c r="T47" s="7">
        <v>2900</v>
      </c>
      <c r="U47" s="7">
        <v>2000</v>
      </c>
      <c r="V47" s="7">
        <v>2800</v>
      </c>
      <c r="W47" s="7">
        <v>3800010001</v>
      </c>
      <c r="X47" s="7">
        <v>3800010002</v>
      </c>
      <c r="Y47" s="7">
        <v>3800010003</v>
      </c>
      <c r="Z47" s="7">
        <v>380001</v>
      </c>
      <c r="AA47" s="7">
        <v>380002</v>
      </c>
      <c r="AB47" s="7">
        <v>380003</v>
      </c>
      <c r="AC47" s="7">
        <v>380001</v>
      </c>
      <c r="AD47" s="7">
        <v>380002</v>
      </c>
      <c r="AE47" s="7">
        <v>380003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7">
        <v>39</v>
      </c>
      <c r="C48" s="7" t="s">
        <v>648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80</v>
      </c>
      <c r="J48" s="7">
        <v>80</v>
      </c>
      <c r="K48" s="7">
        <v>80</v>
      </c>
      <c r="L48" s="7">
        <v>80</v>
      </c>
      <c r="M48" s="7">
        <v>150</v>
      </c>
      <c r="N48" s="7">
        <v>140</v>
      </c>
      <c r="O48" s="7">
        <v>180</v>
      </c>
      <c r="P48" s="7">
        <v>100</v>
      </c>
      <c r="Q48" s="7">
        <v>100</v>
      </c>
      <c r="R48" s="7">
        <v>2900</v>
      </c>
      <c r="S48" s="7">
        <v>2700</v>
      </c>
      <c r="T48" s="7">
        <v>3200</v>
      </c>
      <c r="U48" s="7">
        <v>2000</v>
      </c>
      <c r="V48" s="7">
        <v>2300</v>
      </c>
      <c r="W48" s="7">
        <v>3900010001</v>
      </c>
      <c r="X48" s="7">
        <v>3900010002</v>
      </c>
      <c r="Y48" s="7">
        <v>3900010003</v>
      </c>
      <c r="Z48" s="7">
        <v>390001</v>
      </c>
      <c r="AA48" s="7">
        <v>390002</v>
      </c>
      <c r="AB48" s="7">
        <v>390003</v>
      </c>
      <c r="AC48" s="7">
        <v>390001</v>
      </c>
      <c r="AD48" s="7">
        <v>390002</v>
      </c>
      <c r="AE48" s="7">
        <v>390003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2:31" ht="18.75" customHeight="1">
      <c r="B49" s="7">
        <v>40</v>
      </c>
      <c r="C49" s="7" t="s">
        <v>649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80</v>
      </c>
      <c r="J49" s="7">
        <v>80</v>
      </c>
      <c r="K49" s="7">
        <v>80</v>
      </c>
      <c r="L49" s="7">
        <v>80</v>
      </c>
      <c r="M49" s="7">
        <v>200</v>
      </c>
      <c r="N49" s="7">
        <v>180</v>
      </c>
      <c r="O49" s="7">
        <v>150</v>
      </c>
      <c r="P49" s="7">
        <v>100</v>
      </c>
      <c r="Q49" s="7">
        <v>120</v>
      </c>
      <c r="R49" s="7">
        <v>3400</v>
      </c>
      <c r="S49" s="7">
        <v>3200</v>
      </c>
      <c r="T49" s="7">
        <v>2900</v>
      </c>
      <c r="U49" s="7">
        <v>2000</v>
      </c>
      <c r="V49" s="7">
        <v>2600</v>
      </c>
      <c r="W49" s="7">
        <v>4000010001</v>
      </c>
      <c r="X49" s="7">
        <v>4000010002</v>
      </c>
      <c r="Y49" s="7">
        <v>4000010003</v>
      </c>
      <c r="Z49" s="7">
        <v>400001</v>
      </c>
      <c r="AA49" s="7">
        <v>400002</v>
      </c>
      <c r="AB49" s="7">
        <v>400003</v>
      </c>
      <c r="AC49" s="7">
        <v>400001</v>
      </c>
      <c r="AD49" s="7">
        <v>400002</v>
      </c>
      <c r="AE49" s="7">
        <v>400003</v>
      </c>
    </row>
    <row r="50" spans="2:31" ht="18.75" customHeight="1">
      <c r="B50" s="7">
        <v>41</v>
      </c>
      <c r="C50" s="7" t="s">
        <v>650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80</v>
      </c>
      <c r="J50" s="7">
        <v>80</v>
      </c>
      <c r="K50" s="7">
        <v>80</v>
      </c>
      <c r="L50" s="7">
        <v>80</v>
      </c>
      <c r="M50" s="7">
        <v>120</v>
      </c>
      <c r="N50" s="7">
        <v>180</v>
      </c>
      <c r="O50" s="7">
        <v>80</v>
      </c>
      <c r="P50" s="7">
        <v>100</v>
      </c>
      <c r="Q50" s="7">
        <v>100</v>
      </c>
      <c r="R50" s="7">
        <v>2600</v>
      </c>
      <c r="S50" s="7">
        <v>3200</v>
      </c>
      <c r="T50" s="7">
        <v>1900</v>
      </c>
      <c r="U50" s="7">
        <v>2000</v>
      </c>
      <c r="V50" s="7">
        <v>2000</v>
      </c>
      <c r="W50" s="7">
        <v>4100010001</v>
      </c>
      <c r="X50" s="7">
        <v>4100010002</v>
      </c>
      <c r="Y50" s="7">
        <v>4100010003</v>
      </c>
      <c r="Z50" s="7">
        <v>410001</v>
      </c>
      <c r="AA50" s="7">
        <v>410002</v>
      </c>
      <c r="AB50" s="7">
        <v>410003</v>
      </c>
      <c r="AC50" s="7">
        <v>410001</v>
      </c>
      <c r="AD50" s="7">
        <v>410002</v>
      </c>
      <c r="AE50" s="7">
        <v>410003</v>
      </c>
    </row>
    <row r="51" spans="2:31" ht="18.75" customHeight="1">
      <c r="B51" s="7">
        <v>42</v>
      </c>
      <c r="C51" s="7" t="s">
        <v>151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80</v>
      </c>
      <c r="J51" s="7">
        <v>80</v>
      </c>
      <c r="K51" s="7">
        <v>80</v>
      </c>
      <c r="L51" s="7">
        <v>80</v>
      </c>
      <c r="M51" s="7">
        <v>130</v>
      </c>
      <c r="N51" s="7">
        <v>120</v>
      </c>
      <c r="O51" s="7">
        <v>170</v>
      </c>
      <c r="P51" s="7">
        <v>100</v>
      </c>
      <c r="Q51" s="7">
        <v>120</v>
      </c>
      <c r="R51" s="7">
        <v>2800</v>
      </c>
      <c r="S51" s="7">
        <v>2600</v>
      </c>
      <c r="T51" s="7">
        <v>3100</v>
      </c>
      <c r="U51" s="7">
        <v>2000</v>
      </c>
      <c r="V51" s="7">
        <v>2600</v>
      </c>
      <c r="W51" s="7">
        <v>4200010001</v>
      </c>
      <c r="X51" s="7">
        <v>4200010002</v>
      </c>
      <c r="Y51" s="7">
        <v>4200010003</v>
      </c>
      <c r="Z51" s="7">
        <v>420001</v>
      </c>
      <c r="AA51" s="7">
        <v>420002</v>
      </c>
      <c r="AB51" s="7">
        <v>420003</v>
      </c>
      <c r="AC51" s="7">
        <v>420001</v>
      </c>
      <c r="AD51" s="7">
        <v>420002</v>
      </c>
      <c r="AE51" s="7">
        <v>420003</v>
      </c>
    </row>
    <row r="52" spans="2:31" ht="18.75" customHeight="1">
      <c r="B52" s="7">
        <v>43</v>
      </c>
      <c r="C52" s="7" t="s">
        <v>651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80</v>
      </c>
      <c r="J52" s="7">
        <v>80</v>
      </c>
      <c r="K52" s="7">
        <v>80</v>
      </c>
      <c r="L52" s="7">
        <v>80</v>
      </c>
      <c r="M52" s="7">
        <v>180</v>
      </c>
      <c r="N52" s="7">
        <v>140</v>
      </c>
      <c r="O52" s="7">
        <v>120</v>
      </c>
      <c r="P52" s="7">
        <v>100</v>
      </c>
      <c r="Q52" s="7">
        <v>80</v>
      </c>
      <c r="R52" s="7">
        <v>3200</v>
      </c>
      <c r="S52" s="7">
        <v>2700</v>
      </c>
      <c r="T52" s="7">
        <v>2600</v>
      </c>
      <c r="U52" s="7">
        <v>2000</v>
      </c>
      <c r="V52" s="7">
        <v>1500</v>
      </c>
      <c r="W52" s="7">
        <v>4300010001</v>
      </c>
      <c r="X52" s="7">
        <v>4300010002</v>
      </c>
      <c r="Y52" s="7">
        <v>4300010003</v>
      </c>
      <c r="Z52" s="7">
        <v>430001</v>
      </c>
      <c r="AA52" s="7">
        <v>430002</v>
      </c>
      <c r="AB52" s="7">
        <v>430003</v>
      </c>
      <c r="AC52" s="7">
        <v>430001</v>
      </c>
      <c r="AD52" s="7">
        <v>430002</v>
      </c>
      <c r="AE52" s="7">
        <v>430003</v>
      </c>
    </row>
    <row r="53" spans="2:31" ht="18.75" customHeight="1">
      <c r="B53" s="7">
        <v>44</v>
      </c>
      <c r="C53" s="7" t="s">
        <v>652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80</v>
      </c>
      <c r="J53" s="7">
        <v>80</v>
      </c>
      <c r="K53" s="7">
        <v>80</v>
      </c>
      <c r="L53" s="7">
        <v>80</v>
      </c>
      <c r="M53" s="7">
        <v>160</v>
      </c>
      <c r="N53" s="7">
        <v>180</v>
      </c>
      <c r="O53" s="7">
        <v>100</v>
      </c>
      <c r="P53" s="7">
        <v>100</v>
      </c>
      <c r="Q53" s="7">
        <v>100</v>
      </c>
      <c r="R53" s="7">
        <v>3000</v>
      </c>
      <c r="S53" s="7">
        <v>3200</v>
      </c>
      <c r="T53" s="7">
        <v>2400</v>
      </c>
      <c r="U53" s="7">
        <v>2000</v>
      </c>
      <c r="V53" s="7">
        <v>2600</v>
      </c>
      <c r="W53" s="7">
        <v>4400010001</v>
      </c>
      <c r="X53" s="7">
        <v>4400010002</v>
      </c>
      <c r="Y53" s="7">
        <v>4400010003</v>
      </c>
      <c r="Z53" s="7">
        <v>440001</v>
      </c>
      <c r="AA53" s="7">
        <v>440002</v>
      </c>
      <c r="AB53" s="7">
        <v>440003</v>
      </c>
      <c r="AC53" s="7">
        <v>440001</v>
      </c>
      <c r="AD53" s="7">
        <v>440002</v>
      </c>
      <c r="AE53" s="7">
        <v>440003</v>
      </c>
    </row>
    <row r="54" spans="2:31" ht="18.75" customHeight="1">
      <c r="B54" s="7">
        <v>45</v>
      </c>
      <c r="C54" s="7" t="s">
        <v>653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80</v>
      </c>
      <c r="J54" s="7">
        <v>80</v>
      </c>
      <c r="K54" s="7">
        <v>80</v>
      </c>
      <c r="L54" s="7">
        <v>80</v>
      </c>
      <c r="M54" s="7">
        <v>150</v>
      </c>
      <c r="N54" s="7">
        <v>140</v>
      </c>
      <c r="O54" s="7">
        <v>180</v>
      </c>
      <c r="P54" s="7">
        <v>100</v>
      </c>
      <c r="Q54" s="7">
        <v>100</v>
      </c>
      <c r="R54" s="7">
        <v>2900</v>
      </c>
      <c r="S54" s="7">
        <v>2700</v>
      </c>
      <c r="T54" s="7">
        <v>3200</v>
      </c>
      <c r="U54" s="7">
        <v>2000</v>
      </c>
      <c r="V54" s="7">
        <v>2200</v>
      </c>
      <c r="W54" s="7">
        <v>4500010001</v>
      </c>
      <c r="X54" s="7">
        <v>4500010002</v>
      </c>
      <c r="Y54" s="7">
        <v>4500010003</v>
      </c>
      <c r="Z54" s="7">
        <v>450001</v>
      </c>
      <c r="AA54" s="7">
        <v>450002</v>
      </c>
      <c r="AB54" s="7">
        <v>450003</v>
      </c>
      <c r="AC54" s="7">
        <v>450001</v>
      </c>
      <c r="AD54" s="7">
        <v>450002</v>
      </c>
      <c r="AE54" s="7">
        <v>450003</v>
      </c>
    </row>
    <row r="55" spans="2:31" ht="18.75" customHeight="1">
      <c r="B55" s="7">
        <v>46</v>
      </c>
      <c r="C55" s="7" t="s">
        <v>654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80</v>
      </c>
      <c r="K55" s="7">
        <v>80</v>
      </c>
      <c r="L55" s="7">
        <v>80</v>
      </c>
      <c r="M55" s="7">
        <v>200</v>
      </c>
      <c r="N55" s="7">
        <v>180</v>
      </c>
      <c r="O55" s="7">
        <v>150</v>
      </c>
      <c r="P55" s="7">
        <v>100</v>
      </c>
      <c r="Q55" s="7">
        <v>60</v>
      </c>
      <c r="R55" s="7">
        <v>3400</v>
      </c>
      <c r="S55" s="7">
        <v>3200</v>
      </c>
      <c r="T55" s="7">
        <v>2900</v>
      </c>
      <c r="U55" s="7">
        <v>2000</v>
      </c>
      <c r="V55" s="7">
        <v>1200</v>
      </c>
      <c r="W55" s="7">
        <v>4600010001</v>
      </c>
      <c r="X55" s="7">
        <v>4600010002</v>
      </c>
      <c r="Y55" s="7">
        <v>4600010003</v>
      </c>
      <c r="Z55" s="7">
        <v>460001</v>
      </c>
      <c r="AA55" s="7">
        <v>460002</v>
      </c>
      <c r="AB55" s="7">
        <v>460003</v>
      </c>
      <c r="AC55" s="7">
        <v>460001</v>
      </c>
      <c r="AD55" s="7">
        <v>460002</v>
      </c>
      <c r="AE55" s="7">
        <v>460003</v>
      </c>
    </row>
    <row r="56" spans="2:31" ht="18.75" customHeight="1">
      <c r="B56" s="7">
        <v>47</v>
      </c>
      <c r="C56" s="7" t="s">
        <v>655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80</v>
      </c>
      <c r="J56" s="7">
        <v>80</v>
      </c>
      <c r="K56" s="7">
        <v>80</v>
      </c>
      <c r="L56" s="7">
        <v>80</v>
      </c>
      <c r="M56" s="7">
        <v>120</v>
      </c>
      <c r="N56" s="7">
        <v>180</v>
      </c>
      <c r="O56" s="7">
        <v>80</v>
      </c>
      <c r="P56" s="7">
        <v>100</v>
      </c>
      <c r="Q56" s="7">
        <v>100</v>
      </c>
      <c r="R56" s="7">
        <v>2600</v>
      </c>
      <c r="S56" s="7">
        <v>3200</v>
      </c>
      <c r="T56" s="7">
        <v>1900</v>
      </c>
      <c r="U56" s="7">
        <v>2000</v>
      </c>
      <c r="V56" s="7">
        <v>2000</v>
      </c>
      <c r="W56" s="7">
        <v>4700010001</v>
      </c>
      <c r="X56" s="7">
        <v>4700010002</v>
      </c>
      <c r="Y56" s="7">
        <v>4700010003</v>
      </c>
      <c r="Z56" s="7">
        <v>470001</v>
      </c>
      <c r="AA56" s="7">
        <v>470002</v>
      </c>
      <c r="AB56" s="7">
        <v>470003</v>
      </c>
      <c r="AC56" s="7">
        <v>470001</v>
      </c>
      <c r="AD56" s="7">
        <v>470002</v>
      </c>
      <c r="AE56" s="7">
        <v>470003</v>
      </c>
    </row>
    <row r="57" spans="2:31" ht="18.75" customHeight="1">
      <c r="B57" s="7">
        <v>48</v>
      </c>
      <c r="C57" s="7" t="s">
        <v>656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80</v>
      </c>
      <c r="J57" s="7">
        <v>80</v>
      </c>
      <c r="K57" s="7">
        <v>80</v>
      </c>
      <c r="L57" s="7">
        <v>80</v>
      </c>
      <c r="M57" s="7">
        <v>130</v>
      </c>
      <c r="N57" s="7">
        <v>120</v>
      </c>
      <c r="O57" s="7">
        <v>170</v>
      </c>
      <c r="P57" s="7">
        <v>100</v>
      </c>
      <c r="Q57" s="7">
        <v>80</v>
      </c>
      <c r="R57" s="7">
        <v>2800</v>
      </c>
      <c r="S57" s="7">
        <v>2600</v>
      </c>
      <c r="T57" s="7">
        <v>3100</v>
      </c>
      <c r="U57" s="7">
        <v>2000</v>
      </c>
      <c r="V57" s="7">
        <v>1600</v>
      </c>
      <c r="W57" s="7">
        <v>4800010001</v>
      </c>
      <c r="X57" s="7">
        <v>4800010002</v>
      </c>
      <c r="Y57" s="7">
        <v>4800010003</v>
      </c>
      <c r="Z57" s="7">
        <v>480001</v>
      </c>
      <c r="AA57" s="7">
        <v>480002</v>
      </c>
      <c r="AB57" s="7">
        <v>480003</v>
      </c>
      <c r="AC57" s="7">
        <v>480001</v>
      </c>
      <c r="AD57" s="7">
        <v>480002</v>
      </c>
      <c r="AE57" s="7">
        <v>480003</v>
      </c>
    </row>
    <row r="58" spans="2:31" ht="18.75" customHeight="1">
      <c r="B58" s="7">
        <v>49</v>
      </c>
      <c r="C58" s="7" t="s">
        <v>657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80</v>
      </c>
      <c r="J58" s="7">
        <v>80</v>
      </c>
      <c r="K58" s="7">
        <v>80</v>
      </c>
      <c r="L58" s="7">
        <v>80</v>
      </c>
      <c r="M58" s="7">
        <v>180</v>
      </c>
      <c r="N58" s="7">
        <v>140</v>
      </c>
      <c r="O58" s="7">
        <v>120</v>
      </c>
      <c r="P58" s="7">
        <v>100</v>
      </c>
      <c r="Q58" s="7">
        <v>60</v>
      </c>
      <c r="R58" s="7">
        <v>3200</v>
      </c>
      <c r="S58" s="7">
        <v>2700</v>
      </c>
      <c r="T58" s="7">
        <v>2600</v>
      </c>
      <c r="U58" s="7">
        <v>2000</v>
      </c>
      <c r="V58" s="7">
        <v>1400</v>
      </c>
      <c r="W58" s="7">
        <v>4900010001</v>
      </c>
      <c r="X58" s="7">
        <v>4900010002</v>
      </c>
      <c r="Y58" s="7">
        <v>4900010003</v>
      </c>
      <c r="Z58" s="7">
        <v>490001</v>
      </c>
      <c r="AA58" s="7">
        <v>490002</v>
      </c>
      <c r="AB58" s="7">
        <v>490003</v>
      </c>
      <c r="AC58" s="7">
        <v>490001</v>
      </c>
      <c r="AD58" s="7">
        <v>490002</v>
      </c>
      <c r="AE58" s="7">
        <v>490003</v>
      </c>
    </row>
    <row r="59" spans="2:31" ht="18.75" customHeight="1">
      <c r="B59" s="7">
        <v>50</v>
      </c>
      <c r="C59" s="7" t="s">
        <v>658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80</v>
      </c>
      <c r="J59" s="7">
        <v>80</v>
      </c>
      <c r="K59" s="7">
        <v>80</v>
      </c>
      <c r="L59" s="7">
        <v>80</v>
      </c>
      <c r="M59" s="7">
        <v>160</v>
      </c>
      <c r="N59" s="7">
        <v>180</v>
      </c>
      <c r="O59" s="7">
        <v>100</v>
      </c>
      <c r="P59" s="7">
        <v>100</v>
      </c>
      <c r="Q59" s="7">
        <v>100</v>
      </c>
      <c r="R59" s="7">
        <v>3000</v>
      </c>
      <c r="S59" s="7">
        <v>3200</v>
      </c>
      <c r="T59" s="7">
        <v>2400</v>
      </c>
      <c r="U59" s="7">
        <v>2000</v>
      </c>
      <c r="V59" s="7">
        <v>2000</v>
      </c>
      <c r="W59" s="7">
        <v>5000010001</v>
      </c>
      <c r="X59" s="7">
        <v>5000010002</v>
      </c>
      <c r="Y59" s="7">
        <v>5000010003</v>
      </c>
      <c r="Z59" s="7">
        <v>500001</v>
      </c>
      <c r="AA59" s="7">
        <v>500002</v>
      </c>
      <c r="AB59" s="7">
        <v>500003</v>
      </c>
      <c r="AC59" s="7">
        <v>500001</v>
      </c>
      <c r="AD59" s="7">
        <v>500002</v>
      </c>
      <c r="AE59" s="7">
        <v>500003</v>
      </c>
    </row>
    <row r="60" spans="2:31" ht="18.75" customHeight="1">
      <c r="B60" s="7">
        <v>51</v>
      </c>
      <c r="C60" s="7" t="s">
        <v>659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80</v>
      </c>
      <c r="J60" s="7">
        <v>80</v>
      </c>
      <c r="K60" s="7">
        <v>80</v>
      </c>
      <c r="L60" s="7">
        <v>80</v>
      </c>
      <c r="M60" s="7">
        <v>150</v>
      </c>
      <c r="N60" s="7">
        <v>140</v>
      </c>
      <c r="O60" s="7">
        <v>180</v>
      </c>
      <c r="P60" s="7">
        <v>100</v>
      </c>
      <c r="Q60" s="7">
        <v>120</v>
      </c>
      <c r="R60" s="7">
        <v>2900</v>
      </c>
      <c r="S60" s="7">
        <v>2700</v>
      </c>
      <c r="T60" s="7">
        <v>3200</v>
      </c>
      <c r="U60" s="7">
        <v>2000</v>
      </c>
      <c r="V60" s="7">
        <v>2500</v>
      </c>
      <c r="W60" s="7">
        <v>5100010001</v>
      </c>
      <c r="X60" s="7">
        <v>5100010002</v>
      </c>
      <c r="Y60" s="7">
        <v>5100010003</v>
      </c>
      <c r="Z60" s="7">
        <v>510001</v>
      </c>
      <c r="AA60" s="7">
        <v>510002</v>
      </c>
      <c r="AB60" s="7">
        <v>510003</v>
      </c>
      <c r="AC60" s="7">
        <v>510001</v>
      </c>
      <c r="AD60" s="7">
        <v>510002</v>
      </c>
      <c r="AE60" s="7">
        <v>510003</v>
      </c>
    </row>
    <row r="61" spans="2:31" ht="18.75" customHeight="1">
      <c r="B61" s="7">
        <v>52</v>
      </c>
      <c r="C61" s="7" t="s">
        <v>660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80</v>
      </c>
      <c r="J61" s="7">
        <v>80</v>
      </c>
      <c r="K61" s="7">
        <v>80</v>
      </c>
      <c r="L61" s="7">
        <v>80</v>
      </c>
      <c r="M61" s="7">
        <v>200</v>
      </c>
      <c r="N61" s="7">
        <v>180</v>
      </c>
      <c r="O61" s="7">
        <v>150</v>
      </c>
      <c r="P61" s="7">
        <v>100</v>
      </c>
      <c r="Q61" s="7">
        <v>140</v>
      </c>
      <c r="R61" s="7">
        <v>3400</v>
      </c>
      <c r="S61" s="7">
        <v>3200</v>
      </c>
      <c r="T61" s="7">
        <v>2900</v>
      </c>
      <c r="U61" s="7">
        <v>2000</v>
      </c>
      <c r="V61" s="7">
        <v>2000</v>
      </c>
      <c r="W61" s="7">
        <v>5200010001</v>
      </c>
      <c r="X61" s="7">
        <v>5200010002</v>
      </c>
      <c r="Y61" s="7">
        <v>5200010003</v>
      </c>
      <c r="Z61" s="7">
        <v>520001</v>
      </c>
      <c r="AA61" s="7">
        <v>520002</v>
      </c>
      <c r="AB61" s="7">
        <v>520003</v>
      </c>
      <c r="AC61" s="7">
        <v>520001</v>
      </c>
      <c r="AD61" s="7">
        <v>520002</v>
      </c>
      <c r="AE61" s="7">
        <v>520003</v>
      </c>
    </row>
    <row r="62" spans="2:31" ht="18.75" customHeight="1">
      <c r="B62" s="7">
        <v>53</v>
      </c>
      <c r="C62" s="7" t="s">
        <v>661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80</v>
      </c>
      <c r="J62" s="7">
        <v>80</v>
      </c>
      <c r="K62" s="7">
        <v>80</v>
      </c>
      <c r="L62" s="7">
        <v>80</v>
      </c>
      <c r="M62" s="7">
        <v>120</v>
      </c>
      <c r="N62" s="7">
        <v>180</v>
      </c>
      <c r="O62" s="7">
        <v>80</v>
      </c>
      <c r="P62" s="7">
        <v>100</v>
      </c>
      <c r="Q62" s="7">
        <v>160</v>
      </c>
      <c r="R62" s="7">
        <v>2600</v>
      </c>
      <c r="S62" s="7">
        <v>3200</v>
      </c>
      <c r="T62" s="7">
        <v>1900</v>
      </c>
      <c r="U62" s="7">
        <v>2000</v>
      </c>
      <c r="V62" s="7">
        <v>2200</v>
      </c>
      <c r="W62" s="7">
        <v>5300010001</v>
      </c>
      <c r="X62" s="7">
        <v>5300010002</v>
      </c>
      <c r="Y62" s="7">
        <v>5300010003</v>
      </c>
      <c r="Z62" s="7">
        <v>530001</v>
      </c>
      <c r="AA62" s="7">
        <v>530002</v>
      </c>
      <c r="AB62" s="7">
        <v>530003</v>
      </c>
      <c r="AC62" s="7">
        <v>530001</v>
      </c>
      <c r="AD62" s="7">
        <v>530002</v>
      </c>
      <c r="AE62" s="7">
        <v>530003</v>
      </c>
    </row>
    <row r="63" spans="2:31" ht="18.75" customHeight="1">
      <c r="B63" s="7">
        <v>54</v>
      </c>
      <c r="C63" s="7" t="s">
        <v>152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80</v>
      </c>
      <c r="J63" s="7">
        <v>80</v>
      </c>
      <c r="K63" s="7">
        <v>80</v>
      </c>
      <c r="L63" s="7">
        <v>80</v>
      </c>
      <c r="M63" s="7">
        <v>130</v>
      </c>
      <c r="N63" s="7">
        <v>120</v>
      </c>
      <c r="O63" s="7">
        <v>170</v>
      </c>
      <c r="P63" s="7">
        <v>100</v>
      </c>
      <c r="Q63" s="7">
        <v>130</v>
      </c>
      <c r="R63" s="7">
        <v>2800</v>
      </c>
      <c r="S63" s="7">
        <v>2600</v>
      </c>
      <c r="T63" s="7">
        <v>3100</v>
      </c>
      <c r="U63" s="7">
        <v>2000</v>
      </c>
      <c r="V63" s="7">
        <v>2900</v>
      </c>
      <c r="W63" s="7">
        <v>5400010001</v>
      </c>
      <c r="X63" s="7">
        <v>5400010002</v>
      </c>
      <c r="Y63" s="7">
        <v>5400010003</v>
      </c>
      <c r="Z63" s="7">
        <v>540001</v>
      </c>
      <c r="AA63" s="7">
        <v>540002</v>
      </c>
      <c r="AB63" s="7">
        <v>540003</v>
      </c>
      <c r="AC63" s="7">
        <v>540001</v>
      </c>
      <c r="AD63" s="7">
        <v>540002</v>
      </c>
      <c r="AE63" s="7">
        <v>540003</v>
      </c>
    </row>
    <row r="64" spans="2:31" ht="18.75" customHeight="1">
      <c r="B64" s="7">
        <v>55</v>
      </c>
      <c r="C64" s="7" t="s">
        <v>662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80</v>
      </c>
      <c r="K64" s="7">
        <v>80</v>
      </c>
      <c r="L64" s="7">
        <v>80</v>
      </c>
      <c r="M64" s="7">
        <v>180</v>
      </c>
      <c r="N64" s="7">
        <v>140</v>
      </c>
      <c r="O64" s="7">
        <v>120</v>
      </c>
      <c r="P64" s="7">
        <v>100</v>
      </c>
      <c r="Q64" s="7">
        <v>100</v>
      </c>
      <c r="R64" s="7">
        <v>3200</v>
      </c>
      <c r="S64" s="7">
        <v>2700</v>
      </c>
      <c r="T64" s="7">
        <v>2600</v>
      </c>
      <c r="U64" s="7">
        <v>2000</v>
      </c>
      <c r="V64" s="7">
        <v>2300</v>
      </c>
      <c r="W64" s="7">
        <v>5500010001</v>
      </c>
      <c r="X64" s="7">
        <v>5500010002</v>
      </c>
      <c r="Y64" s="7">
        <v>5500010003</v>
      </c>
      <c r="Z64" s="7">
        <v>550001</v>
      </c>
      <c r="AA64" s="7">
        <v>550002</v>
      </c>
      <c r="AB64" s="7">
        <v>550003</v>
      </c>
      <c r="AC64" s="7">
        <v>550001</v>
      </c>
      <c r="AD64" s="7">
        <v>550002</v>
      </c>
      <c r="AE64" s="7">
        <v>550003</v>
      </c>
    </row>
    <row r="65" spans="2:31" ht="18.75" customHeight="1">
      <c r="B65" s="7">
        <v>56</v>
      </c>
      <c r="C65" s="7" t="s">
        <v>663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80</v>
      </c>
      <c r="K65" s="7">
        <v>80</v>
      </c>
      <c r="L65" s="7">
        <v>80</v>
      </c>
      <c r="M65" s="7">
        <v>160</v>
      </c>
      <c r="N65" s="7">
        <v>180</v>
      </c>
      <c r="O65" s="7">
        <v>100</v>
      </c>
      <c r="P65" s="7">
        <v>100</v>
      </c>
      <c r="Q65" s="7">
        <v>60</v>
      </c>
      <c r="R65" s="7">
        <v>3000</v>
      </c>
      <c r="S65" s="7">
        <v>3200</v>
      </c>
      <c r="T65" s="7">
        <v>2400</v>
      </c>
      <c r="U65" s="7">
        <v>2000</v>
      </c>
      <c r="V65" s="7">
        <v>2400</v>
      </c>
      <c r="W65" s="7">
        <v>5600010001</v>
      </c>
      <c r="X65" s="7">
        <v>5600010002</v>
      </c>
      <c r="Y65" s="7">
        <v>5600010003</v>
      </c>
      <c r="Z65" s="7">
        <v>560001</v>
      </c>
      <c r="AA65" s="7">
        <v>560002</v>
      </c>
      <c r="AB65" s="7">
        <v>560003</v>
      </c>
      <c r="AC65" s="7">
        <v>560001</v>
      </c>
      <c r="AD65" s="7">
        <v>560002</v>
      </c>
      <c r="AE65" s="7">
        <v>560003</v>
      </c>
    </row>
    <row r="66" spans="2:31" ht="18.75" customHeight="1">
      <c r="B66" s="7">
        <v>57</v>
      </c>
      <c r="C66" s="7" t="s">
        <v>664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80</v>
      </c>
      <c r="J66" s="7">
        <v>80</v>
      </c>
      <c r="K66" s="7">
        <v>80</v>
      </c>
      <c r="L66" s="7">
        <v>80</v>
      </c>
      <c r="M66" s="7">
        <v>150</v>
      </c>
      <c r="N66" s="7">
        <v>140</v>
      </c>
      <c r="O66" s="7">
        <v>180</v>
      </c>
      <c r="P66" s="7">
        <v>100</v>
      </c>
      <c r="Q66" s="7">
        <v>120</v>
      </c>
      <c r="R66" s="7">
        <v>2900</v>
      </c>
      <c r="S66" s="7">
        <v>2700</v>
      </c>
      <c r="T66" s="7">
        <v>3200</v>
      </c>
      <c r="U66" s="7">
        <v>2000</v>
      </c>
      <c r="V66" s="7">
        <v>1200</v>
      </c>
      <c r="W66" s="7">
        <v>5700010001</v>
      </c>
      <c r="X66" s="7">
        <v>5700010002</v>
      </c>
      <c r="Y66" s="7">
        <v>5700010003</v>
      </c>
      <c r="Z66" s="7">
        <v>570001</v>
      </c>
      <c r="AA66" s="7">
        <v>570002</v>
      </c>
      <c r="AB66" s="7">
        <v>570003</v>
      </c>
      <c r="AC66" s="7">
        <v>570001</v>
      </c>
      <c r="AD66" s="7">
        <v>570002</v>
      </c>
      <c r="AE66" s="7">
        <v>570003</v>
      </c>
    </row>
    <row r="67" spans="2:31" ht="18.75" customHeight="1">
      <c r="B67" s="7">
        <v>58</v>
      </c>
      <c r="C67" s="7" t="s">
        <v>665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80</v>
      </c>
      <c r="J67" s="7">
        <v>80</v>
      </c>
      <c r="K67" s="7">
        <v>80</v>
      </c>
      <c r="L67" s="7">
        <v>80</v>
      </c>
      <c r="M67" s="7">
        <v>200</v>
      </c>
      <c r="N67" s="7">
        <v>180</v>
      </c>
      <c r="O67" s="7">
        <v>150</v>
      </c>
      <c r="P67" s="7">
        <v>100</v>
      </c>
      <c r="Q67" s="7">
        <v>100</v>
      </c>
      <c r="R67" s="7">
        <v>3400</v>
      </c>
      <c r="S67" s="7">
        <v>3200</v>
      </c>
      <c r="T67" s="7">
        <v>2900</v>
      </c>
      <c r="U67" s="7">
        <v>2000</v>
      </c>
      <c r="V67" s="7">
        <v>2800</v>
      </c>
      <c r="W67" s="7">
        <v>5800010001</v>
      </c>
      <c r="X67" s="7">
        <v>5800010002</v>
      </c>
      <c r="Y67" s="7">
        <v>5800010003</v>
      </c>
      <c r="Z67" s="7">
        <v>580001</v>
      </c>
      <c r="AA67" s="7">
        <v>580002</v>
      </c>
      <c r="AB67" s="7">
        <v>580003</v>
      </c>
      <c r="AC67" s="7">
        <v>580001</v>
      </c>
      <c r="AD67" s="7">
        <v>580002</v>
      </c>
      <c r="AE67" s="7">
        <v>580003</v>
      </c>
    </row>
    <row r="68" spans="2:31" ht="18.75" customHeight="1">
      <c r="B68" s="7">
        <v>59</v>
      </c>
      <c r="C68" s="7" t="s">
        <v>666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80</v>
      </c>
      <c r="J68" s="7">
        <v>80</v>
      </c>
      <c r="K68" s="7">
        <v>80</v>
      </c>
      <c r="L68" s="7">
        <v>80</v>
      </c>
      <c r="M68" s="7">
        <v>150</v>
      </c>
      <c r="N68" s="7">
        <v>140</v>
      </c>
      <c r="O68" s="7">
        <v>180</v>
      </c>
      <c r="P68" s="7">
        <v>100</v>
      </c>
      <c r="Q68" s="7">
        <v>100</v>
      </c>
      <c r="R68" s="7">
        <v>2900</v>
      </c>
      <c r="S68" s="7">
        <v>2700</v>
      </c>
      <c r="T68" s="7">
        <v>3200</v>
      </c>
      <c r="U68" s="7">
        <v>2000</v>
      </c>
      <c r="V68" s="7">
        <v>2300</v>
      </c>
      <c r="W68" s="7">
        <v>5900010001</v>
      </c>
      <c r="X68" s="7">
        <v>5900010002</v>
      </c>
      <c r="Y68" s="7">
        <v>5900010003</v>
      </c>
      <c r="Z68" s="7">
        <v>590001</v>
      </c>
      <c r="AA68" s="7">
        <v>590002</v>
      </c>
      <c r="AB68" s="7">
        <v>590003</v>
      </c>
      <c r="AC68" s="7">
        <v>590001</v>
      </c>
      <c r="AD68" s="7">
        <v>590002</v>
      </c>
      <c r="AE68" s="7">
        <v>590003</v>
      </c>
    </row>
    <row r="69" spans="2:31" ht="18.75" customHeight="1">
      <c r="B69" s="7">
        <v>60</v>
      </c>
      <c r="C69" s="7" t="s">
        <v>667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80</v>
      </c>
      <c r="K69" s="7">
        <v>80</v>
      </c>
      <c r="L69" s="7">
        <v>80</v>
      </c>
      <c r="M69" s="7">
        <v>200</v>
      </c>
      <c r="N69" s="7">
        <v>180</v>
      </c>
      <c r="O69" s="7">
        <v>150</v>
      </c>
      <c r="P69" s="7">
        <v>100</v>
      </c>
      <c r="Q69" s="7">
        <v>120</v>
      </c>
      <c r="R69" s="7">
        <v>3400</v>
      </c>
      <c r="S69" s="7">
        <v>3200</v>
      </c>
      <c r="T69" s="7">
        <v>2900</v>
      </c>
      <c r="U69" s="7">
        <v>2000</v>
      </c>
      <c r="V69" s="7">
        <v>2600</v>
      </c>
      <c r="W69" s="7">
        <v>6000010001</v>
      </c>
      <c r="X69" s="7">
        <v>6000010002</v>
      </c>
      <c r="Y69" s="7">
        <v>6000010003</v>
      </c>
      <c r="Z69" s="7">
        <v>600001</v>
      </c>
      <c r="AA69" s="7">
        <v>600002</v>
      </c>
      <c r="AB69" s="7">
        <v>600003</v>
      </c>
      <c r="AC69" s="7">
        <v>600001</v>
      </c>
      <c r="AD69" s="7">
        <v>600002</v>
      </c>
      <c r="AE69" s="7">
        <v>600003</v>
      </c>
    </row>
    <row r="70" spans="2:31" ht="18.75" customHeight="1">
      <c r="B70" s="7">
        <v>61</v>
      </c>
      <c r="C70" s="7" t="s">
        <v>668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80</v>
      </c>
      <c r="K70" s="7">
        <v>80</v>
      </c>
      <c r="L70" s="7">
        <v>80</v>
      </c>
      <c r="M70" s="7">
        <v>120</v>
      </c>
      <c r="N70" s="7">
        <v>180</v>
      </c>
      <c r="O70" s="7">
        <v>80</v>
      </c>
      <c r="P70" s="7">
        <v>100</v>
      </c>
      <c r="Q70" s="7">
        <v>100</v>
      </c>
      <c r="R70" s="7">
        <v>2600</v>
      </c>
      <c r="S70" s="7">
        <v>3200</v>
      </c>
      <c r="T70" s="7">
        <v>1900</v>
      </c>
      <c r="U70" s="7">
        <v>2000</v>
      </c>
      <c r="V70" s="7">
        <v>2000</v>
      </c>
      <c r="W70" s="7">
        <v>6100010001</v>
      </c>
      <c r="X70" s="7">
        <v>6100010002</v>
      </c>
      <c r="Y70" s="7">
        <v>6100010003</v>
      </c>
      <c r="Z70" s="7">
        <v>610001</v>
      </c>
      <c r="AA70" s="7">
        <v>610002</v>
      </c>
      <c r="AB70" s="7">
        <v>610003</v>
      </c>
      <c r="AC70" s="7">
        <v>610001</v>
      </c>
      <c r="AD70" s="7">
        <v>610002</v>
      </c>
      <c r="AE70" s="7">
        <v>610003</v>
      </c>
    </row>
    <row r="71" spans="2:31" ht="18.75" customHeight="1">
      <c r="B71" s="7">
        <v>62</v>
      </c>
      <c r="C71" s="7" t="s">
        <v>669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80</v>
      </c>
      <c r="K71" s="7">
        <v>80</v>
      </c>
      <c r="L71" s="7">
        <v>80</v>
      </c>
      <c r="M71" s="7">
        <v>130</v>
      </c>
      <c r="N71" s="7">
        <v>120</v>
      </c>
      <c r="O71" s="7">
        <v>170</v>
      </c>
      <c r="P71" s="7">
        <v>100</v>
      </c>
      <c r="Q71" s="7">
        <v>120</v>
      </c>
      <c r="R71" s="7">
        <v>2800</v>
      </c>
      <c r="S71" s="7">
        <v>2600</v>
      </c>
      <c r="T71" s="7">
        <v>3100</v>
      </c>
      <c r="U71" s="7">
        <v>2000</v>
      </c>
      <c r="V71" s="7">
        <v>2600</v>
      </c>
      <c r="W71" s="7">
        <v>6200010001</v>
      </c>
      <c r="X71" s="7">
        <v>6200010002</v>
      </c>
      <c r="Y71" s="7">
        <v>6200010003</v>
      </c>
      <c r="Z71" s="7">
        <v>620001</v>
      </c>
      <c r="AA71" s="7">
        <v>620002</v>
      </c>
      <c r="AB71" s="7">
        <v>620003</v>
      </c>
      <c r="AC71" s="7">
        <v>620001</v>
      </c>
      <c r="AD71" s="7">
        <v>620002</v>
      </c>
      <c r="AE71" s="7">
        <v>620003</v>
      </c>
    </row>
    <row r="72" spans="2:31" ht="18.75" customHeight="1">
      <c r="B72" s="7">
        <v>63</v>
      </c>
      <c r="C72" s="7" t="s">
        <v>670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80</v>
      </c>
      <c r="K72" s="7">
        <v>80</v>
      </c>
      <c r="L72" s="7">
        <v>80</v>
      </c>
      <c r="M72" s="7">
        <v>180</v>
      </c>
      <c r="N72" s="7">
        <v>140</v>
      </c>
      <c r="O72" s="7">
        <v>120</v>
      </c>
      <c r="P72" s="7">
        <v>100</v>
      </c>
      <c r="Q72" s="7">
        <v>80</v>
      </c>
      <c r="R72" s="7">
        <v>3200</v>
      </c>
      <c r="S72" s="7">
        <v>2700</v>
      </c>
      <c r="T72" s="7">
        <v>2600</v>
      </c>
      <c r="U72" s="7">
        <v>2000</v>
      </c>
      <c r="V72" s="7">
        <v>1500</v>
      </c>
      <c r="W72" s="7">
        <v>6300010001</v>
      </c>
      <c r="X72" s="7">
        <v>6300010002</v>
      </c>
      <c r="Y72" s="7">
        <v>6300010003</v>
      </c>
      <c r="Z72" s="7">
        <v>630001</v>
      </c>
      <c r="AA72" s="7">
        <v>630002</v>
      </c>
      <c r="AB72" s="7">
        <v>630003</v>
      </c>
      <c r="AC72" s="7">
        <v>630001</v>
      </c>
      <c r="AD72" s="7">
        <v>630002</v>
      </c>
      <c r="AE72" s="7">
        <v>630003</v>
      </c>
    </row>
    <row r="73" spans="2:31" ht="18.75" customHeight="1">
      <c r="B73" s="7">
        <v>64</v>
      </c>
      <c r="C73" s="7" t="s">
        <v>671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80</v>
      </c>
      <c r="J73" s="7">
        <v>80</v>
      </c>
      <c r="K73" s="7">
        <v>80</v>
      </c>
      <c r="L73" s="7">
        <v>80</v>
      </c>
      <c r="M73" s="7">
        <v>160</v>
      </c>
      <c r="N73" s="7">
        <v>180</v>
      </c>
      <c r="O73" s="7">
        <v>100</v>
      </c>
      <c r="P73" s="7">
        <v>100</v>
      </c>
      <c r="Q73" s="7">
        <v>100</v>
      </c>
      <c r="R73" s="7">
        <v>3000</v>
      </c>
      <c r="S73" s="7">
        <v>3200</v>
      </c>
      <c r="T73" s="7">
        <v>2400</v>
      </c>
      <c r="U73" s="7">
        <v>2000</v>
      </c>
      <c r="V73" s="7">
        <v>2600</v>
      </c>
      <c r="W73" s="7">
        <v>6400010001</v>
      </c>
      <c r="X73" s="7">
        <v>6400010002</v>
      </c>
      <c r="Y73" s="7">
        <v>6400010003</v>
      </c>
      <c r="Z73" s="7">
        <v>640001</v>
      </c>
      <c r="AA73" s="7">
        <v>640002</v>
      </c>
      <c r="AB73" s="7">
        <v>640003</v>
      </c>
      <c r="AC73" s="7">
        <v>640001</v>
      </c>
      <c r="AD73" s="7">
        <v>640002</v>
      </c>
      <c r="AE73" s="7">
        <v>640003</v>
      </c>
    </row>
    <row r="74" spans="2:31" ht="18.75" customHeight="1">
      <c r="B74" s="7">
        <v>65</v>
      </c>
      <c r="C74" s="7" t="s">
        <v>672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80</v>
      </c>
      <c r="J74" s="7">
        <v>80</v>
      </c>
      <c r="K74" s="7">
        <v>80</v>
      </c>
      <c r="L74" s="7">
        <v>80</v>
      </c>
      <c r="M74" s="7">
        <v>150</v>
      </c>
      <c r="N74" s="7">
        <v>140</v>
      </c>
      <c r="O74" s="7">
        <v>180</v>
      </c>
      <c r="P74" s="7">
        <v>100</v>
      </c>
      <c r="Q74" s="7">
        <v>100</v>
      </c>
      <c r="R74" s="7">
        <v>2900</v>
      </c>
      <c r="S74" s="7">
        <v>2700</v>
      </c>
      <c r="T74" s="7">
        <v>3200</v>
      </c>
      <c r="U74" s="7">
        <v>2000</v>
      </c>
      <c r="V74" s="7">
        <v>2200</v>
      </c>
      <c r="W74" s="7">
        <v>6500010001</v>
      </c>
      <c r="X74" s="7">
        <v>6500010002</v>
      </c>
      <c r="Y74" s="7">
        <v>6500010003</v>
      </c>
      <c r="Z74" s="7">
        <v>650001</v>
      </c>
      <c r="AA74" s="7">
        <v>650002</v>
      </c>
      <c r="AB74" s="7">
        <v>650003</v>
      </c>
      <c r="AC74" s="7">
        <v>650001</v>
      </c>
      <c r="AD74" s="7">
        <v>650002</v>
      </c>
      <c r="AE74" s="7">
        <v>650003</v>
      </c>
    </row>
    <row r="75" spans="2:31" ht="18.75" customHeight="1">
      <c r="B75" s="7">
        <v>66</v>
      </c>
      <c r="C75" s="7" t="s">
        <v>673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80</v>
      </c>
      <c r="J75" s="7">
        <v>80</v>
      </c>
      <c r="K75" s="7">
        <v>80</v>
      </c>
      <c r="L75" s="7">
        <v>80</v>
      </c>
      <c r="M75" s="7">
        <v>200</v>
      </c>
      <c r="N75" s="7">
        <v>180</v>
      </c>
      <c r="O75" s="7">
        <v>150</v>
      </c>
      <c r="P75" s="7">
        <v>100</v>
      </c>
      <c r="Q75" s="7">
        <v>60</v>
      </c>
      <c r="R75" s="7">
        <v>3400</v>
      </c>
      <c r="S75" s="7">
        <v>3200</v>
      </c>
      <c r="T75" s="7">
        <v>2900</v>
      </c>
      <c r="U75" s="7">
        <v>2000</v>
      </c>
      <c r="V75" s="7">
        <v>1200</v>
      </c>
      <c r="W75" s="7">
        <v>6600010001</v>
      </c>
      <c r="X75" s="7">
        <v>6600010002</v>
      </c>
      <c r="Y75" s="7">
        <v>6600010003</v>
      </c>
      <c r="Z75" s="7">
        <v>660001</v>
      </c>
      <c r="AA75" s="7">
        <v>660002</v>
      </c>
      <c r="AB75" s="7">
        <v>660003</v>
      </c>
      <c r="AC75" s="7">
        <v>660001</v>
      </c>
      <c r="AD75" s="7">
        <v>660002</v>
      </c>
      <c r="AE75" s="7">
        <v>660003</v>
      </c>
    </row>
    <row r="76" spans="2:31" ht="18.75" customHeight="1">
      <c r="B76" s="7">
        <v>67</v>
      </c>
      <c r="C76" s="7" t="s">
        <v>674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80</v>
      </c>
      <c r="K76" s="7">
        <v>80</v>
      </c>
      <c r="L76" s="7">
        <v>80</v>
      </c>
      <c r="M76" s="7">
        <v>120</v>
      </c>
      <c r="N76" s="7">
        <v>180</v>
      </c>
      <c r="O76" s="7">
        <v>80</v>
      </c>
      <c r="P76" s="7">
        <v>100</v>
      </c>
      <c r="Q76" s="7">
        <v>100</v>
      </c>
      <c r="R76" s="7">
        <v>2600</v>
      </c>
      <c r="S76" s="7">
        <v>3200</v>
      </c>
      <c r="T76" s="7">
        <v>1900</v>
      </c>
      <c r="U76" s="7">
        <v>2000</v>
      </c>
      <c r="V76" s="7">
        <v>2000</v>
      </c>
      <c r="W76" s="7">
        <v>6700010001</v>
      </c>
      <c r="X76" s="7">
        <v>6700010002</v>
      </c>
      <c r="Y76" s="7">
        <v>6700010003</v>
      </c>
      <c r="Z76" s="7">
        <v>670001</v>
      </c>
      <c r="AA76" s="7">
        <v>670002</v>
      </c>
      <c r="AB76" s="7">
        <v>670003</v>
      </c>
      <c r="AC76" s="7">
        <v>670001</v>
      </c>
      <c r="AD76" s="7">
        <v>670002</v>
      </c>
      <c r="AE76" s="7">
        <v>670003</v>
      </c>
    </row>
    <row r="77" spans="2:31" ht="18.75" customHeight="1">
      <c r="B77" s="7">
        <v>68</v>
      </c>
      <c r="C77" s="7" t="s">
        <v>675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80</v>
      </c>
      <c r="K77" s="7">
        <v>80</v>
      </c>
      <c r="L77" s="7">
        <v>80</v>
      </c>
      <c r="M77" s="7">
        <v>130</v>
      </c>
      <c r="N77" s="7">
        <v>120</v>
      </c>
      <c r="O77" s="7">
        <v>170</v>
      </c>
      <c r="P77" s="7">
        <v>100</v>
      </c>
      <c r="Q77" s="7">
        <v>80</v>
      </c>
      <c r="R77" s="7">
        <v>2800</v>
      </c>
      <c r="S77" s="7">
        <v>2600</v>
      </c>
      <c r="T77" s="7">
        <v>3100</v>
      </c>
      <c r="U77" s="7">
        <v>2000</v>
      </c>
      <c r="V77" s="7">
        <v>1600</v>
      </c>
      <c r="W77" s="7">
        <v>6800010001</v>
      </c>
      <c r="X77" s="7">
        <v>6800010002</v>
      </c>
      <c r="Y77" s="7">
        <v>6800010003</v>
      </c>
      <c r="Z77" s="7">
        <v>680001</v>
      </c>
      <c r="AA77" s="7">
        <v>680002</v>
      </c>
      <c r="AB77" s="7">
        <v>680003</v>
      </c>
      <c r="AC77" s="7">
        <v>680001</v>
      </c>
      <c r="AD77" s="7">
        <v>680002</v>
      </c>
      <c r="AE77" s="7">
        <v>680003</v>
      </c>
    </row>
    <row r="78" spans="2:31" ht="18.75" customHeight="1">
      <c r="B78" s="7">
        <v>69</v>
      </c>
      <c r="C78" s="7" t="s">
        <v>676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80</v>
      </c>
      <c r="J78" s="7">
        <v>80</v>
      </c>
      <c r="K78" s="7">
        <v>80</v>
      </c>
      <c r="L78" s="7">
        <v>80</v>
      </c>
      <c r="M78" s="7">
        <v>180</v>
      </c>
      <c r="N78" s="7">
        <v>140</v>
      </c>
      <c r="O78" s="7">
        <v>120</v>
      </c>
      <c r="P78" s="7">
        <v>100</v>
      </c>
      <c r="Q78" s="7">
        <v>60</v>
      </c>
      <c r="R78" s="7">
        <v>3200</v>
      </c>
      <c r="S78" s="7">
        <v>2700</v>
      </c>
      <c r="T78" s="7">
        <v>2600</v>
      </c>
      <c r="U78" s="7">
        <v>2000</v>
      </c>
      <c r="V78" s="7">
        <v>1400</v>
      </c>
      <c r="W78" s="7">
        <v>6900010001</v>
      </c>
      <c r="X78" s="7">
        <v>6900010002</v>
      </c>
      <c r="Y78" s="7">
        <v>6900010003</v>
      </c>
      <c r="Z78" s="7">
        <v>690001</v>
      </c>
      <c r="AA78" s="7">
        <v>690002</v>
      </c>
      <c r="AB78" s="7">
        <v>690003</v>
      </c>
      <c r="AC78" s="7">
        <v>690001</v>
      </c>
      <c r="AD78" s="7">
        <v>690002</v>
      </c>
      <c r="AE78" s="7">
        <v>690003</v>
      </c>
    </row>
    <row r="79" spans="2:31" ht="18.75" customHeight="1">
      <c r="B79" s="7">
        <v>70</v>
      </c>
      <c r="C79" s="7" t="s">
        <v>677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80</v>
      </c>
      <c r="K79" s="7">
        <v>80</v>
      </c>
      <c r="L79" s="7">
        <v>80</v>
      </c>
      <c r="M79" s="7">
        <v>160</v>
      </c>
      <c r="N79" s="7">
        <v>180</v>
      </c>
      <c r="O79" s="7">
        <v>100</v>
      </c>
      <c r="P79" s="7">
        <v>100</v>
      </c>
      <c r="Q79" s="7">
        <v>100</v>
      </c>
      <c r="R79" s="7">
        <v>3000</v>
      </c>
      <c r="S79" s="7">
        <v>3200</v>
      </c>
      <c r="T79" s="7">
        <v>2400</v>
      </c>
      <c r="U79" s="7">
        <v>2000</v>
      </c>
      <c r="V79" s="7">
        <v>2000</v>
      </c>
      <c r="W79" s="7">
        <v>7000010001</v>
      </c>
      <c r="X79" s="7">
        <v>7000010002</v>
      </c>
      <c r="Y79" s="7">
        <v>7000010003</v>
      </c>
      <c r="Z79" s="7">
        <v>700001</v>
      </c>
      <c r="AA79" s="7">
        <v>700002</v>
      </c>
      <c r="AB79" s="7">
        <v>700003</v>
      </c>
      <c r="AC79" s="7">
        <v>700001</v>
      </c>
      <c r="AD79" s="7">
        <v>700002</v>
      </c>
      <c r="AE79" s="7">
        <v>700003</v>
      </c>
    </row>
    <row r="80" spans="2:31" ht="18.75" customHeight="1"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3:22" ht="18.75" customHeight="1"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3:22" ht="18.75" customHeight="1"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3:22" ht="18.75" customHeight="1"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3:22" ht="18.75" customHeight="1"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3:22" ht="18.75" customHeight="1"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3:22" ht="18.75" customHeight="1"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3:22" ht="18.75" customHeight="1"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3:22" ht="18.75" customHeight="1"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3:22" ht="18.75" customHeight="1"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3:22" ht="18.75" customHeight="1"/>
    <row r="91" spans="13:22" ht="18.75" customHeight="1"/>
    <row r="92" spans="13:22" ht="18.75" customHeight="1"/>
    <row r="93" spans="13:22" ht="18.75" customHeight="1"/>
    <row r="94" spans="13:22" ht="18.75" customHeight="1"/>
    <row r="95" spans="13:22" ht="18.75" customHeight="1"/>
    <row r="96" spans="13:22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Z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223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26</v>
      </c>
      <c r="D4" s="3" t="s">
        <v>224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295</v>
      </c>
      <c r="M4" s="3" t="s">
        <v>243</v>
      </c>
      <c r="N4" s="3"/>
      <c r="O4" s="3"/>
      <c r="P4" s="3"/>
      <c r="Q4" s="3"/>
      <c r="R4" s="3"/>
      <c r="S4" s="3" t="s">
        <v>246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 t="s">
        <v>244</v>
      </c>
      <c r="T6" s="3" t="s">
        <v>245</v>
      </c>
      <c r="U6" s="3" t="s">
        <v>285</v>
      </c>
      <c r="V6" s="3" t="s">
        <v>244</v>
      </c>
      <c r="W6" s="3" t="s">
        <v>245</v>
      </c>
      <c r="X6" s="3" t="s">
        <v>285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7" t="s">
        <v>10</v>
      </c>
      <c r="B8" s="5" t="s">
        <v>11</v>
      </c>
      <c r="C8" s="5" t="s">
        <v>27</v>
      </c>
      <c r="D8" s="5" t="s">
        <v>225</v>
      </c>
      <c r="E8" s="5" t="s">
        <v>229</v>
      </c>
      <c r="F8" s="6" t="s">
        <v>169</v>
      </c>
      <c r="G8" s="6" t="s">
        <v>31</v>
      </c>
      <c r="H8" s="6" t="s">
        <v>33</v>
      </c>
      <c r="I8" s="6" t="s">
        <v>169</v>
      </c>
      <c r="J8" s="6" t="s">
        <v>31</v>
      </c>
      <c r="K8" s="6" t="s">
        <v>33</v>
      </c>
      <c r="L8" s="6" t="s">
        <v>296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6" t="s">
        <v>247</v>
      </c>
      <c r="T8" s="6" t="s">
        <v>248</v>
      </c>
      <c r="U8" s="6" t="s">
        <v>286</v>
      </c>
      <c r="V8" s="6" t="s">
        <v>247</v>
      </c>
      <c r="W8" s="6" t="s">
        <v>248</v>
      </c>
      <c r="X8" s="6" t="s">
        <v>286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287</v>
      </c>
      <c r="N9" s="19"/>
      <c r="O9" s="19"/>
      <c r="P9" s="19" t="s">
        <v>287</v>
      </c>
      <c r="Q9" s="19"/>
      <c r="R9" s="19"/>
      <c r="S9" s="19" t="s">
        <v>287</v>
      </c>
      <c r="T9" s="18"/>
      <c r="U9" s="19"/>
      <c r="V9" s="19" t="s">
        <v>287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1001001</v>
      </c>
      <c r="C10" s="7">
        <v>1</v>
      </c>
      <c r="D10" s="5">
        <v>3001001</v>
      </c>
      <c r="E10" s="5" t="s">
        <v>230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8"/>
      <c r="B11" s="7">
        <v>1001002</v>
      </c>
      <c r="C11" s="7">
        <v>1</v>
      </c>
      <c r="D11" s="7">
        <v>3001002</v>
      </c>
      <c r="E11" s="7" t="s">
        <v>231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230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298</v>
      </c>
      <c r="P12" s="7">
        <v>4</v>
      </c>
      <c r="Q12" s="7"/>
      <c r="R12" s="26" t="s">
        <v>297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231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298</v>
      </c>
      <c r="P13" s="7">
        <v>4</v>
      </c>
      <c r="Q13" s="7"/>
      <c r="R13" s="26" t="s">
        <v>297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252</v>
      </c>
      <c r="D12" s="7" t="s">
        <v>254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253</v>
      </c>
      <c r="D13" s="7" t="s">
        <v>255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1841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1842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1843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1844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1845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1846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1847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1848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1849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1850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1852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1853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1854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1855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1856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1857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1858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1859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1860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1861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159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157</v>
      </c>
      <c r="E8" s="6" t="s">
        <v>156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162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7" t="s">
        <v>0</v>
      </c>
      <c r="B2" s="7" t="s">
        <v>163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7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6" t="s">
        <v>201</v>
      </c>
      <c r="H8" s="6" t="s">
        <v>164</v>
      </c>
      <c r="I8" s="5" t="s">
        <v>33</v>
      </c>
      <c r="J8" s="6" t="s">
        <v>201</v>
      </c>
      <c r="K8" s="6" t="s">
        <v>164</v>
      </c>
      <c r="L8" s="5" t="s">
        <v>33</v>
      </c>
      <c r="M8" s="6" t="s">
        <v>201</v>
      </c>
      <c r="N8" s="6" t="s">
        <v>164</v>
      </c>
      <c r="O8" s="5" t="s">
        <v>33</v>
      </c>
      <c r="P8" s="6" t="s">
        <v>201</v>
      </c>
      <c r="Q8" s="6" t="s">
        <v>164</v>
      </c>
      <c r="R8" s="5" t="s">
        <v>33</v>
      </c>
      <c r="S8" s="6" t="s">
        <v>866</v>
      </c>
      <c r="T8" s="6" t="s">
        <v>164</v>
      </c>
      <c r="U8" s="5" t="s">
        <v>33</v>
      </c>
      <c r="V8" s="6" t="s">
        <v>866</v>
      </c>
      <c r="W8" s="6" t="s">
        <v>164</v>
      </c>
      <c r="X8" s="5" t="s">
        <v>33</v>
      </c>
      <c r="Y8" s="6" t="s">
        <v>866</v>
      </c>
      <c r="Z8" s="6" t="s">
        <v>164</v>
      </c>
      <c r="AA8" s="5" t="s">
        <v>33</v>
      </c>
      <c r="AB8" s="6" t="s">
        <v>866</v>
      </c>
      <c r="AC8" s="6" t="s">
        <v>164</v>
      </c>
      <c r="AD8" s="5" t="s">
        <v>33</v>
      </c>
      <c r="AE8" s="6" t="s">
        <v>866</v>
      </c>
      <c r="AF8" s="6" t="s">
        <v>164</v>
      </c>
      <c r="AG8" s="5" t="s">
        <v>33</v>
      </c>
      <c r="AH8" s="6" t="s">
        <v>866</v>
      </c>
      <c r="AI8" s="6" t="s">
        <v>164</v>
      </c>
      <c r="AJ8" s="5" t="s">
        <v>33</v>
      </c>
      <c r="AK8" s="6" t="s">
        <v>867</v>
      </c>
      <c r="AL8" s="6" t="s">
        <v>164</v>
      </c>
      <c r="AM8" s="5" t="s">
        <v>33</v>
      </c>
      <c r="AN8" s="6" t="s">
        <v>867</v>
      </c>
      <c r="AO8" s="6" t="s">
        <v>164</v>
      </c>
      <c r="AP8" s="5" t="s">
        <v>33</v>
      </c>
      <c r="AQ8" s="6" t="s">
        <v>867</v>
      </c>
      <c r="AR8" s="6" t="s">
        <v>164</v>
      </c>
      <c r="AS8" s="5" t="s">
        <v>33</v>
      </c>
      <c r="AT8" s="6" t="s">
        <v>867</v>
      </c>
      <c r="AU8" s="6" t="s">
        <v>164</v>
      </c>
      <c r="AV8" s="5" t="s">
        <v>33</v>
      </c>
      <c r="AW8" s="6" t="s">
        <v>867</v>
      </c>
      <c r="AX8" s="6" t="s">
        <v>164</v>
      </c>
      <c r="AY8" s="5" t="s">
        <v>33</v>
      </c>
      <c r="AZ8" s="6" t="s">
        <v>867</v>
      </c>
      <c r="BA8" s="6" t="s">
        <v>164</v>
      </c>
      <c r="BB8" s="5" t="s">
        <v>33</v>
      </c>
      <c r="BC8" s="6" t="s">
        <v>868</v>
      </c>
      <c r="BD8" s="6" t="s">
        <v>164</v>
      </c>
      <c r="BE8" s="5" t="s">
        <v>33</v>
      </c>
      <c r="BF8" s="6" t="s">
        <v>868</v>
      </c>
      <c r="BG8" s="6" t="s">
        <v>164</v>
      </c>
      <c r="BH8" s="5" t="s">
        <v>33</v>
      </c>
      <c r="BI8" s="6" t="s">
        <v>868</v>
      </c>
      <c r="BJ8" s="6" t="s">
        <v>164</v>
      </c>
      <c r="BK8" s="5" t="s">
        <v>33</v>
      </c>
      <c r="BL8" s="6" t="s">
        <v>868</v>
      </c>
      <c r="BM8" s="6" t="s">
        <v>164</v>
      </c>
      <c r="BN8" s="5" t="s">
        <v>33</v>
      </c>
      <c r="BO8" s="6" t="s">
        <v>868</v>
      </c>
      <c r="BP8" s="6" t="s">
        <v>164</v>
      </c>
      <c r="BQ8" s="5" t="s">
        <v>33</v>
      </c>
      <c r="BR8" s="6" t="s">
        <v>868</v>
      </c>
      <c r="BS8" s="6" t="s">
        <v>164</v>
      </c>
      <c r="BT8" s="5" t="s">
        <v>33</v>
      </c>
      <c r="BU8" s="6" t="s">
        <v>869</v>
      </c>
      <c r="BV8" s="6" t="s">
        <v>164</v>
      </c>
      <c r="BW8" s="5" t="s">
        <v>33</v>
      </c>
      <c r="BX8" s="6" t="s">
        <v>869</v>
      </c>
      <c r="BY8" s="6" t="s">
        <v>164</v>
      </c>
      <c r="BZ8" s="5" t="s">
        <v>33</v>
      </c>
      <c r="CA8" s="6" t="s">
        <v>869</v>
      </c>
      <c r="CB8" s="6" t="s">
        <v>164</v>
      </c>
      <c r="CC8" s="5" t="s">
        <v>33</v>
      </c>
      <c r="CD8" s="6" t="s">
        <v>869</v>
      </c>
      <c r="CE8" s="6" t="s">
        <v>164</v>
      </c>
      <c r="CF8" s="5" t="s">
        <v>33</v>
      </c>
      <c r="CG8" s="6" t="s">
        <v>869</v>
      </c>
      <c r="CH8" s="6" t="s">
        <v>164</v>
      </c>
      <c r="CI8" s="5" t="s">
        <v>33</v>
      </c>
      <c r="CJ8" s="6" t="s">
        <v>869</v>
      </c>
      <c r="CK8" s="6" t="s">
        <v>164</v>
      </c>
      <c r="CL8" s="5" t="s">
        <v>33</v>
      </c>
      <c r="CM8" s="6" t="s">
        <v>870</v>
      </c>
      <c r="CN8" s="6" t="s">
        <v>164</v>
      </c>
      <c r="CO8" s="5" t="s">
        <v>33</v>
      </c>
      <c r="CP8" s="6" t="s">
        <v>870</v>
      </c>
      <c r="CQ8" s="6" t="s">
        <v>164</v>
      </c>
      <c r="CR8" s="5" t="s">
        <v>33</v>
      </c>
      <c r="CS8" s="6" t="s">
        <v>870</v>
      </c>
      <c r="CT8" s="6" t="s">
        <v>164</v>
      </c>
      <c r="CU8" s="5" t="s">
        <v>33</v>
      </c>
      <c r="CV8" s="6" t="s">
        <v>870</v>
      </c>
      <c r="CW8" s="6" t="s">
        <v>164</v>
      </c>
      <c r="CX8" s="5" t="s">
        <v>33</v>
      </c>
      <c r="CY8" s="6" t="s">
        <v>870</v>
      </c>
      <c r="CZ8" s="6" t="s">
        <v>164</v>
      </c>
      <c r="DA8" s="5" t="s">
        <v>33</v>
      </c>
      <c r="DB8" s="6" t="s">
        <v>870</v>
      </c>
      <c r="DC8" s="6" t="s">
        <v>164</v>
      </c>
      <c r="DD8" s="5" t="s">
        <v>33</v>
      </c>
      <c r="DE8" s="6" t="s">
        <v>871</v>
      </c>
      <c r="DF8" s="6" t="s">
        <v>164</v>
      </c>
      <c r="DG8" s="5" t="s">
        <v>33</v>
      </c>
      <c r="DH8" s="6" t="s">
        <v>871</v>
      </c>
      <c r="DI8" s="6" t="s">
        <v>164</v>
      </c>
      <c r="DJ8" s="5" t="s">
        <v>33</v>
      </c>
      <c r="DK8" s="6" t="s">
        <v>871</v>
      </c>
      <c r="DL8" s="6" t="s">
        <v>164</v>
      </c>
      <c r="DM8" s="5" t="s">
        <v>33</v>
      </c>
      <c r="DN8" s="6" t="s">
        <v>871</v>
      </c>
      <c r="DO8" s="6" t="s">
        <v>164</v>
      </c>
      <c r="DP8" s="5" t="s">
        <v>33</v>
      </c>
      <c r="DQ8" s="6" t="s">
        <v>871</v>
      </c>
      <c r="DR8" s="6" t="s">
        <v>164</v>
      </c>
      <c r="DS8" s="5" t="s">
        <v>33</v>
      </c>
      <c r="DT8" s="6" t="s">
        <v>871</v>
      </c>
      <c r="DU8" s="6" t="s">
        <v>164</v>
      </c>
      <c r="DV8" s="5" t="s">
        <v>33</v>
      </c>
      <c r="DW8" s="6" t="s">
        <v>872</v>
      </c>
      <c r="DX8" s="6" t="s">
        <v>164</v>
      </c>
      <c r="DY8" s="5" t="s">
        <v>33</v>
      </c>
      <c r="DZ8" s="6" t="s">
        <v>872</v>
      </c>
      <c r="EA8" s="6" t="s">
        <v>164</v>
      </c>
      <c r="EB8" s="5" t="s">
        <v>33</v>
      </c>
      <c r="EC8" s="6" t="s">
        <v>872</v>
      </c>
      <c r="ED8" s="6" t="s">
        <v>164</v>
      </c>
      <c r="EE8" s="5" t="s">
        <v>33</v>
      </c>
      <c r="EF8" s="6" t="s">
        <v>872</v>
      </c>
      <c r="EG8" s="6" t="s">
        <v>164</v>
      </c>
      <c r="EH8" s="5" t="s">
        <v>33</v>
      </c>
      <c r="EI8" s="6" t="s">
        <v>872</v>
      </c>
      <c r="EJ8" s="6" t="s">
        <v>164</v>
      </c>
      <c r="EK8" s="5" t="s">
        <v>33</v>
      </c>
      <c r="EL8" s="6" t="s">
        <v>872</v>
      </c>
      <c r="EM8" s="6" t="s">
        <v>164</v>
      </c>
      <c r="EN8" s="5" t="s">
        <v>33</v>
      </c>
      <c r="EO8" s="6" t="s">
        <v>873</v>
      </c>
      <c r="EP8" s="6" t="s">
        <v>164</v>
      </c>
      <c r="EQ8" s="5" t="s">
        <v>33</v>
      </c>
      <c r="ER8" s="6" t="s">
        <v>873</v>
      </c>
      <c r="ES8" s="6" t="s">
        <v>164</v>
      </c>
      <c r="ET8" s="5" t="s">
        <v>33</v>
      </c>
      <c r="EU8" s="6" t="s">
        <v>873</v>
      </c>
      <c r="EV8" s="6" t="s">
        <v>164</v>
      </c>
      <c r="EW8" s="5" t="s">
        <v>33</v>
      </c>
      <c r="EX8" s="6" t="s">
        <v>873</v>
      </c>
      <c r="EY8" s="6" t="s">
        <v>164</v>
      </c>
      <c r="EZ8" s="5" t="s">
        <v>33</v>
      </c>
      <c r="FA8" s="6" t="s">
        <v>873</v>
      </c>
      <c r="FB8" s="6" t="s">
        <v>164</v>
      </c>
      <c r="FC8" s="5" t="s">
        <v>33</v>
      </c>
      <c r="FD8" s="6" t="s">
        <v>873</v>
      </c>
      <c r="FE8" s="6" t="s">
        <v>164</v>
      </c>
      <c r="FF8" s="5" t="s">
        <v>33</v>
      </c>
      <c r="FG8" s="6" t="s">
        <v>874</v>
      </c>
      <c r="FH8" s="6" t="s">
        <v>164</v>
      </c>
      <c r="FI8" s="5" t="s">
        <v>33</v>
      </c>
      <c r="FJ8" s="6" t="s">
        <v>874</v>
      </c>
      <c r="FK8" s="6" t="s">
        <v>164</v>
      </c>
      <c r="FL8" s="5" t="s">
        <v>33</v>
      </c>
      <c r="FM8" s="6" t="s">
        <v>874</v>
      </c>
      <c r="FN8" s="6" t="s">
        <v>164</v>
      </c>
      <c r="FO8" s="5" t="s">
        <v>33</v>
      </c>
      <c r="FP8" s="6" t="s">
        <v>874</v>
      </c>
      <c r="FQ8" s="6" t="s">
        <v>164</v>
      </c>
      <c r="FR8" s="5" t="s">
        <v>33</v>
      </c>
      <c r="FS8" s="6" t="s">
        <v>874</v>
      </c>
      <c r="FT8" s="6" t="s">
        <v>164</v>
      </c>
      <c r="FU8" s="5" t="s">
        <v>33</v>
      </c>
      <c r="FV8" s="6" t="s">
        <v>874</v>
      </c>
      <c r="FW8" s="6" t="s">
        <v>164</v>
      </c>
      <c r="FX8" s="5" t="s">
        <v>33</v>
      </c>
      <c r="FY8" s="6" t="s">
        <v>875</v>
      </c>
      <c r="FZ8" s="6" t="s">
        <v>164</v>
      </c>
      <c r="GA8" s="5" t="s">
        <v>33</v>
      </c>
      <c r="GB8" s="6" t="s">
        <v>875</v>
      </c>
      <c r="GC8" s="6" t="s">
        <v>164</v>
      </c>
      <c r="GD8" s="5" t="s">
        <v>33</v>
      </c>
      <c r="GE8" s="6" t="s">
        <v>875</v>
      </c>
      <c r="GF8" s="6" t="s">
        <v>164</v>
      </c>
      <c r="GG8" s="5" t="s">
        <v>33</v>
      </c>
      <c r="GH8" s="6" t="s">
        <v>875</v>
      </c>
      <c r="GI8" s="6" t="s">
        <v>164</v>
      </c>
      <c r="GJ8" s="5" t="s">
        <v>33</v>
      </c>
      <c r="GK8" s="6" t="s">
        <v>875</v>
      </c>
      <c r="GL8" s="6" t="s">
        <v>164</v>
      </c>
      <c r="GM8" s="5" t="s">
        <v>33</v>
      </c>
      <c r="GN8" s="6" t="s">
        <v>875</v>
      </c>
      <c r="GO8" s="6" t="s">
        <v>164</v>
      </c>
      <c r="GP8" s="5" t="s">
        <v>33</v>
      </c>
      <c r="GQ8" s="6" t="s">
        <v>876</v>
      </c>
      <c r="GR8" s="6" t="s">
        <v>164</v>
      </c>
      <c r="GS8" s="5" t="s">
        <v>33</v>
      </c>
      <c r="GT8" s="6" t="s">
        <v>876</v>
      </c>
      <c r="GU8" s="6" t="s">
        <v>164</v>
      </c>
      <c r="GV8" s="5" t="s">
        <v>33</v>
      </c>
      <c r="GW8" s="6" t="s">
        <v>876</v>
      </c>
      <c r="GX8" s="6" t="s">
        <v>164</v>
      </c>
      <c r="GY8" s="5" t="s">
        <v>33</v>
      </c>
      <c r="GZ8" s="6" t="s">
        <v>876</v>
      </c>
      <c r="HA8" s="6" t="s">
        <v>164</v>
      </c>
      <c r="HB8" s="5" t="s">
        <v>33</v>
      </c>
      <c r="HC8" s="6" t="s">
        <v>876</v>
      </c>
      <c r="HD8" s="6" t="s">
        <v>164</v>
      </c>
      <c r="HE8" s="5" t="s">
        <v>33</v>
      </c>
      <c r="HF8" s="6" t="s">
        <v>876</v>
      </c>
      <c r="HG8" s="6" t="s">
        <v>164</v>
      </c>
      <c r="HH8" s="5" t="s">
        <v>33</v>
      </c>
      <c r="HI8" s="6" t="s">
        <v>877</v>
      </c>
      <c r="HJ8" s="6" t="s">
        <v>164</v>
      </c>
      <c r="HK8" s="5" t="s">
        <v>33</v>
      </c>
      <c r="HL8" s="6" t="s">
        <v>877</v>
      </c>
      <c r="HM8" s="6" t="s">
        <v>164</v>
      </c>
      <c r="HN8" s="5" t="s">
        <v>33</v>
      </c>
      <c r="HO8" s="6" t="s">
        <v>877</v>
      </c>
      <c r="HP8" s="6" t="s">
        <v>164</v>
      </c>
      <c r="HQ8" s="5" t="s">
        <v>33</v>
      </c>
      <c r="HR8" s="6" t="s">
        <v>877</v>
      </c>
      <c r="HS8" s="6" t="s">
        <v>164</v>
      </c>
      <c r="HT8" s="5" t="s">
        <v>33</v>
      </c>
      <c r="HU8" s="6" t="s">
        <v>877</v>
      </c>
      <c r="HV8" s="6" t="s">
        <v>164</v>
      </c>
      <c r="HW8" s="5" t="s">
        <v>33</v>
      </c>
      <c r="HX8" s="6" t="s">
        <v>877</v>
      </c>
      <c r="HY8" s="6" t="s">
        <v>164</v>
      </c>
      <c r="HZ8" s="5" t="s">
        <v>33</v>
      </c>
      <c r="IA8" s="6" t="s">
        <v>878</v>
      </c>
      <c r="IB8" s="6" t="s">
        <v>164</v>
      </c>
      <c r="IC8" s="5" t="s">
        <v>33</v>
      </c>
      <c r="ID8" s="6" t="s">
        <v>878</v>
      </c>
      <c r="IE8" s="6" t="s">
        <v>164</v>
      </c>
      <c r="IF8" s="5" t="s">
        <v>33</v>
      </c>
    </row>
    <row r="9" spans="1:240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8" t="s">
        <v>153</v>
      </c>
      <c r="B10" s="38">
        <v>1001001</v>
      </c>
      <c r="C10" s="6" t="s">
        <v>217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8"/>
      <c r="B11" s="38">
        <v>1002001</v>
      </c>
      <c r="C11" s="6" t="s">
        <v>218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2">
        <v>1002002</v>
      </c>
      <c r="C12" s="50" t="s">
        <v>219</v>
      </c>
      <c r="D12" s="50">
        <v>1</v>
      </c>
      <c r="E12" s="50">
        <v>2</v>
      </c>
      <c r="F12" s="50">
        <v>100</v>
      </c>
      <c r="G12" s="50">
        <v>2</v>
      </c>
      <c r="H12" s="50">
        <v>1</v>
      </c>
      <c r="I12" s="51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1873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1874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1875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1876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1877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1923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1924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1925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1926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1927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1928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1929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1930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1931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1932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1933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1934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1935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1936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1937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1938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1939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1940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1941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1942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1943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1944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1945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1946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1947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1948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1949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1950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1951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1952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220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221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222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1868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1869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1870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1871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1872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1893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1896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1897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1898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1900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1901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1902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1903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1904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1905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1906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1907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1908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1909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1910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1911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1912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1913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1914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1915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1916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1917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1918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1919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1920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1921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1922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213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214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215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216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249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251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256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250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1832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1833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1834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1835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313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314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315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320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321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322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327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328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329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330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331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7" t="s">
        <v>0</v>
      </c>
      <c r="B2" s="7" t="s">
        <v>166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7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167</v>
      </c>
      <c r="H6" s="3" t="s">
        <v>29</v>
      </c>
      <c r="I6" s="3" t="s">
        <v>30</v>
      </c>
      <c r="J6" s="3" t="s">
        <v>32</v>
      </c>
      <c r="K6" s="3" t="s">
        <v>167</v>
      </c>
      <c r="L6" s="3" t="s">
        <v>29</v>
      </c>
      <c r="M6" s="3" t="s">
        <v>30</v>
      </c>
      <c r="N6" s="3" t="s">
        <v>32</v>
      </c>
      <c r="O6" s="3" t="s">
        <v>167</v>
      </c>
      <c r="P6" s="3" t="s">
        <v>29</v>
      </c>
      <c r="Q6" s="3" t="s">
        <v>30</v>
      </c>
      <c r="R6" s="3" t="s">
        <v>32</v>
      </c>
      <c r="S6" s="3" t="s">
        <v>167</v>
      </c>
      <c r="T6" s="3" t="s">
        <v>29</v>
      </c>
      <c r="U6" s="3" t="s">
        <v>30</v>
      </c>
      <c r="V6" s="3" t="s">
        <v>32</v>
      </c>
      <c r="W6" s="3" t="s">
        <v>167</v>
      </c>
      <c r="X6" s="3" t="s">
        <v>29</v>
      </c>
      <c r="Y6" s="3" t="s">
        <v>30</v>
      </c>
      <c r="Z6" s="3" t="s">
        <v>32</v>
      </c>
      <c r="AA6" s="3" t="s">
        <v>167</v>
      </c>
      <c r="AB6" s="3" t="s">
        <v>29</v>
      </c>
      <c r="AC6" s="3" t="s">
        <v>30</v>
      </c>
      <c r="AD6" s="3" t="s">
        <v>32</v>
      </c>
      <c r="AE6" s="3" t="s">
        <v>167</v>
      </c>
      <c r="AF6" s="3" t="s">
        <v>29</v>
      </c>
      <c r="AG6" s="3" t="s">
        <v>30</v>
      </c>
      <c r="AH6" s="3" t="s">
        <v>32</v>
      </c>
      <c r="AI6" s="3" t="s">
        <v>167</v>
      </c>
      <c r="AJ6" s="3" t="s">
        <v>29</v>
      </c>
      <c r="AK6" s="3" t="s">
        <v>30</v>
      </c>
      <c r="AL6" s="3" t="s">
        <v>32</v>
      </c>
      <c r="AM6" s="3" t="s">
        <v>167</v>
      </c>
      <c r="AN6" s="3" t="s">
        <v>29</v>
      </c>
      <c r="AO6" s="3" t="s">
        <v>30</v>
      </c>
      <c r="AP6" s="3" t="s">
        <v>32</v>
      </c>
      <c r="AQ6" s="3" t="s">
        <v>167</v>
      </c>
      <c r="AR6" s="3" t="s">
        <v>29</v>
      </c>
      <c r="AS6" s="3" t="s">
        <v>30</v>
      </c>
      <c r="AT6" s="3" t="s">
        <v>32</v>
      </c>
      <c r="AU6" s="3" t="s">
        <v>167</v>
      </c>
      <c r="AV6" s="3" t="s">
        <v>29</v>
      </c>
      <c r="AW6" s="3" t="s">
        <v>30</v>
      </c>
      <c r="AX6" s="3" t="s">
        <v>32</v>
      </c>
      <c r="AY6" s="3" t="s">
        <v>167</v>
      </c>
      <c r="AZ6" s="3" t="s">
        <v>29</v>
      </c>
      <c r="BA6" s="3" t="s">
        <v>30</v>
      </c>
      <c r="BB6" s="3" t="s">
        <v>32</v>
      </c>
      <c r="BC6" s="3" t="s">
        <v>167</v>
      </c>
      <c r="BD6" s="3" t="s">
        <v>29</v>
      </c>
      <c r="BE6" s="3" t="s">
        <v>30</v>
      </c>
      <c r="BF6" s="3" t="s">
        <v>32</v>
      </c>
      <c r="BG6" s="3" t="s">
        <v>167</v>
      </c>
      <c r="BH6" s="3" t="s">
        <v>29</v>
      </c>
      <c r="BI6" s="3" t="s">
        <v>30</v>
      </c>
      <c r="BJ6" s="3" t="s">
        <v>32</v>
      </c>
      <c r="BK6" s="3" t="s">
        <v>167</v>
      </c>
      <c r="BL6" s="3" t="s">
        <v>29</v>
      </c>
      <c r="BM6" s="3" t="s">
        <v>30</v>
      </c>
      <c r="BN6" s="3" t="s">
        <v>32</v>
      </c>
      <c r="BO6" s="3" t="s">
        <v>167</v>
      </c>
      <c r="BP6" s="3" t="s">
        <v>29</v>
      </c>
      <c r="BQ6" s="3" t="s">
        <v>30</v>
      </c>
      <c r="BR6" s="3" t="s">
        <v>32</v>
      </c>
      <c r="BS6" s="3" t="s">
        <v>167</v>
      </c>
      <c r="BT6" s="3" t="s">
        <v>29</v>
      </c>
      <c r="BU6" s="3" t="s">
        <v>30</v>
      </c>
      <c r="BV6" s="3" t="s">
        <v>32</v>
      </c>
      <c r="BW6" s="3" t="s">
        <v>167</v>
      </c>
      <c r="BX6" s="3" t="s">
        <v>29</v>
      </c>
      <c r="BY6" s="3" t="s">
        <v>30</v>
      </c>
      <c r="BZ6" s="3" t="s">
        <v>32</v>
      </c>
      <c r="CA6" s="3" t="s">
        <v>167</v>
      </c>
      <c r="CB6" s="3" t="s">
        <v>29</v>
      </c>
      <c r="CC6" s="3" t="s">
        <v>30</v>
      </c>
      <c r="CD6" s="3" t="s">
        <v>32</v>
      </c>
      <c r="CE6" s="3" t="s">
        <v>167</v>
      </c>
      <c r="CF6" s="3" t="s">
        <v>29</v>
      </c>
      <c r="CG6" s="3" t="s">
        <v>30</v>
      </c>
      <c r="CH6" s="3" t="s">
        <v>32</v>
      </c>
      <c r="CI6" s="3" t="s">
        <v>167</v>
      </c>
      <c r="CJ6" s="3" t="s">
        <v>29</v>
      </c>
      <c r="CK6" s="3" t="s">
        <v>30</v>
      </c>
      <c r="CL6" s="3" t="s">
        <v>32</v>
      </c>
      <c r="CM6" s="3" t="s">
        <v>167</v>
      </c>
      <c r="CN6" s="3" t="s">
        <v>29</v>
      </c>
      <c r="CO6" s="3" t="s">
        <v>30</v>
      </c>
      <c r="CP6" s="3" t="s">
        <v>32</v>
      </c>
      <c r="CQ6" s="3" t="s">
        <v>167</v>
      </c>
      <c r="CR6" s="3" t="s">
        <v>29</v>
      </c>
      <c r="CS6" s="3" t="s">
        <v>30</v>
      </c>
      <c r="CT6" s="3" t="s">
        <v>32</v>
      </c>
      <c r="CU6" s="3" t="s">
        <v>167</v>
      </c>
    </row>
    <row r="7" spans="1:115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5" t="s">
        <v>168</v>
      </c>
      <c r="H8" s="6" t="s">
        <v>169</v>
      </c>
      <c r="I8" s="6" t="s">
        <v>164</v>
      </c>
      <c r="J8" s="5" t="s">
        <v>33</v>
      </c>
      <c r="K8" s="5" t="s">
        <v>168</v>
      </c>
      <c r="L8" s="6" t="s">
        <v>169</v>
      </c>
      <c r="M8" s="6" t="s">
        <v>164</v>
      </c>
      <c r="N8" s="5" t="s">
        <v>33</v>
      </c>
      <c r="O8" s="5" t="s">
        <v>168</v>
      </c>
      <c r="P8" s="6" t="s">
        <v>169</v>
      </c>
      <c r="Q8" s="6" t="s">
        <v>164</v>
      </c>
      <c r="R8" s="5" t="s">
        <v>33</v>
      </c>
      <c r="S8" s="5" t="s">
        <v>168</v>
      </c>
      <c r="T8" s="6" t="s">
        <v>169</v>
      </c>
      <c r="U8" s="6" t="s">
        <v>164</v>
      </c>
      <c r="V8" s="5" t="s">
        <v>33</v>
      </c>
      <c r="W8" s="5" t="s">
        <v>168</v>
      </c>
      <c r="X8" s="6" t="s">
        <v>169</v>
      </c>
      <c r="Y8" s="6" t="s">
        <v>164</v>
      </c>
      <c r="Z8" s="5" t="s">
        <v>33</v>
      </c>
      <c r="AA8" s="5" t="s">
        <v>168</v>
      </c>
      <c r="AB8" s="6" t="s">
        <v>169</v>
      </c>
      <c r="AC8" s="6" t="s">
        <v>164</v>
      </c>
      <c r="AD8" s="5" t="s">
        <v>33</v>
      </c>
      <c r="AE8" s="5" t="s">
        <v>168</v>
      </c>
      <c r="AF8" s="6" t="s">
        <v>169</v>
      </c>
      <c r="AG8" s="6" t="s">
        <v>164</v>
      </c>
      <c r="AH8" s="5" t="s">
        <v>33</v>
      </c>
      <c r="AI8" s="5" t="s">
        <v>168</v>
      </c>
      <c r="AJ8" s="6" t="s">
        <v>169</v>
      </c>
      <c r="AK8" s="6" t="s">
        <v>164</v>
      </c>
      <c r="AL8" s="5" t="s">
        <v>33</v>
      </c>
      <c r="AM8" s="5" t="s">
        <v>168</v>
      </c>
      <c r="AN8" s="6" t="s">
        <v>169</v>
      </c>
      <c r="AO8" s="6" t="s">
        <v>164</v>
      </c>
      <c r="AP8" s="5" t="s">
        <v>33</v>
      </c>
      <c r="AQ8" s="5" t="s">
        <v>168</v>
      </c>
      <c r="AR8" s="6" t="s">
        <v>169</v>
      </c>
      <c r="AS8" s="6" t="s">
        <v>164</v>
      </c>
      <c r="AT8" s="5" t="s">
        <v>33</v>
      </c>
      <c r="AU8" s="5" t="s">
        <v>168</v>
      </c>
      <c r="AV8" s="6" t="s">
        <v>169</v>
      </c>
      <c r="AW8" s="6" t="s">
        <v>164</v>
      </c>
      <c r="AX8" s="5" t="s">
        <v>33</v>
      </c>
      <c r="AY8" s="5" t="s">
        <v>168</v>
      </c>
      <c r="AZ8" s="6" t="s">
        <v>169</v>
      </c>
      <c r="BA8" s="6" t="s">
        <v>164</v>
      </c>
      <c r="BB8" s="5" t="s">
        <v>33</v>
      </c>
      <c r="BC8" s="5" t="s">
        <v>168</v>
      </c>
      <c r="BD8" s="6" t="s">
        <v>169</v>
      </c>
      <c r="BE8" s="6" t="s">
        <v>164</v>
      </c>
      <c r="BF8" s="5" t="s">
        <v>33</v>
      </c>
      <c r="BG8" s="5" t="s">
        <v>168</v>
      </c>
      <c r="BH8" s="6" t="s">
        <v>169</v>
      </c>
      <c r="BI8" s="6" t="s">
        <v>164</v>
      </c>
      <c r="BJ8" s="5" t="s">
        <v>33</v>
      </c>
      <c r="BK8" s="5" t="s">
        <v>168</v>
      </c>
      <c r="BL8" s="6" t="s">
        <v>169</v>
      </c>
      <c r="BM8" s="6" t="s">
        <v>164</v>
      </c>
      <c r="BN8" s="5" t="s">
        <v>33</v>
      </c>
      <c r="BO8" s="5" t="s">
        <v>168</v>
      </c>
      <c r="BP8" s="6" t="s">
        <v>169</v>
      </c>
      <c r="BQ8" s="6" t="s">
        <v>164</v>
      </c>
      <c r="BR8" s="5" t="s">
        <v>33</v>
      </c>
      <c r="BS8" s="5" t="s">
        <v>168</v>
      </c>
      <c r="BT8" s="6" t="s">
        <v>169</v>
      </c>
      <c r="BU8" s="6" t="s">
        <v>164</v>
      </c>
      <c r="BV8" s="5" t="s">
        <v>33</v>
      </c>
      <c r="BW8" s="5" t="s">
        <v>168</v>
      </c>
      <c r="BX8" s="6" t="s">
        <v>169</v>
      </c>
      <c r="BY8" s="6" t="s">
        <v>164</v>
      </c>
      <c r="BZ8" s="5" t="s">
        <v>33</v>
      </c>
      <c r="CA8" s="5" t="s">
        <v>168</v>
      </c>
      <c r="CB8" s="6" t="s">
        <v>169</v>
      </c>
      <c r="CC8" s="6" t="s">
        <v>164</v>
      </c>
      <c r="CD8" s="5" t="s">
        <v>33</v>
      </c>
      <c r="CE8" s="5" t="s">
        <v>168</v>
      </c>
      <c r="CF8" s="6" t="s">
        <v>209</v>
      </c>
      <c r="CG8" s="6" t="s">
        <v>164</v>
      </c>
      <c r="CH8" s="5" t="s">
        <v>33</v>
      </c>
      <c r="CI8" s="5" t="s">
        <v>168</v>
      </c>
      <c r="CJ8" s="6" t="s">
        <v>209</v>
      </c>
      <c r="CK8" s="6" t="s">
        <v>164</v>
      </c>
      <c r="CL8" s="5" t="s">
        <v>33</v>
      </c>
      <c r="CM8" s="5" t="s">
        <v>168</v>
      </c>
      <c r="CN8" s="6" t="s">
        <v>169</v>
      </c>
      <c r="CO8" s="6" t="s">
        <v>164</v>
      </c>
      <c r="CP8" s="5" t="s">
        <v>33</v>
      </c>
      <c r="CQ8" s="5" t="s">
        <v>168</v>
      </c>
      <c r="CR8" s="6" t="s">
        <v>169</v>
      </c>
      <c r="CS8" s="6" t="s">
        <v>164</v>
      </c>
      <c r="CT8" s="5" t="s">
        <v>33</v>
      </c>
      <c r="CU8" s="5" t="s">
        <v>168</v>
      </c>
    </row>
    <row r="9" spans="1:115" ht="68.099999999999994" customHeight="1">
      <c r="A9" s="57" t="s">
        <v>12</v>
      </c>
      <c r="B9" s="6" t="s">
        <v>202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8" t="s">
        <v>153</v>
      </c>
      <c r="B10" s="5">
        <v>1001001</v>
      </c>
      <c r="C10" s="6" t="s">
        <v>203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8"/>
      <c r="B11" s="5">
        <v>1002001</v>
      </c>
      <c r="C11" s="6" t="s">
        <v>204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9">
        <v>1002002</v>
      </c>
      <c r="C12" s="50" t="s">
        <v>205</v>
      </c>
      <c r="D12" s="50">
        <v>2</v>
      </c>
      <c r="E12" s="50">
        <v>1</v>
      </c>
      <c r="F12" s="50">
        <v>1</v>
      </c>
      <c r="G12" s="50">
        <v>1</v>
      </c>
      <c r="H12" s="50">
        <v>2</v>
      </c>
      <c r="I12" s="50">
        <v>2</v>
      </c>
      <c r="J12" s="51">
        <v>1</v>
      </c>
      <c r="K12" s="50">
        <v>1</v>
      </c>
      <c r="L12" s="7">
        <v>2</v>
      </c>
      <c r="M12" s="7">
        <v>3</v>
      </c>
      <c r="N12" s="7">
        <v>1</v>
      </c>
      <c r="O12" s="50">
        <v>1</v>
      </c>
      <c r="P12" s="7"/>
      <c r="Q12" s="7"/>
      <c r="R12" s="7"/>
      <c r="S12" s="7"/>
      <c r="T12" s="7"/>
      <c r="U12" s="7"/>
      <c r="V12" s="5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207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206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208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212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210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211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43</v>
      </c>
      <c r="D8" s="6" t="s">
        <v>1864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228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288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1865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1866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1958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1964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1970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1976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1982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workbookViewId="0"/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5" width="15.375" style="45" customWidth="1"/>
    <col min="6" max="6" width="15.5" style="45" customWidth="1"/>
    <col min="7" max="8" width="15.125" style="37" customWidth="1"/>
    <col min="9" max="9" width="18.625" style="45" customWidth="1"/>
    <col min="10" max="13" width="18.625" style="37" customWidth="1"/>
    <col min="14" max="14" width="33.875" style="37" customWidth="1"/>
    <col min="15" max="16" width="18.625" style="37" customWidth="1"/>
    <col min="17" max="17" width="31.75" style="37" customWidth="1"/>
    <col min="18" max="18" width="18.375" style="37" customWidth="1"/>
    <col min="19" max="19" width="18.625" style="37" customWidth="1"/>
    <col min="20" max="20" width="32" style="37" customWidth="1"/>
    <col min="21" max="21" width="18.375" style="37" customWidth="1"/>
    <col min="22" max="22" width="18.625" style="37" customWidth="1"/>
    <col min="23" max="23" width="34.625" style="37" customWidth="1"/>
    <col min="24" max="24" width="18.375" style="37" customWidth="1"/>
    <col min="25" max="25" width="18.625" style="37" customWidth="1"/>
    <col min="26" max="26" width="31.5" style="37" customWidth="1"/>
    <col min="27" max="43" width="12.625" style="37" customWidth="1"/>
    <col min="44" max="16384" width="12.625" style="37"/>
  </cols>
  <sheetData>
    <row r="1" spans="1:43" ht="12" customHeight="1"/>
    <row r="2" spans="1:43" ht="40.5" customHeight="1">
      <c r="A2" s="57" t="s">
        <v>0</v>
      </c>
      <c r="B2" s="15" t="s">
        <v>50</v>
      </c>
      <c r="C2" s="13"/>
    </row>
    <row r="3" spans="1:43" ht="18.75" customHeight="1">
      <c r="A3" s="1"/>
      <c r="B3" s="46" t="s">
        <v>1</v>
      </c>
      <c r="C3" s="1"/>
      <c r="D3" s="1"/>
      <c r="E3" s="39"/>
      <c r="F3" s="39"/>
      <c r="G3" s="2"/>
      <c r="H3" s="2"/>
      <c r="I3" s="3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7" t="s">
        <v>2</v>
      </c>
      <c r="B4" s="40" t="s">
        <v>3</v>
      </c>
      <c r="C4" s="3" t="s">
        <v>51</v>
      </c>
      <c r="D4" s="3" t="s">
        <v>15</v>
      </c>
      <c r="E4" s="40" t="s">
        <v>170</v>
      </c>
      <c r="F4" s="40" t="s">
        <v>171</v>
      </c>
      <c r="G4" s="3" t="s">
        <v>299</v>
      </c>
      <c r="H4" s="3" t="s">
        <v>1367</v>
      </c>
      <c r="I4" s="40" t="s">
        <v>232</v>
      </c>
      <c r="J4" s="3"/>
      <c r="K4" s="3"/>
      <c r="L4" s="3"/>
      <c r="M4" s="3"/>
      <c r="N4" s="3" t="s">
        <v>243</v>
      </c>
      <c r="O4" s="3"/>
      <c r="P4" s="3"/>
      <c r="Q4" s="3"/>
      <c r="R4" s="3"/>
      <c r="S4" s="3"/>
      <c r="T4" s="3" t="s">
        <v>246</v>
      </c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7" t="s">
        <v>4</v>
      </c>
      <c r="B5" s="40"/>
      <c r="C5" s="3"/>
      <c r="D5" s="3"/>
      <c r="E5" s="40"/>
      <c r="F5" s="40"/>
      <c r="G5" s="3"/>
      <c r="H5" s="3"/>
      <c r="I5" s="40">
        <v>1</v>
      </c>
      <c r="J5" s="3">
        <v>2</v>
      </c>
      <c r="K5" s="3">
        <v>3</v>
      </c>
      <c r="L5" s="3">
        <v>4</v>
      </c>
      <c r="M5" s="3">
        <v>5</v>
      </c>
      <c r="N5" s="3">
        <v>1</v>
      </c>
      <c r="O5" s="3"/>
      <c r="P5" s="3"/>
      <c r="Q5" s="3">
        <v>2</v>
      </c>
      <c r="R5" s="3"/>
      <c r="S5" s="3"/>
      <c r="T5" s="3">
        <v>1</v>
      </c>
      <c r="U5" s="3"/>
      <c r="V5" s="3"/>
      <c r="W5" s="3">
        <v>2</v>
      </c>
      <c r="X5" s="3"/>
      <c r="Y5" s="3"/>
      <c r="Z5" s="3">
        <v>3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7" t="s">
        <v>5</v>
      </c>
      <c r="B6" s="40"/>
      <c r="C6" s="3"/>
      <c r="D6" s="3"/>
      <c r="E6" s="40"/>
      <c r="F6" s="40"/>
      <c r="G6" s="3"/>
      <c r="H6" s="3"/>
      <c r="I6" s="40"/>
      <c r="J6" s="3"/>
      <c r="K6" s="3"/>
      <c r="L6" s="3"/>
      <c r="M6" s="3"/>
      <c r="N6" s="3" t="s">
        <v>244</v>
      </c>
      <c r="O6" s="3" t="s">
        <v>245</v>
      </c>
      <c r="P6" s="3" t="s">
        <v>285</v>
      </c>
      <c r="Q6" s="3" t="s">
        <v>244</v>
      </c>
      <c r="R6" s="3" t="s">
        <v>245</v>
      </c>
      <c r="S6" s="3" t="s">
        <v>285</v>
      </c>
      <c r="T6" s="3" t="s">
        <v>244</v>
      </c>
      <c r="U6" s="3" t="s">
        <v>245</v>
      </c>
      <c r="V6" s="3" t="s">
        <v>285</v>
      </c>
      <c r="W6" s="3" t="s">
        <v>244</v>
      </c>
      <c r="X6" s="3" t="s">
        <v>245</v>
      </c>
      <c r="Y6" s="3" t="s">
        <v>285</v>
      </c>
      <c r="Z6" s="3" t="s">
        <v>244</v>
      </c>
      <c r="AA6" s="3" t="s">
        <v>245</v>
      </c>
      <c r="AB6" s="3" t="s">
        <v>285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7" t="s">
        <v>6</v>
      </c>
      <c r="B7" s="41" t="s">
        <v>7</v>
      </c>
      <c r="C7" s="4" t="s">
        <v>20</v>
      </c>
      <c r="D7" s="4" t="s">
        <v>8</v>
      </c>
      <c r="E7" s="41" t="s">
        <v>20</v>
      </c>
      <c r="F7" s="41" t="s">
        <v>20</v>
      </c>
      <c r="G7" s="4" t="s">
        <v>20</v>
      </c>
      <c r="H7" s="4" t="s">
        <v>20</v>
      </c>
      <c r="I7" s="41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7</v>
      </c>
      <c r="O7" s="4" t="s">
        <v>7</v>
      </c>
      <c r="P7" s="4" t="s">
        <v>129</v>
      </c>
      <c r="Q7" s="4" t="s">
        <v>7</v>
      </c>
      <c r="R7" s="4" t="s">
        <v>7</v>
      </c>
      <c r="S7" s="4" t="s">
        <v>129</v>
      </c>
      <c r="T7" s="4" t="s">
        <v>7</v>
      </c>
      <c r="U7" s="4" t="s">
        <v>7</v>
      </c>
      <c r="V7" s="4" t="s">
        <v>129</v>
      </c>
      <c r="W7" s="4" t="s">
        <v>7</v>
      </c>
      <c r="X7" s="4" t="s">
        <v>7</v>
      </c>
      <c r="Y7" s="4" t="s">
        <v>129</v>
      </c>
      <c r="Z7" s="4" t="s">
        <v>7</v>
      </c>
      <c r="AA7" s="4" t="s">
        <v>7</v>
      </c>
      <c r="AB7" s="4" t="s">
        <v>129</v>
      </c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76.5" customHeight="1">
      <c r="A8" s="57" t="s">
        <v>10</v>
      </c>
      <c r="B8" s="38" t="s">
        <v>11</v>
      </c>
      <c r="C8" s="5" t="s">
        <v>52</v>
      </c>
      <c r="D8" s="5" t="s">
        <v>53</v>
      </c>
      <c r="E8" s="42" t="s">
        <v>172</v>
      </c>
      <c r="F8" s="42" t="s">
        <v>173</v>
      </c>
      <c r="G8" s="5" t="s">
        <v>300</v>
      </c>
      <c r="H8" s="5" t="s">
        <v>1368</v>
      </c>
      <c r="I8" s="42" t="s">
        <v>233</v>
      </c>
      <c r="J8" s="6"/>
      <c r="K8" s="6"/>
      <c r="L8" s="6"/>
      <c r="M8" s="6"/>
      <c r="N8" s="6" t="s">
        <v>247</v>
      </c>
      <c r="O8" s="6" t="s">
        <v>248</v>
      </c>
      <c r="P8" s="6" t="s">
        <v>286</v>
      </c>
      <c r="Q8" s="6" t="s">
        <v>247</v>
      </c>
      <c r="R8" s="6" t="s">
        <v>248</v>
      </c>
      <c r="S8" s="6" t="s">
        <v>286</v>
      </c>
      <c r="T8" s="6" t="s">
        <v>247</v>
      </c>
      <c r="U8" s="6" t="s">
        <v>248</v>
      </c>
      <c r="V8" s="6" t="s">
        <v>286</v>
      </c>
      <c r="W8" s="6" t="s">
        <v>247</v>
      </c>
      <c r="X8" s="6" t="s">
        <v>248</v>
      </c>
      <c r="Y8" s="6" t="s">
        <v>286</v>
      </c>
      <c r="Z8" s="6" t="s">
        <v>247</v>
      </c>
      <c r="AA8" s="6" t="s">
        <v>248</v>
      </c>
      <c r="AB8" s="6" t="s">
        <v>286</v>
      </c>
      <c r="AC8" s="5"/>
      <c r="AD8" s="5"/>
      <c r="AE8" s="5"/>
      <c r="AF8" s="5"/>
      <c r="AG8" s="6"/>
      <c r="AH8" s="6"/>
      <c r="AI8" s="5"/>
      <c r="AJ8" s="5"/>
      <c r="AK8" s="5"/>
      <c r="AL8" s="5"/>
      <c r="AM8" s="5"/>
      <c r="AN8" s="5"/>
      <c r="AO8" s="5"/>
      <c r="AP8" s="5"/>
      <c r="AQ8" s="5"/>
    </row>
    <row r="9" spans="1:43" ht="205.5" customHeight="1">
      <c r="A9" s="57" t="s">
        <v>12</v>
      </c>
      <c r="B9" s="47"/>
      <c r="C9" s="18"/>
      <c r="D9" s="19"/>
      <c r="E9" s="43"/>
      <c r="F9" s="43"/>
      <c r="G9" s="19"/>
      <c r="H9" s="19"/>
      <c r="I9" s="43"/>
      <c r="J9" s="19"/>
      <c r="K9" s="18"/>
      <c r="L9" s="18"/>
      <c r="M9" s="20"/>
      <c r="N9" s="19" t="s">
        <v>1887</v>
      </c>
      <c r="O9" s="19"/>
      <c r="P9" s="19"/>
      <c r="Q9" s="19" t="s">
        <v>1887</v>
      </c>
      <c r="R9" s="19"/>
      <c r="S9" s="19"/>
      <c r="T9" s="19" t="s">
        <v>1887</v>
      </c>
      <c r="U9" s="18"/>
      <c r="V9" s="19"/>
      <c r="W9" s="19" t="s">
        <v>1887</v>
      </c>
      <c r="X9" s="19"/>
      <c r="Y9" s="19"/>
      <c r="Z9" s="19" t="s">
        <v>1887</v>
      </c>
      <c r="AA9" s="19"/>
      <c r="AB9" s="19"/>
      <c r="AC9" s="19"/>
      <c r="AD9" s="19"/>
      <c r="AE9" s="18"/>
      <c r="AF9" s="18"/>
      <c r="AG9" s="19"/>
      <c r="AH9" s="19"/>
      <c r="AI9" s="19"/>
      <c r="AJ9" s="6"/>
      <c r="AK9" s="6"/>
      <c r="AL9" s="6"/>
      <c r="AM9" s="6"/>
      <c r="AN9" s="6"/>
      <c r="AO9" s="6"/>
      <c r="AP9" s="6"/>
      <c r="AQ9" s="6"/>
    </row>
    <row r="10" spans="1:43" ht="18.75" customHeight="1">
      <c r="A10" s="58" t="s">
        <v>13</v>
      </c>
      <c r="B10" s="21">
        <v>100010001</v>
      </c>
      <c r="C10" s="14">
        <v>10001</v>
      </c>
      <c r="D10" s="14" t="s">
        <v>54</v>
      </c>
      <c r="E10" s="21">
        <v>2001001</v>
      </c>
      <c r="F10" s="21">
        <v>1001001</v>
      </c>
      <c r="G10" s="14">
        <v>1</v>
      </c>
      <c r="H10" s="14">
        <v>99</v>
      </c>
      <c r="I10" s="21">
        <v>100010001001</v>
      </c>
      <c r="J10" s="14"/>
      <c r="K10" s="14"/>
      <c r="L10" s="22"/>
      <c r="M10" s="22"/>
      <c r="N10" s="14"/>
      <c r="O10" s="22"/>
      <c r="P10" s="23"/>
      <c r="Q10" s="14"/>
      <c r="R10" s="14"/>
      <c r="S10" s="22"/>
      <c r="T10" s="14"/>
      <c r="U10" s="22"/>
      <c r="V10" s="22"/>
      <c r="W10" s="14"/>
      <c r="X10" s="14"/>
      <c r="Y10" s="2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6"/>
      <c r="AK10" s="7"/>
      <c r="AL10" s="7"/>
      <c r="AM10" s="7"/>
      <c r="AN10" s="7"/>
      <c r="AO10" s="7"/>
      <c r="AP10" s="7"/>
      <c r="AQ10" s="7"/>
    </row>
    <row r="11" spans="1:43" ht="18.75" customHeight="1">
      <c r="A11" s="8"/>
      <c r="B11" s="21">
        <v>100020001</v>
      </c>
      <c r="C11" s="14">
        <v>10002</v>
      </c>
      <c r="D11" s="14" t="s">
        <v>55</v>
      </c>
      <c r="E11" s="21">
        <v>2002001</v>
      </c>
      <c r="F11" s="21">
        <v>1002001</v>
      </c>
      <c r="G11" s="14">
        <v>2</v>
      </c>
      <c r="H11" s="14">
        <v>99</v>
      </c>
      <c r="I11" s="21">
        <v>100020001001</v>
      </c>
      <c r="J11" s="14"/>
      <c r="K11" s="14"/>
      <c r="L11" s="14"/>
      <c r="M11" s="14"/>
      <c r="N11" s="14"/>
      <c r="O11" s="14"/>
      <c r="P11" s="24"/>
      <c r="Q11" s="14"/>
      <c r="R11" s="14"/>
      <c r="S11" s="14"/>
      <c r="T11" s="14">
        <v>1</v>
      </c>
      <c r="U11" s="14">
        <v>100010001</v>
      </c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6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21">
        <v>100020002</v>
      </c>
      <c r="C12" s="14">
        <v>10002</v>
      </c>
      <c r="D12" s="14" t="s">
        <v>56</v>
      </c>
      <c r="E12" s="21">
        <v>2002002</v>
      </c>
      <c r="F12" s="21">
        <v>1002002</v>
      </c>
      <c r="G12" s="14">
        <v>3</v>
      </c>
      <c r="H12" s="14">
        <v>99</v>
      </c>
      <c r="I12" s="21">
        <v>100020001001</v>
      </c>
      <c r="J12" s="21">
        <v>100020001001</v>
      </c>
      <c r="K12" s="14"/>
      <c r="L12" s="14"/>
      <c r="M12" s="14"/>
      <c r="N12" s="14"/>
      <c r="O12" s="14"/>
      <c r="P12" s="24"/>
      <c r="Q12" s="14"/>
      <c r="R12" s="14"/>
      <c r="S12" s="14"/>
      <c r="T12" s="14">
        <v>1</v>
      </c>
      <c r="U12" s="14">
        <v>100020001</v>
      </c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6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21">
        <v>100020003</v>
      </c>
      <c r="C13" s="14">
        <v>10002</v>
      </c>
      <c r="D13" s="14" t="s">
        <v>57</v>
      </c>
      <c r="E13" s="21">
        <v>2001001</v>
      </c>
      <c r="F13" s="21">
        <v>1001001</v>
      </c>
      <c r="G13" s="14">
        <v>4</v>
      </c>
      <c r="H13" s="14">
        <v>99</v>
      </c>
      <c r="I13" s="21">
        <v>100020001001</v>
      </c>
      <c r="J13" s="21">
        <v>100020001001</v>
      </c>
      <c r="K13" s="21">
        <v>100020001001</v>
      </c>
      <c r="L13" s="14"/>
      <c r="M13" s="14"/>
      <c r="N13" s="14"/>
      <c r="O13" s="14"/>
      <c r="P13" s="24"/>
      <c r="Q13" s="14"/>
      <c r="R13" s="14"/>
      <c r="S13" s="14"/>
      <c r="T13" s="14">
        <v>1</v>
      </c>
      <c r="U13" s="14">
        <v>100020002</v>
      </c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6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21">
        <v>100020004</v>
      </c>
      <c r="C14" s="14">
        <v>10002</v>
      </c>
      <c r="D14" s="14" t="s">
        <v>58</v>
      </c>
      <c r="E14" s="21">
        <v>2002001</v>
      </c>
      <c r="F14" s="21">
        <v>1002001</v>
      </c>
      <c r="G14" s="14">
        <v>5</v>
      </c>
      <c r="H14" s="14">
        <v>99</v>
      </c>
      <c r="I14" s="21">
        <v>100020001001</v>
      </c>
      <c r="J14" s="21">
        <v>100020001001</v>
      </c>
      <c r="K14" s="21">
        <v>100020001001</v>
      </c>
      <c r="L14" s="21">
        <v>100020001001</v>
      </c>
      <c r="M14" s="14"/>
      <c r="N14" s="14"/>
      <c r="O14" s="14"/>
      <c r="P14" s="24"/>
      <c r="Q14" s="14"/>
      <c r="R14" s="14"/>
      <c r="S14" s="14"/>
      <c r="T14" s="14">
        <v>1</v>
      </c>
      <c r="U14" s="14">
        <v>100020003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6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21">
        <v>100020005</v>
      </c>
      <c r="C15" s="14">
        <v>10002</v>
      </c>
      <c r="D15" s="14" t="s">
        <v>59</v>
      </c>
      <c r="E15" s="21">
        <v>2002002</v>
      </c>
      <c r="F15" s="21">
        <v>1002002</v>
      </c>
      <c r="G15" s="14">
        <v>6</v>
      </c>
      <c r="H15" s="14">
        <v>1</v>
      </c>
      <c r="I15" s="21">
        <v>100020001001</v>
      </c>
      <c r="J15" s="21">
        <v>100020001001</v>
      </c>
      <c r="K15" s="21">
        <v>100020001001</v>
      </c>
      <c r="L15" s="21">
        <v>100020001001</v>
      </c>
      <c r="M15" s="21">
        <v>100020001001</v>
      </c>
      <c r="N15" s="14"/>
      <c r="O15" s="14"/>
      <c r="P15" s="24"/>
      <c r="Q15" s="14"/>
      <c r="R15" s="14"/>
      <c r="S15" s="14"/>
      <c r="T15" s="14">
        <v>1</v>
      </c>
      <c r="U15" s="14">
        <v>100020004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6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21">
        <v>100020006</v>
      </c>
      <c r="C16" s="14">
        <v>10002</v>
      </c>
      <c r="D16" s="14" t="s">
        <v>60</v>
      </c>
      <c r="E16" s="21">
        <v>2001001</v>
      </c>
      <c r="F16" s="21">
        <v>1001001</v>
      </c>
      <c r="G16" s="14">
        <v>7</v>
      </c>
      <c r="H16" s="14">
        <v>99</v>
      </c>
      <c r="I16" s="21">
        <v>100020001001</v>
      </c>
      <c r="J16" s="14"/>
      <c r="K16" s="14"/>
      <c r="L16" s="22"/>
      <c r="M16" s="22"/>
      <c r="N16" s="14"/>
      <c r="O16" s="14"/>
      <c r="P16" s="24"/>
      <c r="Q16" s="14"/>
      <c r="R16" s="14"/>
      <c r="S16" s="14"/>
      <c r="T16" s="14">
        <v>1</v>
      </c>
      <c r="U16" s="14">
        <v>100020005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6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21">
        <v>100020007</v>
      </c>
      <c r="C17" s="14">
        <v>10002</v>
      </c>
      <c r="D17" s="14" t="s">
        <v>61</v>
      </c>
      <c r="E17" s="21">
        <v>2002001</v>
      </c>
      <c r="F17" s="21">
        <v>1002001</v>
      </c>
      <c r="G17" s="14">
        <v>8</v>
      </c>
      <c r="H17" s="14">
        <v>99</v>
      </c>
      <c r="I17" s="21">
        <v>100020001001</v>
      </c>
      <c r="J17" s="14"/>
      <c r="K17" s="14"/>
      <c r="L17" s="14"/>
      <c r="M17" s="14"/>
      <c r="N17" s="14"/>
      <c r="O17" s="14"/>
      <c r="P17" s="24"/>
      <c r="Q17" s="14"/>
      <c r="R17" s="14"/>
      <c r="S17" s="14"/>
      <c r="T17" s="14">
        <v>1</v>
      </c>
      <c r="U17" s="14">
        <v>100020006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6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21">
        <v>100020008</v>
      </c>
      <c r="C18" s="14">
        <v>10002</v>
      </c>
      <c r="D18" s="14" t="s">
        <v>62</v>
      </c>
      <c r="E18" s="21">
        <v>2002002</v>
      </c>
      <c r="F18" s="21">
        <v>1002002</v>
      </c>
      <c r="G18" s="14">
        <v>9</v>
      </c>
      <c r="H18" s="14">
        <v>99</v>
      </c>
      <c r="I18" s="21">
        <v>100020001001</v>
      </c>
      <c r="J18" s="14"/>
      <c r="K18" s="14"/>
      <c r="L18" s="14"/>
      <c r="M18" s="14"/>
      <c r="N18" s="14"/>
      <c r="O18" s="14"/>
      <c r="P18" s="24"/>
      <c r="Q18" s="14"/>
      <c r="R18" s="14"/>
      <c r="S18" s="14"/>
      <c r="T18" s="14">
        <v>1</v>
      </c>
      <c r="U18" s="14">
        <v>100020007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6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21">
        <v>100020009</v>
      </c>
      <c r="C19" s="14">
        <v>10002</v>
      </c>
      <c r="D19" s="14" t="s">
        <v>63</v>
      </c>
      <c r="E19" s="21">
        <v>2001001</v>
      </c>
      <c r="F19" s="21">
        <v>1001001</v>
      </c>
      <c r="G19" s="14">
        <v>10</v>
      </c>
      <c r="H19" s="14">
        <v>99</v>
      </c>
      <c r="I19" s="21">
        <v>100020001001</v>
      </c>
      <c r="J19" s="14"/>
      <c r="K19" s="14"/>
      <c r="L19" s="14"/>
      <c r="M19" s="14"/>
      <c r="N19" s="14"/>
      <c r="O19" s="14"/>
      <c r="P19" s="24"/>
      <c r="Q19" s="14"/>
      <c r="R19" s="14"/>
      <c r="S19" s="14"/>
      <c r="T19" s="14">
        <v>1</v>
      </c>
      <c r="U19" s="14">
        <v>100020008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6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21">
        <v>100020010</v>
      </c>
      <c r="C20" s="14">
        <v>10002</v>
      </c>
      <c r="D20" s="14" t="s">
        <v>64</v>
      </c>
      <c r="E20" s="21">
        <v>2002001</v>
      </c>
      <c r="F20" s="21">
        <v>1002001</v>
      </c>
      <c r="G20" s="14">
        <v>10</v>
      </c>
      <c r="H20" s="14">
        <v>99</v>
      </c>
      <c r="I20" s="21">
        <v>100020001001</v>
      </c>
      <c r="J20" s="14"/>
      <c r="K20" s="14"/>
      <c r="L20" s="14"/>
      <c r="M20" s="14"/>
      <c r="N20" s="14"/>
      <c r="O20" s="14"/>
      <c r="P20" s="24"/>
      <c r="Q20" s="14"/>
      <c r="R20" s="14"/>
      <c r="S20" s="14"/>
      <c r="T20" s="14">
        <v>1</v>
      </c>
      <c r="U20" s="14">
        <v>100020009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6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21">
        <v>100020011</v>
      </c>
      <c r="C21" s="14">
        <v>10002</v>
      </c>
      <c r="D21" s="14" t="s">
        <v>65</v>
      </c>
      <c r="E21" s="21">
        <v>2002002</v>
      </c>
      <c r="F21" s="21">
        <v>1002002</v>
      </c>
      <c r="G21" s="14">
        <v>10</v>
      </c>
      <c r="H21" s="14">
        <v>99</v>
      </c>
      <c r="I21" s="21">
        <v>100020001001</v>
      </c>
      <c r="J21" s="14"/>
      <c r="K21" s="14"/>
      <c r="L21" s="14"/>
      <c r="M21" s="14"/>
      <c r="N21" s="14"/>
      <c r="O21" s="14"/>
      <c r="P21" s="24"/>
      <c r="Q21" s="14"/>
      <c r="R21" s="14"/>
      <c r="S21" s="14"/>
      <c r="T21" s="14">
        <v>1</v>
      </c>
      <c r="U21" s="14">
        <v>100020010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6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21">
        <v>100020012</v>
      </c>
      <c r="C22" s="14">
        <v>10002</v>
      </c>
      <c r="D22" s="14" t="s">
        <v>66</v>
      </c>
      <c r="E22" s="21">
        <v>2001001</v>
      </c>
      <c r="F22" s="21">
        <v>1001001</v>
      </c>
      <c r="G22" s="14">
        <v>10</v>
      </c>
      <c r="H22" s="14">
        <v>99</v>
      </c>
      <c r="I22" s="21">
        <v>100020001001</v>
      </c>
      <c r="J22" s="14"/>
      <c r="K22" s="14"/>
      <c r="L22" s="22"/>
      <c r="M22" s="22"/>
      <c r="N22" s="14"/>
      <c r="O22" s="14"/>
      <c r="P22" s="24"/>
      <c r="Q22" s="14"/>
      <c r="R22" s="14"/>
      <c r="S22" s="14"/>
      <c r="T22" s="14">
        <v>1</v>
      </c>
      <c r="U22" s="14">
        <v>100020011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6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21">
        <v>100020013</v>
      </c>
      <c r="C23" s="14">
        <v>10002</v>
      </c>
      <c r="D23" s="14" t="s">
        <v>67</v>
      </c>
      <c r="E23" s="21">
        <v>2002001</v>
      </c>
      <c r="F23" s="21">
        <v>1002001</v>
      </c>
      <c r="G23" s="14">
        <v>10</v>
      </c>
      <c r="H23" s="14">
        <v>99</v>
      </c>
      <c r="I23" s="21">
        <v>100020001001</v>
      </c>
      <c r="J23" s="14"/>
      <c r="K23" s="14"/>
      <c r="L23" s="14"/>
      <c r="M23" s="14"/>
      <c r="N23" s="14"/>
      <c r="O23" s="14"/>
      <c r="P23" s="24"/>
      <c r="Q23" s="14"/>
      <c r="R23" s="14"/>
      <c r="S23" s="14"/>
      <c r="T23" s="14">
        <v>1</v>
      </c>
      <c r="U23" s="14">
        <v>100020012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6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21">
        <v>100020014</v>
      </c>
      <c r="C24" s="14">
        <v>10002</v>
      </c>
      <c r="D24" s="14" t="s">
        <v>68</v>
      </c>
      <c r="E24" s="21">
        <v>2002002</v>
      </c>
      <c r="F24" s="21">
        <v>1002002</v>
      </c>
      <c r="G24" s="14">
        <v>10</v>
      </c>
      <c r="H24" s="14">
        <v>99</v>
      </c>
      <c r="I24" s="21">
        <v>100020001001</v>
      </c>
      <c r="J24" s="14"/>
      <c r="K24" s="14"/>
      <c r="L24" s="14"/>
      <c r="M24" s="14"/>
      <c r="N24" s="14"/>
      <c r="O24" s="14"/>
      <c r="P24" s="24"/>
      <c r="Q24" s="14"/>
      <c r="R24" s="14"/>
      <c r="S24" s="14"/>
      <c r="T24" s="14">
        <v>1</v>
      </c>
      <c r="U24" s="14">
        <v>100020013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6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21">
        <v>100020015</v>
      </c>
      <c r="C25" s="14">
        <v>10002</v>
      </c>
      <c r="D25" s="14" t="s">
        <v>69</v>
      </c>
      <c r="E25" s="21">
        <v>2001001</v>
      </c>
      <c r="F25" s="21">
        <v>1001001</v>
      </c>
      <c r="G25" s="14">
        <v>10</v>
      </c>
      <c r="H25" s="14">
        <v>99</v>
      </c>
      <c r="I25" s="21">
        <v>100020001001</v>
      </c>
      <c r="J25" s="14"/>
      <c r="K25" s="14"/>
      <c r="L25" s="14"/>
      <c r="M25" s="14"/>
      <c r="N25" s="14"/>
      <c r="O25" s="14"/>
      <c r="P25" s="24"/>
      <c r="Q25" s="14"/>
      <c r="R25" s="14"/>
      <c r="S25" s="14"/>
      <c r="T25" s="14">
        <v>1</v>
      </c>
      <c r="U25" s="14">
        <v>100020014</v>
      </c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6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21">
        <v>100030001</v>
      </c>
      <c r="C26" s="14">
        <v>10003</v>
      </c>
      <c r="D26" s="14" t="s">
        <v>70</v>
      </c>
      <c r="E26" s="21">
        <v>2002001</v>
      </c>
      <c r="F26" s="21">
        <v>1002001</v>
      </c>
      <c r="G26" s="14">
        <v>10</v>
      </c>
      <c r="H26" s="14">
        <v>99</v>
      </c>
      <c r="I26" s="21">
        <v>100020001001</v>
      </c>
      <c r="J26" s="14"/>
      <c r="K26" s="14"/>
      <c r="L26" s="14"/>
      <c r="M26" s="14"/>
      <c r="N26" s="14"/>
      <c r="O26" s="14"/>
      <c r="P26" s="24"/>
      <c r="Q26" s="14"/>
      <c r="R26" s="14"/>
      <c r="S26" s="14"/>
      <c r="T26" s="14">
        <v>1</v>
      </c>
      <c r="U26" s="14">
        <v>100020015</v>
      </c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6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21">
        <v>100030002</v>
      </c>
      <c r="C27" s="14">
        <v>10003</v>
      </c>
      <c r="D27" s="14" t="s">
        <v>71</v>
      </c>
      <c r="E27" s="21">
        <v>2002002</v>
      </c>
      <c r="F27" s="21">
        <v>1002002</v>
      </c>
      <c r="G27" s="14">
        <v>10</v>
      </c>
      <c r="H27" s="14">
        <v>99</v>
      </c>
      <c r="I27" s="21">
        <v>100020001001</v>
      </c>
      <c r="J27" s="14"/>
      <c r="K27" s="14"/>
      <c r="L27" s="14"/>
      <c r="M27" s="14"/>
      <c r="N27" s="14"/>
      <c r="O27" s="14"/>
      <c r="P27" s="24"/>
      <c r="Q27" s="14"/>
      <c r="R27" s="14"/>
      <c r="S27" s="14"/>
      <c r="T27" s="14">
        <v>1</v>
      </c>
      <c r="U27" s="14">
        <v>100030001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6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21">
        <v>100030003</v>
      </c>
      <c r="C28" s="14">
        <v>10003</v>
      </c>
      <c r="D28" s="14" t="s">
        <v>72</v>
      </c>
      <c r="E28" s="21">
        <v>2001001</v>
      </c>
      <c r="F28" s="21">
        <v>1001001</v>
      </c>
      <c r="G28" s="14">
        <v>10</v>
      </c>
      <c r="H28" s="14">
        <v>99</v>
      </c>
      <c r="I28" s="21">
        <v>100020001001</v>
      </c>
      <c r="J28" s="14"/>
      <c r="K28" s="14"/>
      <c r="L28" s="22"/>
      <c r="M28" s="22"/>
      <c r="N28" s="14"/>
      <c r="O28" s="22"/>
      <c r="P28" s="23"/>
      <c r="Q28" s="14"/>
      <c r="R28" s="14"/>
      <c r="S28" s="22"/>
      <c r="T28" s="14">
        <v>1</v>
      </c>
      <c r="U28" s="22">
        <v>100030002</v>
      </c>
      <c r="V28" s="22"/>
      <c r="W28" s="14"/>
      <c r="X28" s="14"/>
      <c r="Y28" s="22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6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21">
        <v>100030004</v>
      </c>
      <c r="C29" s="14">
        <v>10003</v>
      </c>
      <c r="D29" s="14" t="s">
        <v>73</v>
      </c>
      <c r="E29" s="21">
        <v>2002001</v>
      </c>
      <c r="F29" s="21">
        <v>1002001</v>
      </c>
      <c r="G29" s="14">
        <v>10</v>
      </c>
      <c r="H29" s="14">
        <v>99</v>
      </c>
      <c r="I29" s="21">
        <v>100020001001</v>
      </c>
      <c r="J29" s="14"/>
      <c r="K29" s="14"/>
      <c r="L29" s="14"/>
      <c r="M29" s="14"/>
      <c r="N29" s="14"/>
      <c r="O29" s="14"/>
      <c r="P29" s="24"/>
      <c r="Q29" s="14"/>
      <c r="R29" s="14"/>
      <c r="S29" s="14"/>
      <c r="T29" s="14">
        <v>1</v>
      </c>
      <c r="U29" s="14">
        <v>100030003</v>
      </c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6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21">
        <v>100030005</v>
      </c>
      <c r="C30" s="14">
        <v>10003</v>
      </c>
      <c r="D30" s="14" t="s">
        <v>74</v>
      </c>
      <c r="E30" s="21">
        <v>2002002</v>
      </c>
      <c r="F30" s="21">
        <v>1002002</v>
      </c>
      <c r="G30" s="14">
        <v>10</v>
      </c>
      <c r="H30" s="14">
        <v>99</v>
      </c>
      <c r="I30" s="21">
        <v>100020001001</v>
      </c>
      <c r="J30" s="14"/>
      <c r="K30" s="14"/>
      <c r="L30" s="14"/>
      <c r="M30" s="14"/>
      <c r="N30" s="14"/>
      <c r="O30" s="14"/>
      <c r="P30" s="24"/>
      <c r="Q30" s="14"/>
      <c r="R30" s="14"/>
      <c r="S30" s="14"/>
      <c r="T30" s="14">
        <v>1</v>
      </c>
      <c r="U30" s="14">
        <v>100030004</v>
      </c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6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21">
        <v>100030006</v>
      </c>
      <c r="C31" s="14">
        <v>10003</v>
      </c>
      <c r="D31" s="14" t="s">
        <v>75</v>
      </c>
      <c r="E31" s="21">
        <v>2001001</v>
      </c>
      <c r="F31" s="21">
        <v>1001001</v>
      </c>
      <c r="G31" s="14">
        <v>10</v>
      </c>
      <c r="H31" s="14">
        <v>99</v>
      </c>
      <c r="I31" s="21">
        <v>100020001001</v>
      </c>
      <c r="J31" s="14"/>
      <c r="K31" s="14"/>
      <c r="L31" s="14"/>
      <c r="M31" s="14"/>
      <c r="N31" s="14"/>
      <c r="O31" s="22"/>
      <c r="P31" s="23"/>
      <c r="Q31" s="14"/>
      <c r="R31" s="14"/>
      <c r="S31" s="22"/>
      <c r="T31" s="14">
        <v>1</v>
      </c>
      <c r="U31" s="22">
        <v>100030005</v>
      </c>
      <c r="V31" s="22"/>
      <c r="W31" s="14"/>
      <c r="X31" s="14"/>
      <c r="Y31" s="22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6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21">
        <v>100030007</v>
      </c>
      <c r="C32" s="14">
        <v>10003</v>
      </c>
      <c r="D32" s="14" t="s">
        <v>76</v>
      </c>
      <c r="E32" s="21">
        <v>2002001</v>
      </c>
      <c r="F32" s="21">
        <v>1002001</v>
      </c>
      <c r="G32" s="14">
        <v>10</v>
      </c>
      <c r="H32" s="14">
        <v>99</v>
      </c>
      <c r="I32" s="21">
        <v>100020001001</v>
      </c>
      <c r="J32" s="14"/>
      <c r="K32" s="14"/>
      <c r="L32" s="14"/>
      <c r="M32" s="14"/>
      <c r="N32" s="14"/>
      <c r="O32" s="14"/>
      <c r="P32" s="24"/>
      <c r="Q32" s="14"/>
      <c r="R32" s="14"/>
      <c r="S32" s="14"/>
      <c r="T32" s="14">
        <v>1</v>
      </c>
      <c r="U32" s="14">
        <v>100030006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6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21">
        <v>100030008</v>
      </c>
      <c r="C33" s="14">
        <v>10003</v>
      </c>
      <c r="D33" s="14" t="s">
        <v>77</v>
      </c>
      <c r="E33" s="21">
        <v>2002002</v>
      </c>
      <c r="F33" s="21">
        <v>1002002</v>
      </c>
      <c r="G33" s="14">
        <v>10</v>
      </c>
      <c r="H33" s="14">
        <v>99</v>
      </c>
      <c r="I33" s="21">
        <v>100020001001</v>
      </c>
      <c r="J33" s="14"/>
      <c r="K33" s="14"/>
      <c r="L33" s="14"/>
      <c r="M33" s="14"/>
      <c r="N33" s="14"/>
      <c r="O33" s="14"/>
      <c r="P33" s="24"/>
      <c r="Q33" s="14"/>
      <c r="R33" s="14"/>
      <c r="S33" s="14"/>
      <c r="T33" s="14">
        <v>1</v>
      </c>
      <c r="U33" s="14">
        <v>100030007</v>
      </c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6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21">
        <v>100030009</v>
      </c>
      <c r="C34" s="14">
        <v>10003</v>
      </c>
      <c r="D34" s="14" t="s">
        <v>78</v>
      </c>
      <c r="E34" s="21">
        <v>2001001</v>
      </c>
      <c r="F34" s="21">
        <v>1001001</v>
      </c>
      <c r="G34" s="14">
        <v>10</v>
      </c>
      <c r="H34" s="14">
        <v>99</v>
      </c>
      <c r="I34" s="21">
        <v>100020001001</v>
      </c>
      <c r="J34" s="14"/>
      <c r="K34" s="14"/>
      <c r="L34" s="22"/>
      <c r="M34" s="22"/>
      <c r="N34" s="14"/>
      <c r="O34" s="22"/>
      <c r="P34" s="23"/>
      <c r="Q34" s="14"/>
      <c r="R34" s="14"/>
      <c r="S34" s="22"/>
      <c r="T34" s="14">
        <v>1</v>
      </c>
      <c r="U34" s="22">
        <v>100030008</v>
      </c>
      <c r="V34" s="22"/>
      <c r="W34" s="14"/>
      <c r="X34" s="14"/>
      <c r="Y34" s="22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6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21">
        <v>100030010</v>
      </c>
      <c r="C35" s="14">
        <v>10003</v>
      </c>
      <c r="D35" s="14" t="s">
        <v>79</v>
      </c>
      <c r="E35" s="21">
        <v>2002001</v>
      </c>
      <c r="F35" s="21">
        <v>1002001</v>
      </c>
      <c r="G35" s="14">
        <v>10</v>
      </c>
      <c r="H35" s="14">
        <v>99</v>
      </c>
      <c r="I35" s="21">
        <v>100020001001</v>
      </c>
      <c r="J35" s="14"/>
      <c r="K35" s="14"/>
      <c r="L35" s="14"/>
      <c r="M35" s="14"/>
      <c r="N35" s="14"/>
      <c r="O35" s="14"/>
      <c r="P35" s="24"/>
      <c r="Q35" s="14"/>
      <c r="R35" s="14"/>
      <c r="S35" s="14"/>
      <c r="T35" s="14">
        <v>1</v>
      </c>
      <c r="U35" s="14">
        <v>100030009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6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21">
        <v>100030011</v>
      </c>
      <c r="C36" s="14">
        <v>10003</v>
      </c>
      <c r="D36" s="14" t="s">
        <v>80</v>
      </c>
      <c r="E36" s="21">
        <v>2002002</v>
      </c>
      <c r="F36" s="21">
        <v>1002002</v>
      </c>
      <c r="G36" s="14">
        <v>10</v>
      </c>
      <c r="H36" s="14">
        <v>99</v>
      </c>
      <c r="I36" s="21">
        <v>100020001001</v>
      </c>
      <c r="J36" s="14"/>
      <c r="K36" s="14"/>
      <c r="L36" s="14"/>
      <c r="M36" s="14"/>
      <c r="N36" s="14"/>
      <c r="O36" s="14"/>
      <c r="P36" s="24"/>
      <c r="Q36" s="14"/>
      <c r="R36" s="14"/>
      <c r="S36" s="14"/>
      <c r="T36" s="14">
        <v>1</v>
      </c>
      <c r="U36" s="14">
        <v>100030010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6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21">
        <v>100030012</v>
      </c>
      <c r="C37" s="14">
        <v>10003</v>
      </c>
      <c r="D37" s="14" t="s">
        <v>81</v>
      </c>
      <c r="E37" s="21">
        <v>2001001</v>
      </c>
      <c r="F37" s="21">
        <v>1001001</v>
      </c>
      <c r="G37" s="14">
        <v>10</v>
      </c>
      <c r="H37" s="14">
        <v>99</v>
      </c>
      <c r="I37" s="21">
        <v>100020001001</v>
      </c>
      <c r="J37" s="14"/>
      <c r="K37" s="14"/>
      <c r="L37" s="14"/>
      <c r="M37" s="14"/>
      <c r="N37" s="14"/>
      <c r="O37" s="22"/>
      <c r="P37" s="23"/>
      <c r="Q37" s="14"/>
      <c r="R37" s="14"/>
      <c r="S37" s="22"/>
      <c r="T37" s="14">
        <v>1</v>
      </c>
      <c r="U37" s="22">
        <v>100030011</v>
      </c>
      <c r="V37" s="22"/>
      <c r="W37" s="14"/>
      <c r="X37" s="14"/>
      <c r="Y37" s="22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6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21">
        <v>100030013</v>
      </c>
      <c r="C38" s="14">
        <v>10003</v>
      </c>
      <c r="D38" s="14" t="s">
        <v>82</v>
      </c>
      <c r="E38" s="21">
        <v>2002001</v>
      </c>
      <c r="F38" s="21">
        <v>1002001</v>
      </c>
      <c r="G38" s="14">
        <v>10</v>
      </c>
      <c r="H38" s="14">
        <v>99</v>
      </c>
      <c r="I38" s="21">
        <v>100020001001</v>
      </c>
      <c r="J38" s="14"/>
      <c r="K38" s="14"/>
      <c r="L38" s="14"/>
      <c r="M38" s="14"/>
      <c r="N38" s="14"/>
      <c r="O38" s="14"/>
      <c r="P38" s="24"/>
      <c r="Q38" s="14"/>
      <c r="R38" s="14"/>
      <c r="S38" s="14"/>
      <c r="T38" s="14">
        <v>1</v>
      </c>
      <c r="U38" s="14">
        <v>100030012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6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21">
        <v>100030014</v>
      </c>
      <c r="C39" s="14">
        <v>10003</v>
      </c>
      <c r="D39" s="14" t="s">
        <v>83</v>
      </c>
      <c r="E39" s="21">
        <v>2002002</v>
      </c>
      <c r="F39" s="21">
        <v>1002002</v>
      </c>
      <c r="G39" s="14">
        <v>10</v>
      </c>
      <c r="H39" s="14">
        <v>99</v>
      </c>
      <c r="I39" s="21">
        <v>100020001001</v>
      </c>
      <c r="J39" s="14"/>
      <c r="K39" s="14"/>
      <c r="L39" s="14"/>
      <c r="M39" s="14"/>
      <c r="N39" s="14"/>
      <c r="O39" s="14"/>
      <c r="P39" s="24"/>
      <c r="Q39" s="14"/>
      <c r="R39" s="14"/>
      <c r="S39" s="14"/>
      <c r="T39" s="14">
        <v>1</v>
      </c>
      <c r="U39" s="14">
        <v>100030013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6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21">
        <v>100030015</v>
      </c>
      <c r="C40" s="14">
        <v>10003</v>
      </c>
      <c r="D40" s="14" t="s">
        <v>84</v>
      </c>
      <c r="E40" s="21">
        <v>2001001</v>
      </c>
      <c r="F40" s="21">
        <v>1001001</v>
      </c>
      <c r="G40" s="14">
        <v>10</v>
      </c>
      <c r="H40" s="14">
        <v>99</v>
      </c>
      <c r="I40" s="21">
        <v>100020001001</v>
      </c>
      <c r="J40" s="14"/>
      <c r="K40" s="14"/>
      <c r="L40" s="22"/>
      <c r="M40" s="22"/>
      <c r="N40" s="14"/>
      <c r="O40" s="22"/>
      <c r="P40" s="23"/>
      <c r="Q40" s="14"/>
      <c r="R40" s="14"/>
      <c r="S40" s="22"/>
      <c r="T40" s="14">
        <v>1</v>
      </c>
      <c r="U40" s="22">
        <v>100030014</v>
      </c>
      <c r="V40" s="22"/>
      <c r="W40" s="14"/>
      <c r="X40" s="14"/>
      <c r="Y40" s="22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6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21">
        <v>100040001</v>
      </c>
      <c r="C41" s="14">
        <v>10004</v>
      </c>
      <c r="D41" s="14" t="s">
        <v>85</v>
      </c>
      <c r="E41" s="21">
        <v>2002001</v>
      </c>
      <c r="F41" s="21">
        <v>1002001</v>
      </c>
      <c r="G41" s="14">
        <v>10</v>
      </c>
      <c r="H41" s="14">
        <v>99</v>
      </c>
      <c r="I41" s="21">
        <v>100020001001</v>
      </c>
      <c r="J41" s="14"/>
      <c r="K41" s="14"/>
      <c r="L41" s="14"/>
      <c r="M41" s="14"/>
      <c r="N41" s="14"/>
      <c r="O41" s="14"/>
      <c r="P41" s="24"/>
      <c r="Q41" s="14"/>
      <c r="R41" s="14"/>
      <c r="S41" s="14"/>
      <c r="T41" s="14">
        <v>1</v>
      </c>
      <c r="U41" s="14">
        <v>100030015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6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21">
        <v>100040002</v>
      </c>
      <c r="C42" s="14">
        <v>10004</v>
      </c>
      <c r="D42" s="14" t="s">
        <v>86</v>
      </c>
      <c r="E42" s="21">
        <v>2002002</v>
      </c>
      <c r="F42" s="21">
        <v>1002002</v>
      </c>
      <c r="G42" s="14">
        <v>10</v>
      </c>
      <c r="H42" s="14">
        <v>99</v>
      </c>
      <c r="I42" s="21">
        <v>100020001001</v>
      </c>
      <c r="J42" s="14"/>
      <c r="K42" s="14"/>
      <c r="L42" s="14"/>
      <c r="M42" s="14"/>
      <c r="N42" s="14"/>
      <c r="O42" s="14"/>
      <c r="P42" s="24"/>
      <c r="Q42" s="14"/>
      <c r="R42" s="14"/>
      <c r="S42" s="14"/>
      <c r="T42" s="14">
        <v>1</v>
      </c>
      <c r="U42" s="14">
        <v>100040001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6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21">
        <v>100040003</v>
      </c>
      <c r="C43" s="14">
        <v>10004</v>
      </c>
      <c r="D43" s="14" t="s">
        <v>87</v>
      </c>
      <c r="E43" s="21">
        <v>2001001</v>
      </c>
      <c r="F43" s="21">
        <v>1001001</v>
      </c>
      <c r="G43" s="14">
        <v>10</v>
      </c>
      <c r="H43" s="14">
        <v>99</v>
      </c>
      <c r="I43" s="21">
        <v>100020001001</v>
      </c>
      <c r="J43" s="14"/>
      <c r="K43" s="14"/>
      <c r="L43" s="14"/>
      <c r="M43" s="14"/>
      <c r="N43" s="14"/>
      <c r="O43" s="14"/>
      <c r="P43" s="24"/>
      <c r="Q43" s="14"/>
      <c r="R43" s="14"/>
      <c r="S43" s="14"/>
      <c r="T43" s="14">
        <v>1</v>
      </c>
      <c r="U43" s="14">
        <v>100040002</v>
      </c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6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21">
        <v>100040004</v>
      </c>
      <c r="C44" s="14">
        <v>10004</v>
      </c>
      <c r="D44" s="14" t="s">
        <v>88</v>
      </c>
      <c r="E44" s="21">
        <v>2002001</v>
      </c>
      <c r="F44" s="21">
        <v>1002001</v>
      </c>
      <c r="G44" s="14">
        <v>10</v>
      </c>
      <c r="H44" s="14">
        <v>99</v>
      </c>
      <c r="I44" s="21">
        <v>100020001001</v>
      </c>
      <c r="J44" s="14"/>
      <c r="K44" s="14"/>
      <c r="L44" s="14"/>
      <c r="M44" s="14"/>
      <c r="N44" s="14"/>
      <c r="O44" s="14"/>
      <c r="P44" s="24"/>
      <c r="Q44" s="14"/>
      <c r="R44" s="14"/>
      <c r="S44" s="14"/>
      <c r="T44" s="14">
        <v>1</v>
      </c>
      <c r="U44" s="14">
        <v>100040003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6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21">
        <v>100040005</v>
      </c>
      <c r="C45" s="14">
        <v>10004</v>
      </c>
      <c r="D45" s="14" t="s">
        <v>89</v>
      </c>
      <c r="E45" s="21">
        <v>2002002</v>
      </c>
      <c r="F45" s="21">
        <v>1002002</v>
      </c>
      <c r="G45" s="14">
        <v>10</v>
      </c>
      <c r="H45" s="14">
        <v>99</v>
      </c>
      <c r="I45" s="21">
        <v>100020001001</v>
      </c>
      <c r="J45" s="14"/>
      <c r="K45" s="14"/>
      <c r="L45" s="14"/>
      <c r="M45" s="14"/>
      <c r="N45" s="14"/>
      <c r="O45" s="14"/>
      <c r="P45" s="24"/>
      <c r="Q45" s="14"/>
      <c r="R45" s="14"/>
      <c r="S45" s="14"/>
      <c r="T45" s="14">
        <v>1</v>
      </c>
      <c r="U45" s="14">
        <v>100040004</v>
      </c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6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21">
        <v>100040006</v>
      </c>
      <c r="C46" s="14">
        <v>10004</v>
      </c>
      <c r="D46" s="14" t="s">
        <v>90</v>
      </c>
      <c r="E46" s="21">
        <v>2001001</v>
      </c>
      <c r="F46" s="21">
        <v>1001001</v>
      </c>
      <c r="G46" s="14">
        <v>10</v>
      </c>
      <c r="H46" s="14">
        <v>99</v>
      </c>
      <c r="I46" s="21">
        <v>100020001001</v>
      </c>
      <c r="J46" s="14"/>
      <c r="K46" s="14"/>
      <c r="L46" s="22"/>
      <c r="M46" s="22"/>
      <c r="N46" s="14"/>
      <c r="O46" s="14"/>
      <c r="P46" s="24"/>
      <c r="Q46" s="14"/>
      <c r="R46" s="14"/>
      <c r="S46" s="14"/>
      <c r="T46" s="14">
        <v>1</v>
      </c>
      <c r="U46" s="14">
        <v>100040005</v>
      </c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6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21">
        <v>100040007</v>
      </c>
      <c r="C47" s="14">
        <v>10004</v>
      </c>
      <c r="D47" s="14" t="s">
        <v>91</v>
      </c>
      <c r="E47" s="21">
        <v>2002001</v>
      </c>
      <c r="F47" s="21">
        <v>1002001</v>
      </c>
      <c r="G47" s="14">
        <v>10</v>
      </c>
      <c r="H47" s="14">
        <v>99</v>
      </c>
      <c r="I47" s="21">
        <v>100020001001</v>
      </c>
      <c r="J47" s="14"/>
      <c r="K47" s="14"/>
      <c r="L47" s="14"/>
      <c r="M47" s="14"/>
      <c r="N47" s="14"/>
      <c r="O47" s="14"/>
      <c r="P47" s="24"/>
      <c r="Q47" s="14"/>
      <c r="R47" s="14"/>
      <c r="S47" s="14"/>
      <c r="T47" s="14">
        <v>1</v>
      </c>
      <c r="U47" s="14">
        <v>100040006</v>
      </c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6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21">
        <v>100040008</v>
      </c>
      <c r="C48" s="14">
        <v>10004</v>
      </c>
      <c r="D48" s="14" t="s">
        <v>92</v>
      </c>
      <c r="E48" s="21">
        <v>2002002</v>
      </c>
      <c r="F48" s="21">
        <v>1002002</v>
      </c>
      <c r="G48" s="14">
        <v>10</v>
      </c>
      <c r="H48" s="14">
        <v>99</v>
      </c>
      <c r="I48" s="21">
        <v>100020001001</v>
      </c>
      <c r="J48" s="14"/>
      <c r="K48" s="14"/>
      <c r="L48" s="14"/>
      <c r="M48" s="14"/>
      <c r="N48" s="14"/>
      <c r="O48" s="14"/>
      <c r="P48" s="24"/>
      <c r="Q48" s="14"/>
      <c r="R48" s="14"/>
      <c r="S48" s="14"/>
      <c r="T48" s="14">
        <v>1</v>
      </c>
      <c r="U48" s="14">
        <v>100040007</v>
      </c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7"/>
      <c r="AK48" s="11"/>
      <c r="AL48" s="11"/>
      <c r="AM48" s="11"/>
      <c r="AN48" s="11"/>
      <c r="AO48" s="11"/>
      <c r="AP48" s="11"/>
      <c r="AQ48" s="11"/>
    </row>
    <row r="49" spans="2:43" ht="18.75" customHeight="1">
      <c r="B49" s="21">
        <v>100040009</v>
      </c>
      <c r="C49" s="14">
        <v>10004</v>
      </c>
      <c r="D49" s="14" t="s">
        <v>93</v>
      </c>
      <c r="E49" s="21">
        <v>2001001</v>
      </c>
      <c r="F49" s="21">
        <v>1001001</v>
      </c>
      <c r="G49" s="14">
        <v>10</v>
      </c>
      <c r="H49" s="14">
        <v>99</v>
      </c>
      <c r="I49" s="21">
        <v>100020001001</v>
      </c>
      <c r="J49" s="35"/>
      <c r="K49" s="35"/>
      <c r="L49" s="14"/>
      <c r="M49" s="14"/>
      <c r="N49" s="14"/>
      <c r="O49" s="14"/>
      <c r="P49" s="24"/>
      <c r="Q49" s="35"/>
      <c r="R49" s="35"/>
      <c r="S49" s="14"/>
      <c r="T49" s="14">
        <v>1</v>
      </c>
      <c r="U49" s="14">
        <v>100040008</v>
      </c>
      <c r="V49" s="14"/>
      <c r="W49" s="35"/>
      <c r="X49" s="35"/>
      <c r="Y49" s="14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54"/>
      <c r="AK49" s="35"/>
      <c r="AL49" s="35"/>
      <c r="AM49" s="35"/>
      <c r="AN49" s="35"/>
      <c r="AO49" s="35"/>
      <c r="AP49" s="35"/>
      <c r="AQ49" s="35"/>
    </row>
    <row r="50" spans="2:43" ht="18.75" customHeight="1">
      <c r="B50" s="21">
        <v>100040010</v>
      </c>
      <c r="C50" s="14">
        <v>10004</v>
      </c>
      <c r="D50" s="14" t="s">
        <v>94</v>
      </c>
      <c r="E50" s="21">
        <v>2002001</v>
      </c>
      <c r="F50" s="21">
        <v>1002001</v>
      </c>
      <c r="G50" s="14">
        <v>10</v>
      </c>
      <c r="H50" s="14">
        <v>99</v>
      </c>
      <c r="I50" s="21">
        <v>100020001001</v>
      </c>
      <c r="J50" s="35"/>
      <c r="K50" s="35"/>
      <c r="L50" s="14"/>
      <c r="M50" s="14"/>
      <c r="N50" s="14"/>
      <c r="O50" s="14"/>
      <c r="P50" s="24"/>
      <c r="Q50" s="35"/>
      <c r="R50" s="35"/>
      <c r="S50" s="14"/>
      <c r="T50" s="14">
        <v>1</v>
      </c>
      <c r="U50" s="14">
        <v>100040009</v>
      </c>
      <c r="V50" s="14"/>
      <c r="W50" s="35"/>
      <c r="X50" s="35"/>
      <c r="Y50" s="14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54"/>
      <c r="AK50" s="35"/>
      <c r="AL50" s="35"/>
      <c r="AM50" s="35"/>
      <c r="AN50" s="35"/>
      <c r="AO50" s="35"/>
      <c r="AP50" s="35"/>
      <c r="AQ50" s="35"/>
    </row>
    <row r="51" spans="2:43" ht="18.75" customHeight="1">
      <c r="B51" s="21">
        <v>100040011</v>
      </c>
      <c r="C51" s="14">
        <v>10004</v>
      </c>
      <c r="D51" s="14" t="s">
        <v>95</v>
      </c>
      <c r="E51" s="21">
        <v>2002002</v>
      </c>
      <c r="F51" s="21">
        <v>1002002</v>
      </c>
      <c r="G51" s="14">
        <v>10</v>
      </c>
      <c r="H51" s="14">
        <v>99</v>
      </c>
      <c r="I51" s="21">
        <v>100020001001</v>
      </c>
      <c r="J51" s="35"/>
      <c r="K51" s="35"/>
      <c r="L51" s="14"/>
      <c r="M51" s="14"/>
      <c r="N51" s="14"/>
      <c r="O51" s="14"/>
      <c r="P51" s="24"/>
      <c r="Q51" s="35"/>
      <c r="R51" s="35"/>
      <c r="S51" s="14"/>
      <c r="T51" s="14">
        <v>1</v>
      </c>
      <c r="U51" s="14">
        <v>100040010</v>
      </c>
      <c r="V51" s="14"/>
      <c r="W51" s="35"/>
      <c r="X51" s="35"/>
      <c r="Y51" s="14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54"/>
      <c r="AK51" s="35"/>
      <c r="AL51" s="35"/>
      <c r="AM51" s="35"/>
      <c r="AN51" s="35"/>
      <c r="AO51" s="35"/>
      <c r="AP51" s="35"/>
      <c r="AQ51" s="35"/>
    </row>
    <row r="52" spans="2:43" ht="18.75" customHeight="1">
      <c r="B52" s="21">
        <v>100040012</v>
      </c>
      <c r="C52" s="14">
        <v>10004</v>
      </c>
      <c r="D52" s="14" t="s">
        <v>96</v>
      </c>
      <c r="E52" s="21">
        <v>2001001</v>
      </c>
      <c r="F52" s="21">
        <v>1001001</v>
      </c>
      <c r="G52" s="14">
        <v>10</v>
      </c>
      <c r="H52" s="14">
        <v>99</v>
      </c>
      <c r="I52" s="21">
        <v>100020001001</v>
      </c>
      <c r="J52" s="35"/>
      <c r="K52" s="35"/>
      <c r="L52" s="22"/>
      <c r="M52" s="22"/>
      <c r="N52" s="14"/>
      <c r="O52" s="14"/>
      <c r="P52" s="24"/>
      <c r="Q52" s="35"/>
      <c r="R52" s="35"/>
      <c r="S52" s="14"/>
      <c r="T52" s="14">
        <v>1</v>
      </c>
      <c r="U52" s="14">
        <v>100040011</v>
      </c>
      <c r="V52" s="14"/>
      <c r="W52" s="35"/>
      <c r="X52" s="35"/>
      <c r="Y52" s="14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54"/>
      <c r="AK52" s="35"/>
      <c r="AL52" s="35"/>
      <c r="AM52" s="35"/>
      <c r="AN52" s="35"/>
      <c r="AO52" s="35"/>
      <c r="AP52" s="35"/>
      <c r="AQ52" s="35"/>
    </row>
    <row r="53" spans="2:43" ht="18.75" customHeight="1">
      <c r="B53" s="21">
        <v>100040013</v>
      </c>
      <c r="C53" s="14">
        <v>10004</v>
      </c>
      <c r="D53" s="14" t="s">
        <v>97</v>
      </c>
      <c r="E53" s="21">
        <v>2002001</v>
      </c>
      <c r="F53" s="21">
        <v>1002001</v>
      </c>
      <c r="G53" s="14">
        <v>10</v>
      </c>
      <c r="H53" s="14">
        <v>99</v>
      </c>
      <c r="I53" s="21">
        <v>100020001001</v>
      </c>
      <c r="J53" s="35"/>
      <c r="K53" s="35"/>
      <c r="L53" s="14"/>
      <c r="M53" s="14"/>
      <c r="N53" s="14"/>
      <c r="O53" s="14"/>
      <c r="P53" s="24"/>
      <c r="Q53" s="35"/>
      <c r="R53" s="35"/>
      <c r="S53" s="14"/>
      <c r="T53" s="14">
        <v>1</v>
      </c>
      <c r="U53" s="14">
        <v>100040012</v>
      </c>
      <c r="V53" s="14"/>
      <c r="W53" s="35"/>
      <c r="X53" s="35"/>
      <c r="Y53" s="14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54"/>
      <c r="AK53" s="35"/>
      <c r="AL53" s="35"/>
      <c r="AM53" s="35"/>
      <c r="AN53" s="35"/>
      <c r="AO53" s="35"/>
      <c r="AP53" s="35"/>
      <c r="AQ53" s="35"/>
    </row>
    <row r="54" spans="2:43" ht="18.75" customHeight="1">
      <c r="B54" s="21">
        <v>100040014</v>
      </c>
      <c r="C54" s="14">
        <v>10004</v>
      </c>
      <c r="D54" s="14" t="s">
        <v>98</v>
      </c>
      <c r="E54" s="21">
        <v>2002002</v>
      </c>
      <c r="F54" s="21">
        <v>1002002</v>
      </c>
      <c r="G54" s="14">
        <v>10</v>
      </c>
      <c r="H54" s="14">
        <v>99</v>
      </c>
      <c r="I54" s="21">
        <v>100020001001</v>
      </c>
      <c r="J54" s="35"/>
      <c r="K54" s="35"/>
      <c r="L54" s="14"/>
      <c r="M54" s="14"/>
      <c r="N54" s="14"/>
      <c r="O54" s="14"/>
      <c r="P54" s="24"/>
      <c r="Q54" s="35"/>
      <c r="R54" s="35"/>
      <c r="S54" s="14"/>
      <c r="T54" s="14">
        <v>1</v>
      </c>
      <c r="U54" s="14">
        <v>100040013</v>
      </c>
      <c r="V54" s="14"/>
      <c r="W54" s="35"/>
      <c r="X54" s="35"/>
      <c r="Y54" s="1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54"/>
      <c r="AK54" s="35"/>
      <c r="AL54" s="35"/>
      <c r="AM54" s="35"/>
      <c r="AN54" s="35"/>
      <c r="AO54" s="35"/>
      <c r="AP54" s="35"/>
      <c r="AQ54" s="35"/>
    </row>
    <row r="55" spans="2:43" ht="18.75" customHeight="1">
      <c r="B55" s="21">
        <v>100040015</v>
      </c>
      <c r="C55" s="14">
        <v>10004</v>
      </c>
      <c r="D55" s="14" t="s">
        <v>99</v>
      </c>
      <c r="E55" s="21">
        <v>2001001</v>
      </c>
      <c r="F55" s="21">
        <v>1001001</v>
      </c>
      <c r="G55" s="14">
        <v>10</v>
      </c>
      <c r="H55" s="14">
        <v>99</v>
      </c>
      <c r="I55" s="21">
        <v>100020001001</v>
      </c>
      <c r="J55" s="35"/>
      <c r="K55" s="35"/>
      <c r="L55" s="14"/>
      <c r="M55" s="14"/>
      <c r="N55" s="14"/>
      <c r="O55" s="14"/>
      <c r="P55" s="24"/>
      <c r="Q55" s="35"/>
      <c r="R55" s="35"/>
      <c r="S55" s="14"/>
      <c r="T55" s="14">
        <v>1</v>
      </c>
      <c r="U55" s="14">
        <v>100040014</v>
      </c>
      <c r="V55" s="14"/>
      <c r="W55" s="35"/>
      <c r="X55" s="35"/>
      <c r="Y55" s="14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54"/>
      <c r="AK55" s="35"/>
      <c r="AL55" s="35"/>
      <c r="AM55" s="35"/>
      <c r="AN55" s="35"/>
      <c r="AO55" s="35"/>
      <c r="AP55" s="35"/>
      <c r="AQ55" s="35"/>
    </row>
    <row r="56" spans="2:43" ht="18.75" customHeight="1">
      <c r="B56" s="21">
        <v>100050001</v>
      </c>
      <c r="C56" s="14">
        <v>10005</v>
      </c>
      <c r="D56" s="14" t="s">
        <v>100</v>
      </c>
      <c r="E56" s="21">
        <v>2002001</v>
      </c>
      <c r="F56" s="21">
        <v>1002001</v>
      </c>
      <c r="G56" s="14">
        <v>10</v>
      </c>
      <c r="H56" s="14">
        <v>99</v>
      </c>
      <c r="I56" s="21">
        <v>100020001001</v>
      </c>
      <c r="J56" s="35"/>
      <c r="K56" s="35"/>
      <c r="L56" s="14"/>
      <c r="M56" s="14"/>
      <c r="N56" s="14"/>
      <c r="O56" s="14"/>
      <c r="P56" s="24"/>
      <c r="Q56" s="35"/>
      <c r="R56" s="35"/>
      <c r="S56" s="14"/>
      <c r="T56" s="14">
        <v>1</v>
      </c>
      <c r="U56" s="14">
        <v>100040015</v>
      </c>
      <c r="V56" s="14"/>
      <c r="W56" s="35"/>
      <c r="X56" s="35"/>
      <c r="Y56" s="14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54"/>
      <c r="AK56" s="35"/>
      <c r="AL56" s="35"/>
      <c r="AM56" s="35"/>
      <c r="AN56" s="35"/>
      <c r="AO56" s="35"/>
      <c r="AP56" s="35"/>
      <c r="AQ56" s="35"/>
    </row>
    <row r="57" spans="2:43" ht="18.75" customHeight="1">
      <c r="B57" s="21">
        <v>100050002</v>
      </c>
      <c r="C57" s="14">
        <v>10005</v>
      </c>
      <c r="D57" s="14" t="s">
        <v>101</v>
      </c>
      <c r="E57" s="21">
        <v>2002002</v>
      </c>
      <c r="F57" s="21">
        <v>1002002</v>
      </c>
      <c r="G57" s="14">
        <v>10</v>
      </c>
      <c r="H57" s="14">
        <v>99</v>
      </c>
      <c r="I57" s="21">
        <v>100020001001</v>
      </c>
      <c r="J57" s="35"/>
      <c r="K57" s="35"/>
      <c r="L57" s="14"/>
      <c r="M57" s="14"/>
      <c r="N57" s="14"/>
      <c r="O57" s="14"/>
      <c r="P57" s="24"/>
      <c r="Q57" s="35"/>
      <c r="R57" s="35"/>
      <c r="S57" s="14"/>
      <c r="T57" s="14">
        <v>1</v>
      </c>
      <c r="U57" s="14">
        <v>100050001</v>
      </c>
      <c r="V57" s="14"/>
      <c r="W57" s="35"/>
      <c r="X57" s="35"/>
      <c r="Y57" s="14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54"/>
      <c r="AK57" s="35"/>
      <c r="AL57" s="35"/>
      <c r="AM57" s="35"/>
      <c r="AN57" s="35"/>
      <c r="AO57" s="35"/>
      <c r="AP57" s="35"/>
      <c r="AQ57" s="35"/>
    </row>
    <row r="58" spans="2:43" ht="18.75" customHeight="1">
      <c r="B58" s="21">
        <v>100050003</v>
      </c>
      <c r="C58" s="14">
        <v>10005</v>
      </c>
      <c r="D58" s="14" t="s">
        <v>102</v>
      </c>
      <c r="E58" s="21">
        <v>2001001</v>
      </c>
      <c r="F58" s="21">
        <v>1001001</v>
      </c>
      <c r="G58" s="14">
        <v>10</v>
      </c>
      <c r="H58" s="14">
        <v>99</v>
      </c>
      <c r="I58" s="21">
        <v>100020001001</v>
      </c>
      <c r="J58" s="35"/>
      <c r="K58" s="35"/>
      <c r="L58" s="22"/>
      <c r="M58" s="22"/>
      <c r="N58" s="14"/>
      <c r="O58" s="22"/>
      <c r="P58" s="23"/>
      <c r="Q58" s="35"/>
      <c r="R58" s="35"/>
      <c r="S58" s="22"/>
      <c r="T58" s="14">
        <v>1</v>
      </c>
      <c r="U58" s="22">
        <v>100050002</v>
      </c>
      <c r="V58" s="22"/>
      <c r="W58" s="35"/>
      <c r="X58" s="35"/>
      <c r="Y58" s="22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54"/>
      <c r="AK58" s="35"/>
      <c r="AL58" s="35"/>
      <c r="AM58" s="35"/>
      <c r="AN58" s="35"/>
      <c r="AO58" s="35"/>
      <c r="AP58" s="35"/>
      <c r="AQ58" s="35"/>
    </row>
    <row r="59" spans="2:43" ht="18.75" customHeight="1">
      <c r="B59" s="21">
        <v>100050004</v>
      </c>
      <c r="C59" s="14">
        <v>10005</v>
      </c>
      <c r="D59" s="14" t="s">
        <v>103</v>
      </c>
      <c r="E59" s="21">
        <v>2002001</v>
      </c>
      <c r="F59" s="21">
        <v>1002001</v>
      </c>
      <c r="G59" s="14">
        <v>10</v>
      </c>
      <c r="H59" s="14">
        <v>99</v>
      </c>
      <c r="I59" s="21">
        <v>100020001001</v>
      </c>
      <c r="J59" s="35"/>
      <c r="K59" s="35"/>
      <c r="L59" s="14"/>
      <c r="M59" s="14"/>
      <c r="N59" s="14"/>
      <c r="O59" s="14"/>
      <c r="P59" s="24"/>
      <c r="Q59" s="35"/>
      <c r="R59" s="35"/>
      <c r="S59" s="14"/>
      <c r="T59" s="14">
        <v>1</v>
      </c>
      <c r="U59" s="14">
        <v>100050003</v>
      </c>
      <c r="V59" s="14"/>
      <c r="W59" s="35"/>
      <c r="X59" s="35"/>
      <c r="Y59" s="14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54"/>
      <c r="AK59" s="35"/>
      <c r="AL59" s="35"/>
      <c r="AM59" s="35"/>
      <c r="AN59" s="35"/>
      <c r="AO59" s="35"/>
      <c r="AP59" s="35"/>
      <c r="AQ59" s="35"/>
    </row>
    <row r="60" spans="2:43" ht="18.75" customHeight="1">
      <c r="B60" s="21">
        <v>100050005</v>
      </c>
      <c r="C60" s="14">
        <v>10005</v>
      </c>
      <c r="D60" s="14" t="s">
        <v>104</v>
      </c>
      <c r="E60" s="21">
        <v>2002002</v>
      </c>
      <c r="F60" s="21">
        <v>1002002</v>
      </c>
      <c r="G60" s="14">
        <v>10</v>
      </c>
      <c r="H60" s="14">
        <v>99</v>
      </c>
      <c r="I60" s="21">
        <v>100020001001</v>
      </c>
      <c r="J60" s="35"/>
      <c r="K60" s="35"/>
      <c r="L60" s="14"/>
      <c r="M60" s="14"/>
      <c r="N60" s="14"/>
      <c r="O60" s="14"/>
      <c r="P60" s="24"/>
      <c r="Q60" s="35"/>
      <c r="R60" s="35"/>
      <c r="S60" s="14"/>
      <c r="T60" s="14">
        <v>1</v>
      </c>
      <c r="U60" s="14">
        <v>100050004</v>
      </c>
      <c r="V60" s="14"/>
      <c r="W60" s="35"/>
      <c r="X60" s="35"/>
      <c r="Y60" s="14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54"/>
      <c r="AK60" s="35"/>
      <c r="AL60" s="35"/>
      <c r="AM60" s="35"/>
      <c r="AN60" s="35"/>
      <c r="AO60" s="35"/>
      <c r="AP60" s="35"/>
      <c r="AQ60" s="35"/>
    </row>
    <row r="61" spans="2:43" ht="18.75" customHeight="1">
      <c r="B61" s="21">
        <v>100050006</v>
      </c>
      <c r="C61" s="14">
        <v>10005</v>
      </c>
      <c r="D61" s="14" t="s">
        <v>105</v>
      </c>
      <c r="E61" s="21">
        <v>2001001</v>
      </c>
      <c r="F61" s="21">
        <v>1001001</v>
      </c>
      <c r="G61" s="14">
        <v>10</v>
      </c>
      <c r="H61" s="14">
        <v>99</v>
      </c>
      <c r="I61" s="21">
        <v>100020001001</v>
      </c>
      <c r="J61" s="35"/>
      <c r="K61" s="35"/>
      <c r="L61" s="14"/>
      <c r="M61" s="14"/>
      <c r="N61" s="14"/>
      <c r="O61" s="22"/>
      <c r="P61" s="23"/>
      <c r="Q61" s="35"/>
      <c r="R61" s="35"/>
      <c r="S61" s="22"/>
      <c r="T61" s="14">
        <v>1</v>
      </c>
      <c r="U61" s="22">
        <v>100050005</v>
      </c>
      <c r="V61" s="22"/>
      <c r="W61" s="35"/>
      <c r="X61" s="35"/>
      <c r="Y61" s="22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54"/>
      <c r="AK61" s="35"/>
      <c r="AL61" s="35"/>
      <c r="AM61" s="35"/>
      <c r="AN61" s="35"/>
      <c r="AO61" s="35"/>
      <c r="AP61" s="35"/>
      <c r="AQ61" s="35"/>
    </row>
    <row r="62" spans="2:43" ht="18.75" customHeight="1">
      <c r="B62" s="21">
        <v>100050007</v>
      </c>
      <c r="C62" s="14">
        <v>10005</v>
      </c>
      <c r="D62" s="14" t="s">
        <v>106</v>
      </c>
      <c r="E62" s="21">
        <v>2002001</v>
      </c>
      <c r="F62" s="21">
        <v>1002001</v>
      </c>
      <c r="G62" s="14">
        <v>10</v>
      </c>
      <c r="H62" s="14">
        <v>99</v>
      </c>
      <c r="I62" s="21">
        <v>100020001001</v>
      </c>
      <c r="J62" s="35"/>
      <c r="K62" s="35"/>
      <c r="L62" s="14"/>
      <c r="M62" s="14"/>
      <c r="N62" s="14"/>
      <c r="O62" s="14"/>
      <c r="P62" s="24"/>
      <c r="Q62" s="35"/>
      <c r="R62" s="35"/>
      <c r="S62" s="14"/>
      <c r="T62" s="14">
        <v>1</v>
      </c>
      <c r="U62" s="14">
        <v>100050006</v>
      </c>
      <c r="V62" s="14"/>
      <c r="W62" s="35"/>
      <c r="X62" s="35"/>
      <c r="Y62" s="14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54"/>
      <c r="AK62" s="35"/>
      <c r="AL62" s="35"/>
      <c r="AM62" s="35"/>
      <c r="AN62" s="35"/>
      <c r="AO62" s="35"/>
      <c r="AP62" s="35"/>
      <c r="AQ62" s="35"/>
    </row>
    <row r="63" spans="2:43" ht="18.75" customHeight="1">
      <c r="B63" s="21">
        <v>100050008</v>
      </c>
      <c r="C63" s="14">
        <v>10005</v>
      </c>
      <c r="D63" s="14" t="s">
        <v>107</v>
      </c>
      <c r="E63" s="21">
        <v>2002002</v>
      </c>
      <c r="F63" s="21">
        <v>1002002</v>
      </c>
      <c r="G63" s="14">
        <v>10</v>
      </c>
      <c r="H63" s="14">
        <v>99</v>
      </c>
      <c r="I63" s="21">
        <v>100020001001</v>
      </c>
      <c r="J63" s="35"/>
      <c r="K63" s="35"/>
      <c r="L63" s="14"/>
      <c r="M63" s="14"/>
      <c r="N63" s="14"/>
      <c r="O63" s="14"/>
      <c r="P63" s="24"/>
      <c r="Q63" s="35"/>
      <c r="R63" s="35"/>
      <c r="S63" s="14"/>
      <c r="T63" s="14">
        <v>1</v>
      </c>
      <c r="U63" s="14">
        <v>100050007</v>
      </c>
      <c r="V63" s="14"/>
      <c r="W63" s="35"/>
      <c r="X63" s="35"/>
      <c r="Y63" s="14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54"/>
      <c r="AK63" s="35"/>
      <c r="AL63" s="35"/>
      <c r="AM63" s="35"/>
      <c r="AN63" s="35"/>
      <c r="AO63" s="35"/>
      <c r="AP63" s="35"/>
      <c r="AQ63" s="35"/>
    </row>
    <row r="64" spans="2:43" ht="18.75" customHeight="1">
      <c r="B64" s="21">
        <v>100050009</v>
      </c>
      <c r="C64" s="14">
        <v>10005</v>
      </c>
      <c r="D64" s="14" t="s">
        <v>108</v>
      </c>
      <c r="E64" s="21">
        <v>2001001</v>
      </c>
      <c r="F64" s="21">
        <v>1001001</v>
      </c>
      <c r="G64" s="14">
        <v>10</v>
      </c>
      <c r="H64" s="14">
        <v>99</v>
      </c>
      <c r="I64" s="21">
        <v>100020001001</v>
      </c>
      <c r="J64" s="35"/>
      <c r="K64" s="35"/>
      <c r="L64" s="22"/>
      <c r="M64" s="22"/>
      <c r="N64" s="14"/>
      <c r="O64" s="22"/>
      <c r="P64" s="23"/>
      <c r="Q64" s="35"/>
      <c r="R64" s="35"/>
      <c r="S64" s="22"/>
      <c r="T64" s="14">
        <v>1</v>
      </c>
      <c r="U64" s="22">
        <v>100050008</v>
      </c>
      <c r="V64" s="22"/>
      <c r="W64" s="35"/>
      <c r="X64" s="35"/>
      <c r="Y64" s="22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54"/>
      <c r="AK64" s="35"/>
      <c r="AL64" s="35"/>
      <c r="AM64" s="35"/>
      <c r="AN64" s="35"/>
      <c r="AO64" s="35"/>
      <c r="AP64" s="35"/>
      <c r="AQ64" s="35"/>
    </row>
    <row r="65" spans="2:43" ht="18.75" customHeight="1">
      <c r="B65" s="21">
        <v>100050010</v>
      </c>
      <c r="C65" s="14">
        <v>10005</v>
      </c>
      <c r="D65" s="14" t="s">
        <v>109</v>
      </c>
      <c r="E65" s="21">
        <v>2002001</v>
      </c>
      <c r="F65" s="21">
        <v>1002001</v>
      </c>
      <c r="G65" s="14">
        <v>10</v>
      </c>
      <c r="H65" s="14">
        <v>99</v>
      </c>
      <c r="I65" s="21">
        <v>100020001001</v>
      </c>
      <c r="J65" s="35"/>
      <c r="K65" s="35"/>
      <c r="L65" s="14"/>
      <c r="M65" s="14"/>
      <c r="N65" s="14"/>
      <c r="O65" s="14"/>
      <c r="P65" s="24"/>
      <c r="Q65" s="35"/>
      <c r="R65" s="35"/>
      <c r="S65" s="14"/>
      <c r="T65" s="14">
        <v>1</v>
      </c>
      <c r="U65" s="14">
        <v>100050009</v>
      </c>
      <c r="V65" s="14"/>
      <c r="W65" s="35"/>
      <c r="X65" s="35"/>
      <c r="Y65" s="14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54"/>
      <c r="AK65" s="35"/>
      <c r="AL65" s="35"/>
      <c r="AM65" s="35"/>
      <c r="AN65" s="35"/>
      <c r="AO65" s="35"/>
      <c r="AP65" s="35"/>
      <c r="AQ65" s="35"/>
    </row>
    <row r="66" spans="2:43" ht="18.75" customHeight="1">
      <c r="B66" s="21">
        <v>100050011</v>
      </c>
      <c r="C66" s="14">
        <v>10005</v>
      </c>
      <c r="D66" s="14" t="s">
        <v>110</v>
      </c>
      <c r="E66" s="21">
        <v>2002002</v>
      </c>
      <c r="F66" s="21">
        <v>1002002</v>
      </c>
      <c r="G66" s="14">
        <v>10</v>
      </c>
      <c r="H66" s="14">
        <v>99</v>
      </c>
      <c r="I66" s="21">
        <v>100020001001</v>
      </c>
      <c r="J66" s="35"/>
      <c r="K66" s="35"/>
      <c r="L66" s="14"/>
      <c r="M66" s="14"/>
      <c r="N66" s="14"/>
      <c r="O66" s="14"/>
      <c r="P66" s="24"/>
      <c r="Q66" s="35"/>
      <c r="R66" s="35"/>
      <c r="S66" s="14"/>
      <c r="T66" s="14">
        <v>1</v>
      </c>
      <c r="U66" s="14">
        <v>100050010</v>
      </c>
      <c r="V66" s="14"/>
      <c r="W66" s="35"/>
      <c r="X66" s="35"/>
      <c r="Y66" s="14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54"/>
      <c r="AK66" s="35"/>
      <c r="AL66" s="35"/>
      <c r="AM66" s="35"/>
      <c r="AN66" s="35"/>
      <c r="AO66" s="35"/>
      <c r="AP66" s="35"/>
      <c r="AQ66" s="35"/>
    </row>
    <row r="67" spans="2:43" ht="18.75" customHeight="1">
      <c r="B67" s="21">
        <v>100050012</v>
      </c>
      <c r="C67" s="14">
        <v>10005</v>
      </c>
      <c r="D67" s="14" t="s">
        <v>111</v>
      </c>
      <c r="E67" s="21">
        <v>2001001</v>
      </c>
      <c r="F67" s="21">
        <v>1001001</v>
      </c>
      <c r="G67" s="14">
        <v>10</v>
      </c>
      <c r="H67" s="14">
        <v>99</v>
      </c>
      <c r="I67" s="21">
        <v>100020001001</v>
      </c>
      <c r="J67" s="35"/>
      <c r="K67" s="35"/>
      <c r="L67" s="14"/>
      <c r="M67" s="14"/>
      <c r="N67" s="14"/>
      <c r="O67" s="22"/>
      <c r="P67" s="23"/>
      <c r="Q67" s="35"/>
      <c r="R67" s="35"/>
      <c r="S67" s="22"/>
      <c r="T67" s="14">
        <v>1</v>
      </c>
      <c r="U67" s="22">
        <v>100050011</v>
      </c>
      <c r="V67" s="22"/>
      <c r="W67" s="35"/>
      <c r="X67" s="35"/>
      <c r="Y67" s="22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54"/>
      <c r="AK67" s="35"/>
      <c r="AL67" s="35"/>
      <c r="AM67" s="35"/>
      <c r="AN67" s="35"/>
      <c r="AO67" s="35"/>
      <c r="AP67" s="35"/>
      <c r="AQ67" s="35"/>
    </row>
    <row r="68" spans="2:43" ht="18.75" customHeight="1">
      <c r="B68" s="21">
        <v>100050013</v>
      </c>
      <c r="C68" s="14">
        <v>10005</v>
      </c>
      <c r="D68" s="14" t="s">
        <v>112</v>
      </c>
      <c r="E68" s="21">
        <v>2002001</v>
      </c>
      <c r="F68" s="21">
        <v>1002001</v>
      </c>
      <c r="G68" s="14">
        <v>10</v>
      </c>
      <c r="H68" s="14">
        <v>99</v>
      </c>
      <c r="I68" s="21">
        <v>100020001001</v>
      </c>
      <c r="J68" s="35"/>
      <c r="K68" s="35"/>
      <c r="L68" s="14"/>
      <c r="M68" s="14"/>
      <c r="N68" s="14"/>
      <c r="O68" s="14"/>
      <c r="P68" s="24"/>
      <c r="Q68" s="35"/>
      <c r="R68" s="35"/>
      <c r="S68" s="14"/>
      <c r="T68" s="14">
        <v>1</v>
      </c>
      <c r="U68" s="14">
        <v>100050012</v>
      </c>
      <c r="V68" s="14"/>
      <c r="W68" s="35"/>
      <c r="X68" s="35"/>
      <c r="Y68" s="14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54"/>
      <c r="AK68" s="35"/>
      <c r="AL68" s="35"/>
      <c r="AM68" s="35"/>
      <c r="AN68" s="35"/>
      <c r="AO68" s="35"/>
      <c r="AP68" s="35"/>
      <c r="AQ68" s="35"/>
    </row>
    <row r="69" spans="2:43" ht="18.75" customHeight="1">
      <c r="B69" s="21">
        <v>100050014</v>
      </c>
      <c r="C69" s="14">
        <v>10005</v>
      </c>
      <c r="D69" s="14" t="s">
        <v>113</v>
      </c>
      <c r="E69" s="21">
        <v>2002002</v>
      </c>
      <c r="F69" s="21">
        <v>1002002</v>
      </c>
      <c r="G69" s="14">
        <v>10</v>
      </c>
      <c r="H69" s="14">
        <v>99</v>
      </c>
      <c r="I69" s="21">
        <v>100020001001</v>
      </c>
      <c r="J69" s="35"/>
      <c r="K69" s="35"/>
      <c r="L69" s="14"/>
      <c r="M69" s="14"/>
      <c r="N69" s="14"/>
      <c r="O69" s="14"/>
      <c r="P69" s="24"/>
      <c r="Q69" s="35"/>
      <c r="R69" s="35"/>
      <c r="S69" s="14"/>
      <c r="T69" s="14">
        <v>1</v>
      </c>
      <c r="U69" s="14">
        <v>100050013</v>
      </c>
      <c r="V69" s="14"/>
      <c r="W69" s="35"/>
      <c r="X69" s="35"/>
      <c r="Y69" s="14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54"/>
      <c r="AK69" s="35"/>
      <c r="AL69" s="35"/>
      <c r="AM69" s="35"/>
      <c r="AN69" s="35"/>
      <c r="AO69" s="35"/>
      <c r="AP69" s="35"/>
      <c r="AQ69" s="35"/>
    </row>
    <row r="70" spans="2:43" ht="18.75" customHeight="1">
      <c r="B70" s="21">
        <v>100050015</v>
      </c>
      <c r="C70" s="14">
        <v>10005</v>
      </c>
      <c r="D70" s="14" t="s">
        <v>114</v>
      </c>
      <c r="E70" s="21">
        <v>2001001</v>
      </c>
      <c r="F70" s="21">
        <v>1001001</v>
      </c>
      <c r="G70" s="14">
        <v>10</v>
      </c>
      <c r="H70" s="14">
        <v>99</v>
      </c>
      <c r="I70" s="21">
        <v>100020001001</v>
      </c>
      <c r="J70" s="35"/>
      <c r="K70" s="35"/>
      <c r="L70" s="22"/>
      <c r="M70" s="22"/>
      <c r="N70" s="14"/>
      <c r="O70" s="22"/>
      <c r="P70" s="23"/>
      <c r="Q70" s="35"/>
      <c r="R70" s="35"/>
      <c r="S70" s="22"/>
      <c r="T70" s="14">
        <v>1</v>
      </c>
      <c r="U70" s="22">
        <v>100050014</v>
      </c>
      <c r="V70" s="22"/>
      <c r="W70" s="35"/>
      <c r="X70" s="35"/>
      <c r="Y70" s="22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54"/>
      <c r="AK70" s="35"/>
      <c r="AL70" s="35"/>
      <c r="AM70" s="35"/>
      <c r="AN70" s="35"/>
      <c r="AO70" s="35"/>
      <c r="AP70" s="35"/>
      <c r="AQ70" s="35"/>
    </row>
    <row r="71" spans="2:43" ht="18.75" customHeight="1">
      <c r="B71" s="21">
        <v>100060001</v>
      </c>
      <c r="C71" s="14">
        <v>10006</v>
      </c>
      <c r="D71" s="14" t="s">
        <v>115</v>
      </c>
      <c r="E71" s="21">
        <v>2002001</v>
      </c>
      <c r="F71" s="21">
        <v>1002001</v>
      </c>
      <c r="G71" s="14">
        <v>10</v>
      </c>
      <c r="H71" s="14">
        <v>99</v>
      </c>
      <c r="I71" s="21">
        <v>100020001001</v>
      </c>
      <c r="J71" s="35"/>
      <c r="K71" s="35"/>
      <c r="L71" s="14"/>
      <c r="M71" s="14"/>
      <c r="N71" s="14"/>
      <c r="O71" s="14"/>
      <c r="P71" s="24"/>
      <c r="Q71" s="35"/>
      <c r="R71" s="35"/>
      <c r="S71" s="14"/>
      <c r="T71" s="14">
        <v>1</v>
      </c>
      <c r="U71" s="14">
        <v>100050015</v>
      </c>
      <c r="V71" s="14"/>
      <c r="W71" s="35"/>
      <c r="X71" s="35"/>
      <c r="Y71" s="14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54"/>
      <c r="AK71" s="35"/>
      <c r="AL71" s="35"/>
      <c r="AM71" s="35"/>
      <c r="AN71" s="35"/>
      <c r="AO71" s="35"/>
      <c r="AP71" s="35"/>
      <c r="AQ71" s="35"/>
    </row>
    <row r="72" spans="2:43" ht="18.75" customHeight="1">
      <c r="B72" s="21">
        <v>100060002</v>
      </c>
      <c r="C72" s="14">
        <v>10006</v>
      </c>
      <c r="D72" s="14" t="s">
        <v>116</v>
      </c>
      <c r="E72" s="21">
        <v>2002002</v>
      </c>
      <c r="F72" s="21">
        <v>1002002</v>
      </c>
      <c r="G72" s="14">
        <v>10</v>
      </c>
      <c r="H72" s="14">
        <v>99</v>
      </c>
      <c r="I72" s="21">
        <v>100020001001</v>
      </c>
      <c r="J72" s="35"/>
      <c r="K72" s="35"/>
      <c r="L72" s="14"/>
      <c r="M72" s="14"/>
      <c r="N72" s="14"/>
      <c r="O72" s="14"/>
      <c r="P72" s="24"/>
      <c r="Q72" s="35"/>
      <c r="R72" s="35"/>
      <c r="S72" s="14"/>
      <c r="T72" s="14">
        <v>1</v>
      </c>
      <c r="U72" s="14">
        <v>100060001</v>
      </c>
      <c r="V72" s="14"/>
      <c r="W72" s="35"/>
      <c r="X72" s="35"/>
      <c r="Y72" s="14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54"/>
      <c r="AK72" s="35"/>
      <c r="AL72" s="35"/>
      <c r="AM72" s="35"/>
      <c r="AN72" s="35"/>
      <c r="AO72" s="35"/>
      <c r="AP72" s="35"/>
      <c r="AQ72" s="35"/>
    </row>
    <row r="73" spans="2:43" ht="18.75" customHeight="1">
      <c r="B73" s="21">
        <v>100060003</v>
      </c>
      <c r="C73" s="14">
        <v>10006</v>
      </c>
      <c r="D73" s="14" t="s">
        <v>117</v>
      </c>
      <c r="E73" s="21">
        <v>2001001</v>
      </c>
      <c r="F73" s="21">
        <v>1001001</v>
      </c>
      <c r="G73" s="14">
        <v>10</v>
      </c>
      <c r="H73" s="14">
        <v>99</v>
      </c>
      <c r="I73" s="21">
        <v>100020001001</v>
      </c>
      <c r="J73" s="35"/>
      <c r="K73" s="35"/>
      <c r="L73" s="14"/>
      <c r="M73" s="14"/>
      <c r="N73" s="14"/>
      <c r="O73" s="14"/>
      <c r="P73" s="24"/>
      <c r="Q73" s="35"/>
      <c r="R73" s="35"/>
      <c r="S73" s="14"/>
      <c r="T73" s="14">
        <v>1</v>
      </c>
      <c r="U73" s="14">
        <v>100060002</v>
      </c>
      <c r="V73" s="14"/>
      <c r="W73" s="35"/>
      <c r="X73" s="35"/>
      <c r="Y73" s="14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54"/>
      <c r="AK73" s="35"/>
      <c r="AL73" s="35"/>
      <c r="AM73" s="35"/>
      <c r="AN73" s="35"/>
      <c r="AO73" s="35"/>
      <c r="AP73" s="35"/>
      <c r="AQ73" s="35"/>
    </row>
    <row r="74" spans="2:43" ht="18.75" customHeight="1">
      <c r="B74" s="21">
        <v>100060004</v>
      </c>
      <c r="C74" s="14">
        <v>10006</v>
      </c>
      <c r="D74" s="14" t="s">
        <v>118</v>
      </c>
      <c r="E74" s="21">
        <v>2002001</v>
      </c>
      <c r="F74" s="21">
        <v>1002001</v>
      </c>
      <c r="G74" s="14">
        <v>10</v>
      </c>
      <c r="H74" s="14">
        <v>99</v>
      </c>
      <c r="I74" s="21">
        <v>100020001001</v>
      </c>
      <c r="J74" s="35"/>
      <c r="K74" s="35"/>
      <c r="L74" s="14"/>
      <c r="M74" s="14"/>
      <c r="N74" s="14"/>
      <c r="O74" s="14"/>
      <c r="P74" s="24"/>
      <c r="Q74" s="35"/>
      <c r="R74" s="35"/>
      <c r="S74" s="14"/>
      <c r="T74" s="14">
        <v>1</v>
      </c>
      <c r="U74" s="14">
        <v>100060003</v>
      </c>
      <c r="V74" s="14"/>
      <c r="W74" s="35"/>
      <c r="X74" s="35"/>
      <c r="Y74" s="14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54"/>
      <c r="AK74" s="35"/>
      <c r="AL74" s="35"/>
      <c r="AM74" s="35"/>
      <c r="AN74" s="35"/>
      <c r="AO74" s="35"/>
      <c r="AP74" s="35"/>
      <c r="AQ74" s="35"/>
    </row>
    <row r="75" spans="2:43" ht="18.75" customHeight="1">
      <c r="B75" s="21">
        <v>100060005</v>
      </c>
      <c r="C75" s="14">
        <v>10006</v>
      </c>
      <c r="D75" s="14" t="s">
        <v>119</v>
      </c>
      <c r="E75" s="21">
        <v>2002002</v>
      </c>
      <c r="F75" s="21">
        <v>1002002</v>
      </c>
      <c r="G75" s="14">
        <v>10</v>
      </c>
      <c r="H75" s="14">
        <v>99</v>
      </c>
      <c r="I75" s="21">
        <v>100020001001</v>
      </c>
      <c r="J75" s="35"/>
      <c r="K75" s="35"/>
      <c r="L75" s="14"/>
      <c r="M75" s="14"/>
      <c r="N75" s="14"/>
      <c r="O75" s="14"/>
      <c r="P75" s="24"/>
      <c r="Q75" s="35"/>
      <c r="R75" s="35"/>
      <c r="S75" s="14"/>
      <c r="T75" s="14">
        <v>1</v>
      </c>
      <c r="U75" s="14">
        <v>100060004</v>
      </c>
      <c r="V75" s="14"/>
      <c r="W75" s="35"/>
      <c r="X75" s="35"/>
      <c r="Y75" s="14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54"/>
      <c r="AK75" s="35"/>
      <c r="AL75" s="35"/>
      <c r="AM75" s="35"/>
      <c r="AN75" s="35"/>
      <c r="AO75" s="35"/>
      <c r="AP75" s="35"/>
      <c r="AQ75" s="35"/>
    </row>
    <row r="76" spans="2:43" ht="18.75" customHeight="1">
      <c r="B76" s="21">
        <v>100060006</v>
      </c>
      <c r="C76" s="14">
        <v>10006</v>
      </c>
      <c r="D76" s="14" t="s">
        <v>120</v>
      </c>
      <c r="E76" s="21">
        <v>2001001</v>
      </c>
      <c r="F76" s="21">
        <v>1001001</v>
      </c>
      <c r="G76" s="14">
        <v>10</v>
      </c>
      <c r="H76" s="14">
        <v>99</v>
      </c>
      <c r="I76" s="21">
        <v>100020001001</v>
      </c>
      <c r="J76" s="35"/>
      <c r="K76" s="35"/>
      <c r="L76" s="22"/>
      <c r="M76" s="22"/>
      <c r="N76" s="14"/>
      <c r="O76" s="14"/>
      <c r="P76" s="24"/>
      <c r="Q76" s="35"/>
      <c r="R76" s="35"/>
      <c r="S76" s="14"/>
      <c r="T76" s="14">
        <v>1</v>
      </c>
      <c r="U76" s="14">
        <v>100060005</v>
      </c>
      <c r="V76" s="14"/>
      <c r="W76" s="35"/>
      <c r="X76" s="35"/>
      <c r="Y76" s="14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54"/>
      <c r="AK76" s="35"/>
      <c r="AL76" s="35"/>
      <c r="AM76" s="35"/>
      <c r="AN76" s="35"/>
      <c r="AO76" s="35"/>
      <c r="AP76" s="35"/>
      <c r="AQ76" s="35"/>
    </row>
    <row r="77" spans="2:43" ht="18.75" customHeight="1">
      <c r="B77" s="21">
        <v>100060007</v>
      </c>
      <c r="C77" s="14">
        <v>10006</v>
      </c>
      <c r="D77" s="14" t="s">
        <v>121</v>
      </c>
      <c r="E77" s="21">
        <v>2002001</v>
      </c>
      <c r="F77" s="21">
        <v>1002001</v>
      </c>
      <c r="G77" s="14">
        <v>10</v>
      </c>
      <c r="H77" s="14">
        <v>99</v>
      </c>
      <c r="I77" s="21">
        <v>100020001001</v>
      </c>
      <c r="J77" s="35"/>
      <c r="K77" s="35"/>
      <c r="L77" s="14"/>
      <c r="M77" s="14"/>
      <c r="N77" s="14"/>
      <c r="O77" s="14"/>
      <c r="P77" s="24"/>
      <c r="Q77" s="35"/>
      <c r="R77" s="35"/>
      <c r="S77" s="14"/>
      <c r="T77" s="14">
        <v>1</v>
      </c>
      <c r="U77" s="14">
        <v>100060006</v>
      </c>
      <c r="V77" s="14"/>
      <c r="W77" s="35"/>
      <c r="X77" s="35"/>
      <c r="Y77" s="14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54"/>
      <c r="AK77" s="35"/>
      <c r="AL77" s="35"/>
      <c r="AM77" s="35"/>
      <c r="AN77" s="35"/>
      <c r="AO77" s="35"/>
      <c r="AP77" s="35"/>
      <c r="AQ77" s="35"/>
    </row>
    <row r="78" spans="2:43" ht="18.75" customHeight="1">
      <c r="B78" s="21">
        <v>100060008</v>
      </c>
      <c r="C78" s="14">
        <v>10006</v>
      </c>
      <c r="D78" s="14" t="s">
        <v>122</v>
      </c>
      <c r="E78" s="21">
        <v>2002002</v>
      </c>
      <c r="F78" s="21">
        <v>1002002</v>
      </c>
      <c r="G78" s="14">
        <v>10</v>
      </c>
      <c r="H78" s="14">
        <v>99</v>
      </c>
      <c r="I78" s="21">
        <v>100020001001</v>
      </c>
      <c r="J78" s="35"/>
      <c r="K78" s="35"/>
      <c r="L78" s="14"/>
      <c r="M78" s="14"/>
      <c r="N78" s="14"/>
      <c r="O78" s="14"/>
      <c r="P78" s="24"/>
      <c r="Q78" s="35"/>
      <c r="R78" s="35"/>
      <c r="S78" s="14"/>
      <c r="T78" s="14">
        <v>1</v>
      </c>
      <c r="U78" s="14">
        <v>100060007</v>
      </c>
      <c r="V78" s="14"/>
      <c r="W78" s="35"/>
      <c r="X78" s="35"/>
      <c r="Y78" s="14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54"/>
      <c r="AK78" s="35"/>
      <c r="AL78" s="35"/>
      <c r="AM78" s="35"/>
      <c r="AN78" s="35"/>
      <c r="AO78" s="35"/>
      <c r="AP78" s="35"/>
      <c r="AQ78" s="35"/>
    </row>
    <row r="79" spans="2:43" ht="18.75" customHeight="1">
      <c r="B79" s="21">
        <v>100060009</v>
      </c>
      <c r="C79" s="14">
        <v>10006</v>
      </c>
      <c r="D79" s="14" t="s">
        <v>123</v>
      </c>
      <c r="E79" s="21">
        <v>2001001</v>
      </c>
      <c r="F79" s="21">
        <v>1001001</v>
      </c>
      <c r="G79" s="14">
        <v>10</v>
      </c>
      <c r="H79" s="14">
        <v>99</v>
      </c>
      <c r="I79" s="21">
        <v>100020001001</v>
      </c>
      <c r="J79" s="35"/>
      <c r="K79" s="35"/>
      <c r="L79" s="14"/>
      <c r="M79" s="14"/>
      <c r="N79" s="14"/>
      <c r="O79" s="14"/>
      <c r="P79" s="24"/>
      <c r="Q79" s="35"/>
      <c r="R79" s="35"/>
      <c r="S79" s="14"/>
      <c r="T79" s="14">
        <v>1</v>
      </c>
      <c r="U79" s="14">
        <v>100060008</v>
      </c>
      <c r="V79" s="14"/>
      <c r="W79" s="35"/>
      <c r="X79" s="35"/>
      <c r="Y79" s="1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54"/>
      <c r="AK79" s="35"/>
      <c r="AL79" s="35"/>
      <c r="AM79" s="35"/>
      <c r="AN79" s="35"/>
      <c r="AO79" s="35"/>
      <c r="AP79" s="35"/>
      <c r="AQ79" s="35"/>
    </row>
    <row r="80" spans="2:43" ht="18.75" customHeight="1">
      <c r="B80" s="21">
        <v>100060010</v>
      </c>
      <c r="C80" s="14">
        <v>10006</v>
      </c>
      <c r="D80" s="14" t="s">
        <v>124</v>
      </c>
      <c r="E80" s="21">
        <v>2002001</v>
      </c>
      <c r="F80" s="21">
        <v>1002001</v>
      </c>
      <c r="G80" s="14">
        <v>10</v>
      </c>
      <c r="H80" s="14">
        <v>99</v>
      </c>
      <c r="I80" s="21">
        <v>100020001001</v>
      </c>
      <c r="J80" s="35"/>
      <c r="K80" s="35"/>
      <c r="L80" s="14"/>
      <c r="M80" s="14"/>
      <c r="N80" s="14"/>
      <c r="O80" s="14"/>
      <c r="P80" s="24"/>
      <c r="Q80" s="35"/>
      <c r="R80" s="35"/>
      <c r="S80" s="14"/>
      <c r="T80" s="14">
        <v>1</v>
      </c>
      <c r="U80" s="14">
        <v>100060009</v>
      </c>
      <c r="V80" s="14"/>
      <c r="W80" s="35"/>
      <c r="X80" s="35"/>
      <c r="Y80" s="14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54"/>
      <c r="AK80" s="35"/>
      <c r="AL80" s="35"/>
      <c r="AM80" s="35"/>
      <c r="AN80" s="35"/>
      <c r="AO80" s="35"/>
      <c r="AP80" s="35"/>
      <c r="AQ80" s="35"/>
    </row>
    <row r="81" spans="2:43" ht="18.75" customHeight="1">
      <c r="B81" s="21">
        <v>100060011</v>
      </c>
      <c r="C81" s="14">
        <v>10006</v>
      </c>
      <c r="D81" s="14" t="s">
        <v>125</v>
      </c>
      <c r="E81" s="21">
        <v>2002002</v>
      </c>
      <c r="F81" s="21">
        <v>1002002</v>
      </c>
      <c r="G81" s="14">
        <v>10</v>
      </c>
      <c r="H81" s="14">
        <v>99</v>
      </c>
      <c r="I81" s="21">
        <v>100020001001</v>
      </c>
      <c r="J81" s="35"/>
      <c r="K81" s="35"/>
      <c r="L81" s="14"/>
      <c r="M81" s="14"/>
      <c r="N81" s="14"/>
      <c r="O81" s="14"/>
      <c r="P81" s="24"/>
      <c r="Q81" s="35"/>
      <c r="R81" s="35"/>
      <c r="S81" s="14"/>
      <c r="T81" s="14">
        <v>1</v>
      </c>
      <c r="U81" s="14">
        <v>100060010</v>
      </c>
      <c r="V81" s="14"/>
      <c r="W81" s="35"/>
      <c r="X81" s="35"/>
      <c r="Y81" s="14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54"/>
      <c r="AK81" s="35"/>
      <c r="AL81" s="35"/>
      <c r="AM81" s="35"/>
      <c r="AN81" s="35"/>
      <c r="AO81" s="35"/>
      <c r="AP81" s="35"/>
      <c r="AQ81" s="35"/>
    </row>
    <row r="82" spans="2:43" ht="18.75" customHeight="1">
      <c r="B82" s="21">
        <v>100060012</v>
      </c>
      <c r="C82" s="14">
        <v>10006</v>
      </c>
      <c r="D82" s="14" t="s">
        <v>126</v>
      </c>
      <c r="E82" s="21">
        <v>2001001</v>
      </c>
      <c r="F82" s="21">
        <v>1001001</v>
      </c>
      <c r="G82" s="14">
        <v>10</v>
      </c>
      <c r="H82" s="14">
        <v>99</v>
      </c>
      <c r="I82" s="21">
        <v>100020001001</v>
      </c>
      <c r="J82" s="35"/>
      <c r="K82" s="35"/>
      <c r="L82" s="14"/>
      <c r="M82" s="14"/>
      <c r="N82" s="14"/>
      <c r="O82" s="14"/>
      <c r="P82" s="24"/>
      <c r="Q82" s="35"/>
      <c r="R82" s="35"/>
      <c r="S82" s="14"/>
      <c r="T82" s="14">
        <v>1</v>
      </c>
      <c r="U82" s="14">
        <v>100060011</v>
      </c>
      <c r="V82" s="14"/>
      <c r="W82" s="35"/>
      <c r="X82" s="35"/>
      <c r="Y82" s="14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54"/>
      <c r="AK82" s="35"/>
      <c r="AL82" s="35"/>
      <c r="AM82" s="35"/>
      <c r="AN82" s="35"/>
      <c r="AO82" s="35"/>
      <c r="AP82" s="35"/>
      <c r="AQ82" s="35"/>
    </row>
    <row r="83" spans="2:43" ht="18.75" customHeight="1">
      <c r="B83" s="21">
        <v>100060013</v>
      </c>
      <c r="C83" s="14">
        <v>10006</v>
      </c>
      <c r="D83" s="14" t="s">
        <v>127</v>
      </c>
      <c r="E83" s="21">
        <v>2002001</v>
      </c>
      <c r="F83" s="21">
        <v>1002001</v>
      </c>
      <c r="G83" s="14">
        <v>10</v>
      </c>
      <c r="H83" s="14">
        <v>99</v>
      </c>
      <c r="I83" s="21">
        <v>100020001001</v>
      </c>
      <c r="J83" s="35"/>
      <c r="K83" s="35"/>
      <c r="L83" s="14"/>
      <c r="M83" s="14"/>
      <c r="N83" s="14"/>
      <c r="O83" s="14"/>
      <c r="P83" s="24"/>
      <c r="Q83" s="35"/>
      <c r="R83" s="35"/>
      <c r="S83" s="14"/>
      <c r="T83" s="14">
        <v>1</v>
      </c>
      <c r="U83" s="14">
        <v>100060012</v>
      </c>
      <c r="V83" s="14"/>
      <c r="W83" s="35"/>
      <c r="X83" s="35"/>
      <c r="Y83" s="14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54"/>
      <c r="AK83" s="35"/>
      <c r="AL83" s="35"/>
      <c r="AM83" s="35"/>
      <c r="AN83" s="35"/>
      <c r="AO83" s="35"/>
      <c r="AP83" s="35"/>
      <c r="AQ83" s="35"/>
    </row>
    <row r="84" spans="2:43" ht="18.75" customHeight="1">
      <c r="B84" s="21">
        <v>100060014</v>
      </c>
      <c r="C84" s="14">
        <v>10006</v>
      </c>
      <c r="D84" s="14" t="s">
        <v>128</v>
      </c>
      <c r="E84" s="21">
        <v>2002002</v>
      </c>
      <c r="F84" s="21">
        <v>1002002</v>
      </c>
      <c r="G84" s="14">
        <v>10</v>
      </c>
      <c r="H84" s="14">
        <v>99</v>
      </c>
      <c r="I84" s="21">
        <v>100020001001</v>
      </c>
      <c r="J84" s="35"/>
      <c r="K84" s="35"/>
      <c r="L84" s="14"/>
      <c r="M84" s="14"/>
      <c r="N84" s="14"/>
      <c r="O84" s="14"/>
      <c r="P84" s="24"/>
      <c r="Q84" s="35"/>
      <c r="R84" s="35"/>
      <c r="S84" s="14"/>
      <c r="T84" s="14">
        <v>1</v>
      </c>
      <c r="U84" s="14">
        <v>100060013</v>
      </c>
      <c r="V84" s="14"/>
      <c r="W84" s="35"/>
      <c r="X84" s="35"/>
      <c r="Y84" s="14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54"/>
      <c r="AK84" s="35"/>
      <c r="AL84" s="35"/>
      <c r="AM84" s="35"/>
      <c r="AN84" s="35"/>
      <c r="AO84" s="35"/>
      <c r="AP84" s="35"/>
      <c r="AQ84" s="35"/>
    </row>
    <row r="85" spans="2:43" ht="18.75" customHeight="1">
      <c r="B85" s="21">
        <v>200010001</v>
      </c>
      <c r="C85" s="14">
        <v>20001</v>
      </c>
      <c r="D85" s="14" t="s">
        <v>289</v>
      </c>
      <c r="E85" s="21">
        <v>2002002</v>
      </c>
      <c r="F85" s="48">
        <v>1002002</v>
      </c>
      <c r="G85" s="14">
        <v>1</v>
      </c>
      <c r="H85" s="14">
        <v>99</v>
      </c>
      <c r="I85" s="21">
        <v>100020001001</v>
      </c>
      <c r="J85" s="35"/>
      <c r="K85" s="35"/>
      <c r="L85" s="14"/>
      <c r="M85" s="14"/>
      <c r="N85" s="14">
        <v>3</v>
      </c>
      <c r="O85" s="14"/>
      <c r="P85" s="24" t="s">
        <v>294</v>
      </c>
      <c r="Q85" s="14">
        <v>4</v>
      </c>
      <c r="R85" s="35"/>
      <c r="S85" s="24" t="s">
        <v>354</v>
      </c>
      <c r="T85" s="14"/>
      <c r="U85" s="14"/>
      <c r="V85" s="14"/>
      <c r="W85" s="35"/>
      <c r="X85" s="35"/>
      <c r="Y85" s="14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54"/>
      <c r="AK85" s="35"/>
      <c r="AL85" s="35"/>
      <c r="AM85" s="35"/>
      <c r="AN85" s="35"/>
      <c r="AO85" s="35"/>
      <c r="AP85" s="35"/>
      <c r="AQ85" s="35"/>
    </row>
    <row r="86" spans="2:43" ht="18.75" customHeight="1">
      <c r="B86" s="21">
        <v>200010002</v>
      </c>
      <c r="C86" s="14">
        <v>20001</v>
      </c>
      <c r="D86" s="14" t="s">
        <v>290</v>
      </c>
      <c r="E86" s="21">
        <v>2002002</v>
      </c>
      <c r="F86" s="48">
        <v>1002002</v>
      </c>
      <c r="G86" s="14">
        <v>5</v>
      </c>
      <c r="H86" s="14">
        <v>99</v>
      </c>
      <c r="I86" s="21">
        <v>100020001001</v>
      </c>
      <c r="J86" s="35"/>
      <c r="K86" s="35"/>
      <c r="L86" s="14"/>
      <c r="M86" s="14"/>
      <c r="N86" s="14">
        <v>3</v>
      </c>
      <c r="O86" s="14"/>
      <c r="P86" s="24" t="s">
        <v>294</v>
      </c>
      <c r="Q86" s="14">
        <v>4</v>
      </c>
      <c r="R86" s="35"/>
      <c r="S86" s="24" t="s">
        <v>354</v>
      </c>
      <c r="T86" s="14">
        <v>1</v>
      </c>
      <c r="U86" s="14">
        <v>200010001</v>
      </c>
      <c r="V86" s="14"/>
      <c r="W86" s="35"/>
      <c r="X86" s="35"/>
      <c r="Y86" s="14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54"/>
      <c r="AK86" s="35"/>
      <c r="AL86" s="35"/>
      <c r="AM86" s="35"/>
      <c r="AN86" s="35"/>
      <c r="AO86" s="35"/>
      <c r="AP86" s="35"/>
      <c r="AQ86" s="35"/>
    </row>
    <row r="87" spans="2:43" ht="18.75" customHeight="1">
      <c r="B87" s="21">
        <v>200010003</v>
      </c>
      <c r="C87" s="14">
        <v>20001</v>
      </c>
      <c r="D87" s="14" t="s">
        <v>291</v>
      </c>
      <c r="E87" s="21">
        <v>2002002</v>
      </c>
      <c r="F87" s="48">
        <v>1002002</v>
      </c>
      <c r="G87" s="14">
        <v>10</v>
      </c>
      <c r="H87" s="14">
        <v>99</v>
      </c>
      <c r="I87" s="21">
        <v>100020001001</v>
      </c>
      <c r="J87" s="35"/>
      <c r="K87" s="35"/>
      <c r="L87" s="14"/>
      <c r="M87" s="14"/>
      <c r="N87" s="14">
        <v>3</v>
      </c>
      <c r="O87" s="14"/>
      <c r="P87" s="24" t="s">
        <v>294</v>
      </c>
      <c r="Q87" s="14">
        <v>4</v>
      </c>
      <c r="R87" s="35"/>
      <c r="S87" s="24" t="s">
        <v>354</v>
      </c>
      <c r="T87" s="14">
        <v>1</v>
      </c>
      <c r="U87" s="14">
        <v>200010002</v>
      </c>
      <c r="V87" s="14"/>
      <c r="W87" s="35"/>
      <c r="X87" s="35"/>
      <c r="Y87" s="14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54"/>
      <c r="AK87" s="35"/>
      <c r="AL87" s="35"/>
      <c r="AM87" s="35"/>
      <c r="AN87" s="35"/>
      <c r="AO87" s="35"/>
      <c r="AP87" s="35"/>
      <c r="AQ87" s="35"/>
    </row>
    <row r="88" spans="2:43" ht="18.75" customHeight="1">
      <c r="B88" s="21">
        <v>200010004</v>
      </c>
      <c r="C88" s="14">
        <v>20001</v>
      </c>
      <c r="D88" s="14" t="s">
        <v>292</v>
      </c>
      <c r="E88" s="21">
        <v>2002002</v>
      </c>
      <c r="F88" s="48">
        <v>1002002</v>
      </c>
      <c r="G88" s="14">
        <v>25</v>
      </c>
      <c r="H88" s="14">
        <v>99</v>
      </c>
      <c r="I88" s="21">
        <v>100020001001</v>
      </c>
      <c r="J88" s="35"/>
      <c r="K88" s="35"/>
      <c r="L88" s="14"/>
      <c r="M88" s="14"/>
      <c r="N88" s="14">
        <v>3</v>
      </c>
      <c r="O88" s="14"/>
      <c r="P88" s="24" t="s">
        <v>294</v>
      </c>
      <c r="Q88" s="14">
        <v>4</v>
      </c>
      <c r="R88" s="35"/>
      <c r="S88" s="24" t="s">
        <v>354</v>
      </c>
      <c r="T88" s="14">
        <v>1</v>
      </c>
      <c r="U88" s="14">
        <v>200010003</v>
      </c>
      <c r="V88" s="14"/>
      <c r="W88" s="35"/>
      <c r="X88" s="35"/>
      <c r="Y88" s="14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54"/>
      <c r="AK88" s="35"/>
      <c r="AL88" s="35"/>
      <c r="AM88" s="35"/>
      <c r="AN88" s="35"/>
      <c r="AO88" s="35"/>
      <c r="AP88" s="35"/>
      <c r="AQ88" s="35"/>
    </row>
    <row r="89" spans="2:43" ht="18.75" customHeight="1">
      <c r="B89" s="21">
        <v>200010005</v>
      </c>
      <c r="C89" s="14">
        <v>20001</v>
      </c>
      <c r="D89" s="14" t="s">
        <v>293</v>
      </c>
      <c r="E89" s="21">
        <v>2002002</v>
      </c>
      <c r="F89" s="48">
        <v>1002002</v>
      </c>
      <c r="G89" s="14">
        <v>50</v>
      </c>
      <c r="H89" s="14">
        <v>99</v>
      </c>
      <c r="I89" s="21">
        <v>100020001001</v>
      </c>
      <c r="J89" s="21">
        <v>100020001001</v>
      </c>
      <c r="K89" s="35"/>
      <c r="L89" s="35"/>
      <c r="M89" s="35"/>
      <c r="N89" s="25">
        <v>3</v>
      </c>
      <c r="O89" s="35"/>
      <c r="P89" s="24" t="s">
        <v>294</v>
      </c>
      <c r="Q89" s="25">
        <v>4</v>
      </c>
      <c r="R89" s="35"/>
      <c r="S89" s="24" t="s">
        <v>354</v>
      </c>
      <c r="T89" s="14">
        <v>1</v>
      </c>
      <c r="U89" s="14">
        <v>200010004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6"/>
    </row>
    <row r="90" spans="2:43" ht="18.75" customHeight="1">
      <c r="B90" s="44">
        <v>300010001</v>
      </c>
      <c r="C90" s="35">
        <v>30001</v>
      </c>
      <c r="D90" s="35" t="s">
        <v>1867</v>
      </c>
      <c r="E90" s="44">
        <v>2000300010001</v>
      </c>
      <c r="F90" s="44">
        <v>1000300010001</v>
      </c>
      <c r="G90" s="35">
        <v>1</v>
      </c>
      <c r="H90" s="35">
        <v>99</v>
      </c>
      <c r="I90" s="21">
        <v>100020001001</v>
      </c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6"/>
    </row>
    <row r="91" spans="2:43" ht="18.75" customHeight="1">
      <c r="B91" s="44">
        <v>300010002</v>
      </c>
      <c r="C91" s="35">
        <v>30001</v>
      </c>
      <c r="D91" s="35" t="s">
        <v>1878</v>
      </c>
      <c r="E91" s="44">
        <v>2000300010002</v>
      </c>
      <c r="F91" s="44">
        <v>1000300010002</v>
      </c>
      <c r="G91" s="35">
        <v>5</v>
      </c>
      <c r="H91" s="35">
        <v>99</v>
      </c>
      <c r="I91" s="21">
        <v>100020001001</v>
      </c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>
        <v>300010001</v>
      </c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6"/>
    </row>
    <row r="92" spans="2:43" ht="18.75" customHeight="1">
      <c r="B92" s="44">
        <v>300010003</v>
      </c>
      <c r="C92" s="35">
        <v>30001</v>
      </c>
      <c r="D92" s="35" t="s">
        <v>1879</v>
      </c>
      <c r="E92" s="44">
        <v>2000300010003</v>
      </c>
      <c r="F92" s="44">
        <v>1000300010003</v>
      </c>
      <c r="G92" s="35">
        <v>10</v>
      </c>
      <c r="H92" s="35">
        <v>99</v>
      </c>
      <c r="I92" s="21">
        <v>100020001001</v>
      </c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>
        <v>300010002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6"/>
    </row>
    <row r="93" spans="2:43" ht="18.75" customHeight="1">
      <c r="B93" s="44">
        <v>300010004</v>
      </c>
      <c r="C93" s="35">
        <v>30001</v>
      </c>
      <c r="D93" s="35" t="s">
        <v>1880</v>
      </c>
      <c r="E93" s="44">
        <v>2000300010004</v>
      </c>
      <c r="F93" s="44">
        <v>1000300010004</v>
      </c>
      <c r="G93" s="35">
        <v>25</v>
      </c>
      <c r="H93" s="35">
        <v>99</v>
      </c>
      <c r="I93" s="21">
        <v>100020001001</v>
      </c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</v>
      </c>
      <c r="U93" s="35">
        <v>300010003</v>
      </c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6"/>
    </row>
    <row r="94" spans="2:43" ht="18.75" customHeight="1">
      <c r="B94" s="44">
        <v>300010005</v>
      </c>
      <c r="C94" s="35">
        <v>30001</v>
      </c>
      <c r="D94" s="35" t="s">
        <v>1881</v>
      </c>
      <c r="E94" s="44">
        <v>2000300010005</v>
      </c>
      <c r="F94" s="44">
        <v>1000300010005</v>
      </c>
      <c r="G94" s="35">
        <v>50</v>
      </c>
      <c r="H94" s="35">
        <v>99</v>
      </c>
      <c r="I94" s="21">
        <v>100020001001</v>
      </c>
      <c r="J94" s="21">
        <v>100020001001</v>
      </c>
      <c r="K94" s="35"/>
      <c r="L94" s="35"/>
      <c r="M94" s="35"/>
      <c r="N94" s="35"/>
      <c r="O94" s="35"/>
      <c r="P94" s="35"/>
      <c r="Q94" s="35"/>
      <c r="R94" s="35"/>
      <c r="S94" s="35"/>
      <c r="T94" s="35">
        <v>1</v>
      </c>
      <c r="U94" s="35">
        <v>300010004</v>
      </c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6"/>
    </row>
    <row r="95" spans="2:43" ht="18.75" customHeight="1">
      <c r="B95" s="44">
        <v>300020001</v>
      </c>
      <c r="C95" s="35">
        <v>30002</v>
      </c>
      <c r="D95" s="35" t="s">
        <v>1882</v>
      </c>
      <c r="E95" s="44">
        <v>2000300020001</v>
      </c>
      <c r="F95" s="44">
        <v>1000300020001</v>
      </c>
      <c r="G95" s="35">
        <v>1</v>
      </c>
      <c r="H95" s="35">
        <v>99</v>
      </c>
      <c r="I95" s="21">
        <v>100020001001</v>
      </c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6"/>
    </row>
    <row r="96" spans="2:43" ht="18.75" customHeight="1">
      <c r="B96" s="44">
        <v>300020002</v>
      </c>
      <c r="C96" s="35">
        <v>30002</v>
      </c>
      <c r="D96" s="35" t="s">
        <v>1883</v>
      </c>
      <c r="E96" s="44">
        <v>2000300020002</v>
      </c>
      <c r="F96" s="44">
        <v>1000300020002</v>
      </c>
      <c r="G96" s="35">
        <v>5</v>
      </c>
      <c r="H96" s="35">
        <v>99</v>
      </c>
      <c r="I96" s="21">
        <v>100020001001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>
        <v>1</v>
      </c>
      <c r="U96" s="35">
        <v>300020001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6"/>
    </row>
    <row r="97" spans="2:36" ht="18.75" customHeight="1">
      <c r="B97" s="44">
        <v>300020003</v>
      </c>
      <c r="C97" s="35">
        <v>30002</v>
      </c>
      <c r="D97" s="35" t="s">
        <v>1884</v>
      </c>
      <c r="E97" s="44">
        <v>2000300020003</v>
      </c>
      <c r="F97" s="44">
        <v>1000300020003</v>
      </c>
      <c r="G97" s="35">
        <v>10</v>
      </c>
      <c r="H97" s="35">
        <v>99</v>
      </c>
      <c r="I97" s="21">
        <v>100020001001</v>
      </c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>
        <v>1</v>
      </c>
      <c r="U97" s="35">
        <v>300020002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6"/>
    </row>
    <row r="98" spans="2:36" ht="18.75" customHeight="1">
      <c r="B98" s="44">
        <v>300020004</v>
      </c>
      <c r="C98" s="35">
        <v>30002</v>
      </c>
      <c r="D98" s="35" t="s">
        <v>1885</v>
      </c>
      <c r="E98" s="44">
        <v>2000300020004</v>
      </c>
      <c r="F98" s="44">
        <v>1000300020004</v>
      </c>
      <c r="G98" s="35">
        <v>25</v>
      </c>
      <c r="H98" s="35">
        <v>99</v>
      </c>
      <c r="I98" s="21">
        <v>100020001001</v>
      </c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>
        <v>1</v>
      </c>
      <c r="U98" s="35">
        <v>300020003</v>
      </c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6"/>
    </row>
    <row r="99" spans="2:36" ht="18.75" customHeight="1">
      <c r="B99" s="44">
        <v>300020005</v>
      </c>
      <c r="C99" s="35">
        <v>30002</v>
      </c>
      <c r="D99" s="35" t="s">
        <v>1886</v>
      </c>
      <c r="E99" s="44">
        <v>2000300020005</v>
      </c>
      <c r="F99" s="44">
        <v>1000300020005</v>
      </c>
      <c r="G99" s="35">
        <v>50</v>
      </c>
      <c r="H99" s="35">
        <v>99</v>
      </c>
      <c r="I99" s="21">
        <v>100020001001</v>
      </c>
      <c r="J99" s="21">
        <v>100020001001</v>
      </c>
      <c r="K99" s="35"/>
      <c r="L99" s="35"/>
      <c r="M99" s="35"/>
      <c r="N99" s="35"/>
      <c r="O99" s="35"/>
      <c r="P99" s="35"/>
      <c r="Q99" s="35"/>
      <c r="R99" s="35"/>
      <c r="S99" s="35"/>
      <c r="T99" s="35">
        <v>1</v>
      </c>
      <c r="U99" s="35">
        <v>300020004</v>
      </c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6"/>
    </row>
    <row r="100" spans="2:36" ht="18.75" customHeight="1">
      <c r="B100" s="44">
        <v>300030001</v>
      </c>
      <c r="C100" s="35">
        <v>30003</v>
      </c>
      <c r="D100" s="35" t="s">
        <v>1953</v>
      </c>
      <c r="E100" s="44">
        <v>2000300030001</v>
      </c>
      <c r="F100" s="44">
        <v>1000300030001</v>
      </c>
      <c r="G100" s="35">
        <v>1</v>
      </c>
      <c r="H100" s="35">
        <v>99</v>
      </c>
      <c r="I100" s="21">
        <v>100020001001</v>
      </c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>
        <v>14</v>
      </c>
      <c r="U100" s="35"/>
      <c r="V100" s="35" t="s">
        <v>1888</v>
      </c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6"/>
    </row>
    <row r="101" spans="2:36" ht="18.75" customHeight="1">
      <c r="B101" s="44">
        <v>300030002</v>
      </c>
      <c r="C101" s="35">
        <v>30003</v>
      </c>
      <c r="D101" s="35" t="s">
        <v>1954</v>
      </c>
      <c r="E101" s="44">
        <v>2000300030002</v>
      </c>
      <c r="F101" s="44">
        <v>1000300030002</v>
      </c>
      <c r="G101" s="35">
        <v>5</v>
      </c>
      <c r="H101" s="35">
        <v>99</v>
      </c>
      <c r="I101" s="21">
        <v>100020001001</v>
      </c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>
        <v>14</v>
      </c>
      <c r="U101" s="35"/>
      <c r="V101" s="35" t="s">
        <v>1888</v>
      </c>
      <c r="W101" s="35">
        <v>1</v>
      </c>
      <c r="X101" s="35">
        <v>300030001</v>
      </c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6"/>
    </row>
    <row r="102" spans="2:36" ht="18.75" customHeight="1">
      <c r="B102" s="44">
        <v>300030003</v>
      </c>
      <c r="C102" s="35">
        <v>30003</v>
      </c>
      <c r="D102" s="35" t="s">
        <v>1955</v>
      </c>
      <c r="E102" s="44">
        <v>2000300030003</v>
      </c>
      <c r="F102" s="44">
        <v>1000300030003</v>
      </c>
      <c r="G102" s="35">
        <v>10</v>
      </c>
      <c r="H102" s="35">
        <v>99</v>
      </c>
      <c r="I102" s="21">
        <v>100020001001</v>
      </c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>
        <v>14</v>
      </c>
      <c r="U102" s="35"/>
      <c r="V102" s="35" t="s">
        <v>1888</v>
      </c>
      <c r="W102" s="35">
        <v>1</v>
      </c>
      <c r="X102" s="35">
        <v>300030002</v>
      </c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6"/>
    </row>
    <row r="103" spans="2:36" ht="18.75" customHeight="1">
      <c r="B103" s="44">
        <v>300030004</v>
      </c>
      <c r="C103" s="35">
        <v>30003</v>
      </c>
      <c r="D103" s="35" t="s">
        <v>1956</v>
      </c>
      <c r="E103" s="44">
        <v>2000300030004</v>
      </c>
      <c r="F103" s="44">
        <v>1000300030004</v>
      </c>
      <c r="G103" s="35">
        <v>25</v>
      </c>
      <c r="H103" s="35">
        <v>99</v>
      </c>
      <c r="I103" s="21">
        <v>100020001001</v>
      </c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>
        <v>14</v>
      </c>
      <c r="U103" s="35"/>
      <c r="V103" s="35" t="s">
        <v>1888</v>
      </c>
      <c r="W103" s="35">
        <v>1</v>
      </c>
      <c r="X103" s="35">
        <v>300030003</v>
      </c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6"/>
    </row>
    <row r="104" spans="2:36" ht="18.75" customHeight="1">
      <c r="B104" s="44">
        <v>300030005</v>
      </c>
      <c r="C104" s="35">
        <v>30003</v>
      </c>
      <c r="D104" s="35" t="s">
        <v>1957</v>
      </c>
      <c r="E104" s="44">
        <v>2000300030005</v>
      </c>
      <c r="F104" s="44">
        <v>1000300030005</v>
      </c>
      <c r="G104" s="35">
        <v>50</v>
      </c>
      <c r="H104" s="35">
        <v>99</v>
      </c>
      <c r="I104" s="21">
        <v>100020001001</v>
      </c>
      <c r="J104" s="21">
        <v>100020001001</v>
      </c>
      <c r="K104" s="35"/>
      <c r="L104" s="35"/>
      <c r="M104" s="35"/>
      <c r="N104" s="35"/>
      <c r="O104" s="35"/>
      <c r="P104" s="35"/>
      <c r="Q104" s="35"/>
      <c r="R104" s="35"/>
      <c r="S104" s="35"/>
      <c r="T104" s="35">
        <v>14</v>
      </c>
      <c r="U104" s="35"/>
      <c r="V104" s="35" t="s">
        <v>1888</v>
      </c>
      <c r="W104" s="35">
        <v>1</v>
      </c>
      <c r="X104" s="35">
        <v>300030004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6"/>
    </row>
    <row r="105" spans="2:36" ht="18.75" customHeight="1">
      <c r="B105" s="44">
        <v>300040001</v>
      </c>
      <c r="C105" s="35">
        <v>30004</v>
      </c>
      <c r="D105" s="35" t="s">
        <v>1959</v>
      </c>
      <c r="E105" s="44">
        <v>2000300040001</v>
      </c>
      <c r="F105" s="44">
        <v>1000300040001</v>
      </c>
      <c r="G105" s="35">
        <v>1</v>
      </c>
      <c r="H105" s="35">
        <v>99</v>
      </c>
      <c r="I105" s="21">
        <v>100020001001</v>
      </c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>
        <v>14</v>
      </c>
      <c r="U105" s="35"/>
      <c r="V105" s="35" t="s">
        <v>1889</v>
      </c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6"/>
    </row>
    <row r="106" spans="2:36" ht="18.75" customHeight="1">
      <c r="B106" s="44">
        <v>300040002</v>
      </c>
      <c r="C106" s="35">
        <v>30004</v>
      </c>
      <c r="D106" s="35" t="s">
        <v>1960</v>
      </c>
      <c r="E106" s="44">
        <v>2000300040002</v>
      </c>
      <c r="F106" s="44">
        <v>1000300040002</v>
      </c>
      <c r="G106" s="35">
        <v>5</v>
      </c>
      <c r="H106" s="35">
        <v>99</v>
      </c>
      <c r="I106" s="21">
        <v>100020001001</v>
      </c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>
        <v>14</v>
      </c>
      <c r="U106" s="35"/>
      <c r="V106" s="35" t="s">
        <v>1889</v>
      </c>
      <c r="W106" s="35">
        <v>1</v>
      </c>
      <c r="X106" s="35">
        <v>300040001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6"/>
    </row>
    <row r="107" spans="2:36" ht="18.75" customHeight="1">
      <c r="B107" s="44">
        <v>300040003</v>
      </c>
      <c r="C107" s="35">
        <v>30004</v>
      </c>
      <c r="D107" s="35" t="s">
        <v>1961</v>
      </c>
      <c r="E107" s="44">
        <v>2000300040003</v>
      </c>
      <c r="F107" s="44">
        <v>1000300040003</v>
      </c>
      <c r="G107" s="35">
        <v>10</v>
      </c>
      <c r="H107" s="35">
        <v>99</v>
      </c>
      <c r="I107" s="21">
        <v>100020001001</v>
      </c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>
        <v>14</v>
      </c>
      <c r="U107" s="35"/>
      <c r="V107" s="35" t="s">
        <v>1889</v>
      </c>
      <c r="W107" s="35">
        <v>1</v>
      </c>
      <c r="X107" s="35">
        <v>300040002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6"/>
    </row>
    <row r="108" spans="2:36" ht="18.75" customHeight="1">
      <c r="B108" s="44">
        <v>300040004</v>
      </c>
      <c r="C108" s="35">
        <v>30004</v>
      </c>
      <c r="D108" s="35" t="s">
        <v>1962</v>
      </c>
      <c r="E108" s="44">
        <v>2000300040004</v>
      </c>
      <c r="F108" s="44">
        <v>1000300040004</v>
      </c>
      <c r="G108" s="35">
        <v>25</v>
      </c>
      <c r="H108" s="35">
        <v>99</v>
      </c>
      <c r="I108" s="21">
        <v>100020001001</v>
      </c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>
        <v>14</v>
      </c>
      <c r="U108" s="35"/>
      <c r="V108" s="35" t="s">
        <v>1889</v>
      </c>
      <c r="W108" s="35">
        <v>1</v>
      </c>
      <c r="X108" s="35">
        <v>300040003</v>
      </c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6"/>
    </row>
    <row r="109" spans="2:36" ht="18.75" customHeight="1">
      <c r="B109" s="44">
        <v>300040005</v>
      </c>
      <c r="C109" s="35">
        <v>30004</v>
      </c>
      <c r="D109" s="35" t="s">
        <v>1963</v>
      </c>
      <c r="E109" s="44">
        <v>2000300040005</v>
      </c>
      <c r="F109" s="44">
        <v>1000300040005</v>
      </c>
      <c r="G109" s="35">
        <v>50</v>
      </c>
      <c r="H109" s="35">
        <v>99</v>
      </c>
      <c r="I109" s="21">
        <v>100020001001</v>
      </c>
      <c r="J109" s="21">
        <v>100020001001</v>
      </c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14</v>
      </c>
      <c r="U109" s="35"/>
      <c r="V109" s="35" t="s">
        <v>1889</v>
      </c>
      <c r="W109" s="35">
        <v>1</v>
      </c>
      <c r="X109" s="35">
        <v>300040004</v>
      </c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6"/>
    </row>
    <row r="110" spans="2:36" ht="18.75" customHeight="1">
      <c r="B110" s="44">
        <v>300050001</v>
      </c>
      <c r="C110" s="35">
        <v>30005</v>
      </c>
      <c r="D110" s="35" t="s">
        <v>1965</v>
      </c>
      <c r="E110" s="44">
        <v>2000300050001</v>
      </c>
      <c r="F110" s="44">
        <v>1000300050001</v>
      </c>
      <c r="G110" s="35">
        <v>1</v>
      </c>
      <c r="H110" s="35">
        <v>99</v>
      </c>
      <c r="I110" s="21">
        <v>100020001001</v>
      </c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>
        <v>14</v>
      </c>
      <c r="U110" s="35"/>
      <c r="V110" s="35" t="s">
        <v>1890</v>
      </c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6"/>
    </row>
    <row r="111" spans="2:36" ht="18.75" customHeight="1">
      <c r="B111" s="44">
        <v>300050002</v>
      </c>
      <c r="C111" s="35">
        <v>30005</v>
      </c>
      <c r="D111" s="35" t="s">
        <v>1966</v>
      </c>
      <c r="E111" s="44">
        <v>2000300050002</v>
      </c>
      <c r="F111" s="44">
        <v>1000300050002</v>
      </c>
      <c r="G111" s="35">
        <v>5</v>
      </c>
      <c r="H111" s="35">
        <v>99</v>
      </c>
      <c r="I111" s="21">
        <v>100020001001</v>
      </c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>
        <v>14</v>
      </c>
      <c r="U111" s="35"/>
      <c r="V111" s="35" t="s">
        <v>1890</v>
      </c>
      <c r="W111" s="35">
        <v>1</v>
      </c>
      <c r="X111" s="35">
        <v>300050001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6"/>
    </row>
    <row r="112" spans="2:36" ht="18.75" customHeight="1">
      <c r="B112" s="44">
        <v>300050003</v>
      </c>
      <c r="C112" s="35">
        <v>30005</v>
      </c>
      <c r="D112" s="35" t="s">
        <v>1967</v>
      </c>
      <c r="E112" s="44">
        <v>2000300050003</v>
      </c>
      <c r="F112" s="44">
        <v>1000300050003</v>
      </c>
      <c r="G112" s="35">
        <v>10</v>
      </c>
      <c r="H112" s="35">
        <v>99</v>
      </c>
      <c r="I112" s="21">
        <v>100020001001</v>
      </c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>
        <v>14</v>
      </c>
      <c r="U112" s="35"/>
      <c r="V112" s="35" t="s">
        <v>1890</v>
      </c>
      <c r="W112" s="35">
        <v>1</v>
      </c>
      <c r="X112" s="35">
        <v>300050002</v>
      </c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6"/>
    </row>
    <row r="113" spans="2:36" ht="18.75" customHeight="1">
      <c r="B113" s="44">
        <v>300050004</v>
      </c>
      <c r="C113" s="35">
        <v>30005</v>
      </c>
      <c r="D113" s="35" t="s">
        <v>1968</v>
      </c>
      <c r="E113" s="44">
        <v>2000300050004</v>
      </c>
      <c r="F113" s="44">
        <v>1000300050004</v>
      </c>
      <c r="G113" s="35">
        <v>25</v>
      </c>
      <c r="H113" s="35">
        <v>99</v>
      </c>
      <c r="I113" s="21">
        <v>100020001001</v>
      </c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>
        <v>14</v>
      </c>
      <c r="U113" s="35"/>
      <c r="V113" s="35" t="s">
        <v>1890</v>
      </c>
      <c r="W113" s="35">
        <v>1</v>
      </c>
      <c r="X113" s="35">
        <v>300050003</v>
      </c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6"/>
    </row>
    <row r="114" spans="2:36" ht="18.75" customHeight="1">
      <c r="B114" s="44">
        <v>300050005</v>
      </c>
      <c r="C114" s="35">
        <v>30005</v>
      </c>
      <c r="D114" s="35" t="s">
        <v>1969</v>
      </c>
      <c r="E114" s="44">
        <v>2000300050005</v>
      </c>
      <c r="F114" s="44">
        <v>1000300050005</v>
      </c>
      <c r="G114" s="35">
        <v>50</v>
      </c>
      <c r="H114" s="35">
        <v>99</v>
      </c>
      <c r="I114" s="21">
        <v>100020001001</v>
      </c>
      <c r="J114" s="21">
        <v>100020001001</v>
      </c>
      <c r="K114" s="35"/>
      <c r="L114" s="35"/>
      <c r="M114" s="35"/>
      <c r="N114" s="35"/>
      <c r="O114" s="35"/>
      <c r="P114" s="35"/>
      <c r="Q114" s="35"/>
      <c r="R114" s="35"/>
      <c r="S114" s="35"/>
      <c r="T114" s="35">
        <v>14</v>
      </c>
      <c r="U114" s="35"/>
      <c r="V114" s="35" t="s">
        <v>1890</v>
      </c>
      <c r="W114" s="35">
        <v>1</v>
      </c>
      <c r="X114" s="35">
        <v>300050004</v>
      </c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6"/>
    </row>
    <row r="115" spans="2:36" ht="18.75" customHeight="1">
      <c r="B115" s="44">
        <v>300060001</v>
      </c>
      <c r="C115" s="35">
        <v>30006</v>
      </c>
      <c r="D115" s="35" t="s">
        <v>1971</v>
      </c>
      <c r="E115" s="44">
        <v>2000300060001</v>
      </c>
      <c r="F115" s="44">
        <v>1000300060001</v>
      </c>
      <c r="G115" s="35">
        <v>1</v>
      </c>
      <c r="H115" s="35">
        <v>99</v>
      </c>
      <c r="I115" s="21">
        <v>100020001001</v>
      </c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>
        <v>14</v>
      </c>
      <c r="U115" s="35"/>
      <c r="V115" s="35" t="s">
        <v>1891</v>
      </c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6"/>
    </row>
    <row r="116" spans="2:36" ht="18.75" customHeight="1">
      <c r="B116" s="44">
        <v>300060002</v>
      </c>
      <c r="C116" s="35">
        <v>30006</v>
      </c>
      <c r="D116" s="35" t="s">
        <v>1972</v>
      </c>
      <c r="E116" s="44">
        <v>2000300060002</v>
      </c>
      <c r="F116" s="44">
        <v>1000300060002</v>
      </c>
      <c r="G116" s="35">
        <v>5</v>
      </c>
      <c r="H116" s="35">
        <v>99</v>
      </c>
      <c r="I116" s="21">
        <v>100020001001</v>
      </c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>
        <v>14</v>
      </c>
      <c r="U116" s="35"/>
      <c r="V116" s="35" t="s">
        <v>1891</v>
      </c>
      <c r="W116" s="35">
        <v>1</v>
      </c>
      <c r="X116" s="35">
        <v>300060001</v>
      </c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6"/>
    </row>
    <row r="117" spans="2:36" ht="18.75" customHeight="1">
      <c r="B117" s="44">
        <v>300060003</v>
      </c>
      <c r="C117" s="35">
        <v>30006</v>
      </c>
      <c r="D117" s="35" t="s">
        <v>1973</v>
      </c>
      <c r="E117" s="44">
        <v>2000300060003</v>
      </c>
      <c r="F117" s="44">
        <v>1000300060003</v>
      </c>
      <c r="G117" s="35">
        <v>10</v>
      </c>
      <c r="H117" s="35">
        <v>99</v>
      </c>
      <c r="I117" s="21">
        <v>100020001001</v>
      </c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>
        <v>14</v>
      </c>
      <c r="U117" s="35"/>
      <c r="V117" s="35" t="s">
        <v>1891</v>
      </c>
      <c r="W117" s="35">
        <v>1</v>
      </c>
      <c r="X117" s="35">
        <v>300060002</v>
      </c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6"/>
    </row>
    <row r="118" spans="2:36" ht="18.75" customHeight="1">
      <c r="B118" s="44">
        <v>300060004</v>
      </c>
      <c r="C118" s="35">
        <v>30006</v>
      </c>
      <c r="D118" s="35" t="s">
        <v>1974</v>
      </c>
      <c r="E118" s="44">
        <v>2000300060004</v>
      </c>
      <c r="F118" s="44">
        <v>1000300060004</v>
      </c>
      <c r="G118" s="35">
        <v>25</v>
      </c>
      <c r="H118" s="35">
        <v>99</v>
      </c>
      <c r="I118" s="21">
        <v>100020001001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14</v>
      </c>
      <c r="U118" s="35"/>
      <c r="V118" s="35" t="s">
        <v>1891</v>
      </c>
      <c r="W118" s="35">
        <v>1</v>
      </c>
      <c r="X118" s="35">
        <v>300060003</v>
      </c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6"/>
    </row>
    <row r="119" spans="2:36" ht="18.75" customHeight="1">
      <c r="B119" s="44">
        <v>300060005</v>
      </c>
      <c r="C119" s="35">
        <v>30006</v>
      </c>
      <c r="D119" s="35" t="s">
        <v>1975</v>
      </c>
      <c r="E119" s="44">
        <v>2000300060005</v>
      </c>
      <c r="F119" s="44">
        <v>1000300060005</v>
      </c>
      <c r="G119" s="35">
        <v>50</v>
      </c>
      <c r="H119" s="35">
        <v>99</v>
      </c>
      <c r="I119" s="21">
        <v>100020001001</v>
      </c>
      <c r="J119" s="21">
        <v>100020001001</v>
      </c>
      <c r="K119" s="35"/>
      <c r="L119" s="35"/>
      <c r="M119" s="35"/>
      <c r="N119" s="35"/>
      <c r="O119" s="35"/>
      <c r="P119" s="35"/>
      <c r="Q119" s="35"/>
      <c r="R119" s="35"/>
      <c r="S119" s="35"/>
      <c r="T119" s="35">
        <v>14</v>
      </c>
      <c r="U119" s="35"/>
      <c r="V119" s="35" t="s">
        <v>1891</v>
      </c>
      <c r="W119" s="35">
        <v>1</v>
      </c>
      <c r="X119" s="35">
        <v>300060004</v>
      </c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6"/>
    </row>
    <row r="120" spans="2:36" ht="18.75" customHeight="1">
      <c r="B120" s="44">
        <v>300070001</v>
      </c>
      <c r="C120" s="35">
        <v>30007</v>
      </c>
      <c r="D120" s="35" t="s">
        <v>1977</v>
      </c>
      <c r="E120" s="44">
        <v>2000300070001</v>
      </c>
      <c r="F120" s="44">
        <v>1000300070001</v>
      </c>
      <c r="G120" s="35">
        <v>1</v>
      </c>
      <c r="H120" s="35">
        <v>99</v>
      </c>
      <c r="I120" s="21">
        <v>100020001001</v>
      </c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>
        <v>14</v>
      </c>
      <c r="U120" s="35"/>
      <c r="V120" s="35" t="s">
        <v>1892</v>
      </c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6"/>
    </row>
    <row r="121" spans="2:36" ht="18.75" customHeight="1">
      <c r="B121" s="44">
        <v>300070002</v>
      </c>
      <c r="C121" s="35">
        <v>30007</v>
      </c>
      <c r="D121" s="35" t="s">
        <v>1978</v>
      </c>
      <c r="E121" s="44">
        <v>2000300070002</v>
      </c>
      <c r="F121" s="44">
        <v>1000300070002</v>
      </c>
      <c r="G121" s="35">
        <v>5</v>
      </c>
      <c r="H121" s="35">
        <v>99</v>
      </c>
      <c r="I121" s="21">
        <v>100020001001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14</v>
      </c>
      <c r="U121" s="35"/>
      <c r="V121" s="35" t="s">
        <v>1892</v>
      </c>
      <c r="W121" s="35">
        <v>1</v>
      </c>
      <c r="X121" s="35">
        <v>300070001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6"/>
    </row>
    <row r="122" spans="2:36" ht="18.75" customHeight="1">
      <c r="B122" s="44">
        <v>300070003</v>
      </c>
      <c r="C122" s="35">
        <v>30007</v>
      </c>
      <c r="D122" s="35" t="s">
        <v>1979</v>
      </c>
      <c r="E122" s="44">
        <v>2000300070003</v>
      </c>
      <c r="F122" s="44">
        <v>1000300070003</v>
      </c>
      <c r="G122" s="35">
        <v>10</v>
      </c>
      <c r="H122" s="35">
        <v>99</v>
      </c>
      <c r="I122" s="21">
        <v>100020001001</v>
      </c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>
        <v>14</v>
      </c>
      <c r="U122" s="35"/>
      <c r="V122" s="35" t="s">
        <v>1892</v>
      </c>
      <c r="W122" s="35">
        <v>1</v>
      </c>
      <c r="X122" s="35">
        <v>300070002</v>
      </c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6"/>
    </row>
    <row r="123" spans="2:36" ht="18.75" customHeight="1">
      <c r="B123" s="44">
        <v>300070004</v>
      </c>
      <c r="C123" s="35">
        <v>30007</v>
      </c>
      <c r="D123" s="35" t="s">
        <v>1980</v>
      </c>
      <c r="E123" s="44">
        <v>2000300070004</v>
      </c>
      <c r="F123" s="44">
        <v>1000300070004</v>
      </c>
      <c r="G123" s="35">
        <v>25</v>
      </c>
      <c r="H123" s="35">
        <v>99</v>
      </c>
      <c r="I123" s="21">
        <v>100020001001</v>
      </c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>
        <v>14</v>
      </c>
      <c r="U123" s="35"/>
      <c r="V123" s="35" t="s">
        <v>1892</v>
      </c>
      <c r="W123" s="35">
        <v>1</v>
      </c>
      <c r="X123" s="35">
        <v>300070003</v>
      </c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6"/>
    </row>
    <row r="124" spans="2:36" ht="18.75" customHeight="1">
      <c r="B124" s="44">
        <v>300070005</v>
      </c>
      <c r="C124" s="35">
        <v>30007</v>
      </c>
      <c r="D124" s="35" t="s">
        <v>1981</v>
      </c>
      <c r="E124" s="44">
        <v>2000300070005</v>
      </c>
      <c r="F124" s="44">
        <v>1000300070005</v>
      </c>
      <c r="G124" s="35">
        <v>50</v>
      </c>
      <c r="H124" s="35">
        <v>99</v>
      </c>
      <c r="I124" s="21">
        <v>100020001001</v>
      </c>
      <c r="J124" s="21">
        <v>100020001001</v>
      </c>
      <c r="K124" s="35"/>
      <c r="L124" s="35"/>
      <c r="M124" s="35"/>
      <c r="N124" s="35"/>
      <c r="O124" s="35"/>
      <c r="P124" s="35"/>
      <c r="Q124" s="35"/>
      <c r="R124" s="35"/>
      <c r="S124" s="35"/>
      <c r="T124" s="35">
        <v>14</v>
      </c>
      <c r="U124" s="35"/>
      <c r="V124" s="35" t="s">
        <v>1892</v>
      </c>
      <c r="W124" s="35">
        <v>1</v>
      </c>
      <c r="X124" s="35">
        <v>300070004</v>
      </c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6"/>
    </row>
    <row r="125" spans="2:36" ht="18.75" customHeight="1">
      <c r="B125" s="44"/>
      <c r="C125" s="35"/>
      <c r="D125" s="35"/>
      <c r="E125" s="44"/>
      <c r="F125" s="44"/>
      <c r="G125" s="35"/>
      <c r="H125" s="35"/>
      <c r="I125" s="44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6"/>
    </row>
    <row r="126" spans="2:36" ht="18.75" customHeight="1">
      <c r="B126" s="44"/>
      <c r="C126" s="35"/>
      <c r="D126" s="35"/>
      <c r="E126" s="44"/>
      <c r="F126" s="44"/>
      <c r="G126" s="35"/>
      <c r="H126" s="35"/>
      <c r="I126" s="44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6"/>
    </row>
    <row r="127" spans="2:36" ht="18.75" customHeight="1">
      <c r="B127" s="44"/>
      <c r="C127" s="35"/>
      <c r="D127" s="35"/>
      <c r="E127" s="44"/>
      <c r="F127" s="44"/>
      <c r="G127" s="35"/>
      <c r="H127" s="35"/>
      <c r="I127" s="44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6"/>
    </row>
    <row r="128" spans="2:36" ht="18.75" customHeight="1">
      <c r="B128" s="44"/>
      <c r="C128" s="35"/>
      <c r="D128" s="35"/>
      <c r="E128" s="44"/>
      <c r="F128" s="44"/>
      <c r="G128" s="35"/>
      <c r="H128" s="35"/>
      <c r="I128" s="44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6"/>
    </row>
    <row r="129" spans="2:36" ht="18.75" customHeight="1">
      <c r="B129" s="44"/>
      <c r="C129" s="35"/>
      <c r="D129" s="35"/>
      <c r="E129" s="44"/>
      <c r="F129" s="44"/>
      <c r="G129" s="35"/>
      <c r="H129" s="35"/>
      <c r="I129" s="44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6"/>
    </row>
    <row r="130" spans="2:36" ht="18.75" customHeight="1">
      <c r="B130" s="44"/>
      <c r="C130" s="35"/>
      <c r="D130" s="35"/>
      <c r="E130" s="44"/>
      <c r="F130" s="44"/>
      <c r="G130" s="35"/>
      <c r="H130" s="35"/>
      <c r="I130" s="44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6"/>
    </row>
    <row r="131" spans="2:36" ht="18.75" customHeight="1">
      <c r="B131" s="44"/>
      <c r="C131" s="35"/>
      <c r="D131" s="35"/>
      <c r="E131" s="44"/>
      <c r="F131" s="44"/>
      <c r="G131" s="35"/>
      <c r="H131" s="35"/>
      <c r="I131" s="44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6"/>
    </row>
    <row r="132" spans="2:36" ht="18.75" customHeight="1">
      <c r="B132" s="44"/>
      <c r="C132" s="35"/>
      <c r="D132" s="35"/>
      <c r="E132" s="44"/>
      <c r="F132" s="44"/>
      <c r="G132" s="35"/>
      <c r="H132" s="35"/>
      <c r="I132" s="44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6"/>
    </row>
    <row r="133" spans="2:36" ht="18.75" customHeight="1">
      <c r="B133" s="44"/>
      <c r="C133" s="35"/>
      <c r="D133" s="35"/>
      <c r="E133" s="44"/>
      <c r="F133" s="44"/>
      <c r="G133" s="35"/>
      <c r="H133" s="35"/>
      <c r="I133" s="44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6"/>
    </row>
    <row r="134" spans="2:36" ht="18.75" customHeight="1">
      <c r="B134" s="44"/>
      <c r="C134" s="35"/>
      <c r="D134" s="35"/>
      <c r="E134" s="44"/>
      <c r="F134" s="44"/>
      <c r="G134" s="35"/>
      <c r="H134" s="35"/>
      <c r="I134" s="44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6"/>
    </row>
    <row r="135" spans="2:36" ht="18.75" customHeight="1">
      <c r="B135" s="44"/>
      <c r="C135" s="35"/>
      <c r="D135" s="35"/>
      <c r="E135" s="44"/>
      <c r="F135" s="44"/>
      <c r="G135" s="35"/>
      <c r="H135" s="35"/>
      <c r="I135" s="44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6"/>
    </row>
    <row r="136" spans="2:36" ht="18.75" customHeight="1">
      <c r="B136" s="44"/>
      <c r="C136" s="35"/>
      <c r="D136" s="35"/>
      <c r="E136" s="44"/>
      <c r="F136" s="44"/>
      <c r="G136" s="35"/>
      <c r="H136" s="35"/>
      <c r="I136" s="44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6"/>
    </row>
    <row r="137" spans="2:36" ht="18.75" customHeight="1">
      <c r="B137" s="44"/>
      <c r="C137" s="35"/>
      <c r="D137" s="35"/>
      <c r="E137" s="44"/>
      <c r="F137" s="44"/>
      <c r="G137" s="35"/>
      <c r="H137" s="35"/>
      <c r="I137" s="44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6"/>
    </row>
    <row r="138" spans="2:36" ht="18.75" customHeight="1">
      <c r="B138" s="44"/>
      <c r="C138" s="35"/>
      <c r="D138" s="35"/>
      <c r="E138" s="44"/>
      <c r="F138" s="44"/>
      <c r="G138" s="35"/>
      <c r="H138" s="35"/>
      <c r="I138" s="44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6"/>
    </row>
    <row r="139" spans="2:36" ht="18.75" customHeight="1">
      <c r="B139" s="44"/>
      <c r="C139" s="35"/>
      <c r="D139" s="35"/>
      <c r="E139" s="44"/>
      <c r="F139" s="44"/>
      <c r="G139" s="35"/>
      <c r="H139" s="35"/>
      <c r="I139" s="44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6"/>
    </row>
    <row r="140" spans="2:36" ht="18.75" customHeight="1">
      <c r="B140" s="44"/>
      <c r="C140" s="35"/>
      <c r="D140" s="35"/>
      <c r="E140" s="44"/>
      <c r="F140" s="44"/>
      <c r="G140" s="35"/>
      <c r="H140" s="35"/>
      <c r="I140" s="44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6"/>
    </row>
    <row r="141" spans="2:36" ht="18.75" customHeight="1">
      <c r="B141" s="44"/>
      <c r="C141" s="35"/>
      <c r="D141" s="35"/>
      <c r="E141" s="44"/>
      <c r="F141" s="44"/>
      <c r="G141" s="35"/>
      <c r="H141" s="35"/>
      <c r="I141" s="44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6"/>
    </row>
    <row r="142" spans="2:36" ht="18.75" customHeight="1">
      <c r="B142" s="44"/>
      <c r="C142" s="35"/>
      <c r="D142" s="35"/>
      <c r="E142" s="44"/>
      <c r="F142" s="44"/>
      <c r="G142" s="35"/>
      <c r="H142" s="35"/>
      <c r="I142" s="44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6"/>
    </row>
    <row r="143" spans="2:36" ht="18.75" customHeight="1">
      <c r="B143" s="44"/>
      <c r="C143" s="35"/>
      <c r="D143" s="35"/>
      <c r="E143" s="44"/>
      <c r="F143" s="44"/>
      <c r="G143" s="35"/>
      <c r="H143" s="35"/>
      <c r="I143" s="44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6"/>
    </row>
    <row r="144" spans="2:36" ht="18.75" customHeight="1">
      <c r="B144" s="44"/>
      <c r="C144" s="35"/>
      <c r="D144" s="35"/>
      <c r="E144" s="44"/>
      <c r="F144" s="44"/>
      <c r="G144" s="35"/>
      <c r="H144" s="35"/>
      <c r="I144" s="44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6"/>
    </row>
    <row r="145" spans="2:36" ht="18.75" customHeight="1">
      <c r="B145" s="44"/>
      <c r="C145" s="35"/>
      <c r="D145" s="35"/>
      <c r="E145" s="44"/>
      <c r="F145" s="44"/>
      <c r="G145" s="35"/>
      <c r="H145" s="35"/>
      <c r="I145" s="44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6"/>
    </row>
    <row r="146" spans="2:36" ht="18.75" customHeight="1">
      <c r="B146" s="44"/>
      <c r="C146" s="35"/>
      <c r="D146" s="35"/>
      <c r="E146" s="44"/>
      <c r="F146" s="44"/>
      <c r="G146" s="35"/>
      <c r="H146" s="35"/>
      <c r="I146" s="44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6"/>
    </row>
    <row r="147" spans="2:36" ht="18.75" customHeight="1">
      <c r="B147" s="44"/>
      <c r="C147" s="35"/>
      <c r="D147" s="35"/>
      <c r="E147" s="44"/>
      <c r="F147" s="44"/>
      <c r="G147" s="35"/>
      <c r="H147" s="35"/>
      <c r="I147" s="44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6"/>
    </row>
    <row r="148" spans="2:36" ht="18.75" customHeight="1">
      <c r="B148" s="44"/>
      <c r="C148" s="35"/>
      <c r="D148" s="35"/>
      <c r="E148" s="44"/>
      <c r="F148" s="44"/>
      <c r="G148" s="35"/>
      <c r="H148" s="35"/>
      <c r="I148" s="44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6"/>
    </row>
    <row r="149" spans="2:36" ht="18.75" customHeight="1">
      <c r="B149" s="44"/>
      <c r="C149" s="35"/>
      <c r="D149" s="35"/>
      <c r="E149" s="44"/>
      <c r="F149" s="44"/>
      <c r="G149" s="35"/>
      <c r="H149" s="35"/>
      <c r="I149" s="44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6"/>
    </row>
    <row r="150" spans="2:36" ht="18.75" customHeight="1">
      <c r="B150" s="44"/>
      <c r="C150" s="35"/>
      <c r="D150" s="35"/>
      <c r="E150" s="44"/>
      <c r="F150" s="44"/>
      <c r="G150" s="35"/>
      <c r="H150" s="35"/>
      <c r="I150" s="44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6"/>
    </row>
    <row r="151" spans="2:36" ht="18.75" customHeight="1">
      <c r="B151" s="44"/>
      <c r="C151" s="35"/>
      <c r="D151" s="35"/>
      <c r="E151" s="44"/>
      <c r="F151" s="44"/>
      <c r="G151" s="35"/>
      <c r="H151" s="35"/>
      <c r="I151" s="44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6"/>
    </row>
    <row r="152" spans="2:36" ht="18.75" customHeight="1">
      <c r="B152" s="44"/>
      <c r="C152" s="35"/>
      <c r="D152" s="35"/>
      <c r="E152" s="44"/>
      <c r="F152" s="44"/>
      <c r="G152" s="35"/>
      <c r="H152" s="35"/>
      <c r="I152" s="44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6"/>
    </row>
    <row r="153" spans="2:36" ht="18.75" customHeight="1">
      <c r="B153" s="44"/>
      <c r="C153" s="35"/>
      <c r="D153" s="35"/>
      <c r="E153" s="44"/>
      <c r="F153" s="44"/>
      <c r="G153" s="35"/>
      <c r="H153" s="35"/>
      <c r="I153" s="44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6"/>
    </row>
    <row r="154" spans="2:36" ht="18.75" customHeight="1">
      <c r="B154" s="44"/>
      <c r="C154" s="35"/>
      <c r="D154" s="35"/>
      <c r="E154" s="44"/>
      <c r="F154" s="44"/>
      <c r="G154" s="35"/>
      <c r="H154" s="35"/>
      <c r="I154" s="44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6"/>
    </row>
    <row r="155" spans="2:36" ht="18.75" customHeight="1">
      <c r="B155" s="44"/>
      <c r="C155" s="35"/>
      <c r="D155" s="35"/>
      <c r="E155" s="44"/>
      <c r="F155" s="44"/>
      <c r="G155" s="35"/>
      <c r="H155" s="35"/>
      <c r="I155" s="44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6"/>
    </row>
    <row r="156" spans="2:36" ht="18.75" customHeight="1">
      <c r="B156" s="44"/>
      <c r="C156" s="35"/>
      <c r="D156" s="35"/>
      <c r="E156" s="44"/>
      <c r="F156" s="44"/>
      <c r="G156" s="35"/>
      <c r="H156" s="35"/>
      <c r="I156" s="44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6"/>
    </row>
    <row r="157" spans="2:36" ht="18.75" customHeight="1">
      <c r="B157" s="44"/>
      <c r="C157" s="35"/>
      <c r="D157" s="35"/>
      <c r="E157" s="44"/>
      <c r="F157" s="44"/>
      <c r="G157" s="35"/>
      <c r="H157" s="35"/>
      <c r="I157" s="44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6"/>
    </row>
    <row r="158" spans="2:36" ht="18.75" customHeight="1">
      <c r="B158" s="44"/>
      <c r="C158" s="35"/>
      <c r="D158" s="35"/>
      <c r="E158" s="44"/>
      <c r="F158" s="44"/>
      <c r="G158" s="35"/>
      <c r="H158" s="35"/>
      <c r="I158" s="44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6"/>
    </row>
    <row r="159" spans="2:36" ht="18.75" customHeight="1">
      <c r="B159" s="44"/>
      <c r="C159" s="35"/>
      <c r="D159" s="35"/>
      <c r="E159" s="44"/>
      <c r="F159" s="44"/>
      <c r="G159" s="35"/>
      <c r="H159" s="35"/>
      <c r="I159" s="44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6"/>
    </row>
    <row r="160" spans="2:36" ht="18.75" customHeight="1">
      <c r="B160" s="44"/>
      <c r="C160" s="35"/>
      <c r="D160" s="35"/>
      <c r="E160" s="44"/>
      <c r="F160" s="44"/>
      <c r="G160" s="35"/>
      <c r="H160" s="35"/>
      <c r="I160" s="44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6"/>
    </row>
    <row r="161" spans="2:36" ht="18.75" customHeight="1">
      <c r="B161" s="44"/>
      <c r="C161" s="35"/>
      <c r="D161" s="35"/>
      <c r="E161" s="44"/>
      <c r="F161" s="44"/>
      <c r="G161" s="35"/>
      <c r="H161" s="35"/>
      <c r="I161" s="44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6"/>
    </row>
    <row r="162" spans="2:36" ht="18.75" customHeight="1">
      <c r="B162" s="44"/>
      <c r="C162" s="35"/>
      <c r="D162" s="35"/>
      <c r="E162" s="44"/>
      <c r="F162" s="44"/>
      <c r="G162" s="35"/>
      <c r="H162" s="35"/>
      <c r="I162" s="44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6"/>
    </row>
    <row r="163" spans="2:36" ht="18.75" customHeight="1">
      <c r="B163" s="44"/>
      <c r="C163" s="35"/>
      <c r="D163" s="35"/>
      <c r="E163" s="44"/>
      <c r="F163" s="44"/>
      <c r="G163" s="35"/>
      <c r="H163" s="35"/>
      <c r="I163" s="44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6"/>
    </row>
    <row r="164" spans="2:36" ht="18.75" customHeight="1">
      <c r="B164" s="44"/>
      <c r="C164" s="35"/>
      <c r="D164" s="35"/>
      <c r="E164" s="44"/>
      <c r="F164" s="44"/>
      <c r="G164" s="35"/>
      <c r="H164" s="35"/>
      <c r="I164" s="44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6"/>
    </row>
    <row r="165" spans="2:36" ht="18.75" customHeight="1">
      <c r="B165" s="44"/>
      <c r="C165" s="35"/>
      <c r="D165" s="35"/>
      <c r="E165" s="44"/>
      <c r="F165" s="44"/>
      <c r="G165" s="35"/>
      <c r="H165" s="35"/>
      <c r="I165" s="44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6"/>
    </row>
    <row r="166" spans="2:36" ht="18.75" customHeight="1">
      <c r="B166" s="44"/>
      <c r="C166" s="35"/>
      <c r="D166" s="35"/>
      <c r="E166" s="44"/>
      <c r="F166" s="44"/>
      <c r="G166" s="35"/>
      <c r="H166" s="35"/>
      <c r="I166" s="44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6"/>
    </row>
    <row r="167" spans="2:36" ht="18.75" customHeight="1">
      <c r="B167" s="44"/>
      <c r="C167" s="35"/>
      <c r="D167" s="35"/>
      <c r="E167" s="44"/>
      <c r="F167" s="44"/>
      <c r="G167" s="35"/>
      <c r="H167" s="35"/>
      <c r="I167" s="44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6"/>
    </row>
    <row r="168" spans="2:36" ht="18.75" customHeight="1">
      <c r="B168" s="44"/>
      <c r="C168" s="35"/>
      <c r="D168" s="35"/>
      <c r="E168" s="44"/>
      <c r="F168" s="44"/>
      <c r="G168" s="35"/>
      <c r="H168" s="35"/>
      <c r="I168" s="44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6"/>
    </row>
    <row r="169" spans="2:36" ht="18.75" customHeight="1">
      <c r="B169" s="44"/>
      <c r="C169" s="35"/>
      <c r="D169" s="35"/>
      <c r="E169" s="44"/>
      <c r="F169" s="44"/>
      <c r="G169" s="35"/>
      <c r="H169" s="35"/>
      <c r="I169" s="44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6"/>
    </row>
    <row r="170" spans="2:36" ht="18.75" customHeight="1">
      <c r="B170" s="44"/>
      <c r="C170" s="35"/>
      <c r="D170" s="35"/>
      <c r="E170" s="44"/>
      <c r="F170" s="44"/>
      <c r="G170" s="35"/>
      <c r="H170" s="35"/>
      <c r="I170" s="44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6"/>
    </row>
    <row r="171" spans="2:36" ht="18.75" customHeight="1">
      <c r="B171" s="44"/>
      <c r="C171" s="35"/>
      <c r="D171" s="35"/>
      <c r="E171" s="44"/>
      <c r="F171" s="44"/>
      <c r="G171" s="35"/>
      <c r="H171" s="35"/>
      <c r="I171" s="44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6"/>
    </row>
    <row r="172" spans="2:36" ht="18.75" customHeight="1">
      <c r="B172" s="44"/>
      <c r="C172" s="35"/>
      <c r="D172" s="35"/>
      <c r="E172" s="44"/>
      <c r="F172" s="44"/>
      <c r="G172" s="35"/>
      <c r="H172" s="35"/>
      <c r="I172" s="44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6"/>
    </row>
    <row r="173" spans="2:36" ht="18.75" customHeight="1">
      <c r="B173" s="44"/>
      <c r="C173" s="35"/>
      <c r="D173" s="35"/>
      <c r="E173" s="44"/>
      <c r="F173" s="44"/>
      <c r="G173" s="35"/>
      <c r="H173" s="35"/>
      <c r="I173" s="44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6"/>
    </row>
    <row r="174" spans="2:36" ht="18.75" customHeight="1">
      <c r="B174" s="44"/>
      <c r="C174" s="35"/>
      <c r="D174" s="35"/>
      <c r="E174" s="44"/>
      <c r="F174" s="44"/>
      <c r="G174" s="35"/>
      <c r="H174" s="35"/>
      <c r="I174" s="44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6"/>
    </row>
    <row r="175" spans="2:36" ht="18.75" customHeight="1">
      <c r="B175" s="44"/>
      <c r="C175" s="35"/>
      <c r="D175" s="35"/>
      <c r="E175" s="44"/>
      <c r="F175" s="44"/>
      <c r="G175" s="35"/>
      <c r="H175" s="35"/>
      <c r="I175" s="44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6"/>
    </row>
    <row r="176" spans="2:36" ht="18.75" customHeight="1">
      <c r="B176" s="44"/>
      <c r="C176" s="35"/>
      <c r="D176" s="35"/>
      <c r="E176" s="44"/>
      <c r="F176" s="44"/>
      <c r="G176" s="35"/>
      <c r="H176" s="35"/>
      <c r="I176" s="44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6"/>
    </row>
    <row r="177" spans="2:36" ht="18.75" customHeight="1">
      <c r="B177" s="44"/>
      <c r="C177" s="35"/>
      <c r="D177" s="35"/>
      <c r="E177" s="44"/>
      <c r="F177" s="44"/>
      <c r="G177" s="35"/>
      <c r="H177" s="35"/>
      <c r="I177" s="44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6"/>
    </row>
    <row r="178" spans="2:36" ht="18.75" customHeight="1">
      <c r="B178" s="44"/>
      <c r="C178" s="35"/>
      <c r="D178" s="35"/>
      <c r="E178" s="44"/>
      <c r="F178" s="44"/>
      <c r="G178" s="35"/>
      <c r="H178" s="35"/>
      <c r="I178" s="44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6"/>
    </row>
    <row r="179" spans="2:36" ht="18.75" customHeight="1">
      <c r="B179" s="44"/>
      <c r="C179" s="35"/>
      <c r="D179" s="35"/>
      <c r="E179" s="44"/>
      <c r="F179" s="44"/>
      <c r="G179" s="35"/>
      <c r="H179" s="35"/>
      <c r="I179" s="44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6"/>
    </row>
    <row r="180" spans="2:36" ht="18.75" customHeight="1">
      <c r="B180" s="44"/>
      <c r="C180" s="35"/>
      <c r="D180" s="35"/>
      <c r="E180" s="44"/>
      <c r="F180" s="44"/>
      <c r="G180" s="35"/>
      <c r="H180" s="35"/>
      <c r="I180" s="44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6"/>
    </row>
    <row r="181" spans="2:36" ht="18.75" customHeight="1">
      <c r="B181" s="44"/>
      <c r="C181" s="35"/>
      <c r="D181" s="35"/>
      <c r="E181" s="44"/>
      <c r="F181" s="44"/>
      <c r="G181" s="35"/>
      <c r="H181" s="35"/>
      <c r="I181" s="44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6"/>
    </row>
    <row r="182" spans="2:36" ht="18.75" customHeight="1">
      <c r="B182" s="44"/>
      <c r="C182" s="35"/>
      <c r="D182" s="35"/>
      <c r="E182" s="44"/>
      <c r="F182" s="44"/>
      <c r="G182" s="35"/>
      <c r="H182" s="35"/>
      <c r="I182" s="44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6"/>
    </row>
    <row r="183" spans="2:36" ht="18.75" customHeight="1">
      <c r="B183" s="44"/>
      <c r="C183" s="35"/>
      <c r="D183" s="35"/>
      <c r="E183" s="44"/>
      <c r="F183" s="44"/>
      <c r="G183" s="35"/>
      <c r="H183" s="35"/>
      <c r="I183" s="44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6"/>
    </row>
    <row r="184" spans="2:36" ht="18.75" customHeight="1">
      <c r="B184" s="44"/>
      <c r="C184" s="35"/>
      <c r="D184" s="35"/>
      <c r="E184" s="44"/>
      <c r="F184" s="44"/>
      <c r="G184" s="35"/>
      <c r="H184" s="35"/>
      <c r="I184" s="44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6"/>
    </row>
    <row r="185" spans="2:36" ht="18.75" customHeight="1">
      <c r="B185" s="44"/>
      <c r="C185" s="35"/>
      <c r="D185" s="35"/>
      <c r="E185" s="44"/>
      <c r="F185" s="44"/>
      <c r="G185" s="35"/>
      <c r="H185" s="35"/>
      <c r="I185" s="44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6"/>
    </row>
    <row r="186" spans="2:36" ht="18.75" customHeight="1">
      <c r="B186" s="44"/>
      <c r="C186" s="35"/>
      <c r="D186" s="35"/>
      <c r="E186" s="44"/>
      <c r="F186" s="44"/>
      <c r="G186" s="35"/>
      <c r="H186" s="35"/>
      <c r="I186" s="44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6"/>
    </row>
    <row r="187" spans="2:36" ht="18.75" customHeight="1">
      <c r="B187" s="44"/>
      <c r="C187" s="35"/>
      <c r="D187" s="35"/>
      <c r="E187" s="44"/>
      <c r="F187" s="44"/>
      <c r="G187" s="35"/>
      <c r="H187" s="35"/>
      <c r="I187" s="44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6"/>
    </row>
    <row r="188" spans="2:36" ht="18.75" customHeight="1">
      <c r="B188" s="44"/>
      <c r="C188" s="35"/>
      <c r="D188" s="35"/>
      <c r="E188" s="44"/>
      <c r="F188" s="44"/>
      <c r="G188" s="35"/>
      <c r="H188" s="35"/>
      <c r="I188" s="44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6"/>
    </row>
    <row r="189" spans="2:36" ht="18.75" customHeight="1">
      <c r="B189" s="44"/>
      <c r="C189" s="35"/>
      <c r="D189" s="35"/>
      <c r="E189" s="44"/>
      <c r="F189" s="44"/>
      <c r="G189" s="35"/>
      <c r="H189" s="35"/>
      <c r="I189" s="44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6"/>
    </row>
    <row r="190" spans="2:36" ht="18.75" customHeight="1">
      <c r="B190" s="44"/>
      <c r="C190" s="35"/>
      <c r="D190" s="35"/>
      <c r="E190" s="44"/>
      <c r="F190" s="44"/>
      <c r="G190" s="35"/>
      <c r="H190" s="35"/>
      <c r="I190" s="44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6"/>
    </row>
    <row r="191" spans="2:36" ht="18.75" customHeight="1">
      <c r="B191" s="44"/>
      <c r="C191" s="35"/>
      <c r="D191" s="35"/>
      <c r="E191" s="44"/>
      <c r="F191" s="44"/>
      <c r="G191" s="35"/>
      <c r="H191" s="35"/>
      <c r="I191" s="44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6"/>
    </row>
    <row r="192" spans="2:36" ht="18.75" customHeight="1">
      <c r="B192" s="44"/>
      <c r="C192" s="35"/>
      <c r="D192" s="35"/>
      <c r="E192" s="44"/>
      <c r="F192" s="44"/>
      <c r="G192" s="35"/>
      <c r="H192" s="35"/>
      <c r="I192" s="44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6"/>
    </row>
    <row r="193" spans="2:36" ht="18.75" customHeight="1">
      <c r="B193" s="44"/>
      <c r="C193" s="35"/>
      <c r="D193" s="35"/>
      <c r="E193" s="44"/>
      <c r="F193" s="44"/>
      <c r="G193" s="35"/>
      <c r="H193" s="35"/>
      <c r="I193" s="44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6"/>
    </row>
    <row r="194" spans="2:36" ht="18.75" customHeight="1">
      <c r="B194" s="44"/>
      <c r="C194" s="35"/>
      <c r="D194" s="35"/>
      <c r="E194" s="44"/>
      <c r="F194" s="44"/>
      <c r="G194" s="35"/>
      <c r="H194" s="35"/>
      <c r="I194" s="44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6"/>
    </row>
    <row r="195" spans="2:36" ht="18.75" customHeight="1">
      <c r="B195" s="44"/>
      <c r="C195" s="35"/>
      <c r="D195" s="35"/>
      <c r="E195" s="44"/>
      <c r="F195" s="44"/>
      <c r="G195" s="35"/>
      <c r="H195" s="35"/>
      <c r="I195" s="44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6"/>
    </row>
    <row r="196" spans="2:36" ht="18.75" customHeight="1">
      <c r="B196" s="44"/>
      <c r="C196" s="35"/>
      <c r="D196" s="35"/>
      <c r="E196" s="44"/>
      <c r="F196" s="44"/>
      <c r="G196" s="35"/>
      <c r="H196" s="35"/>
      <c r="I196" s="44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6"/>
    </row>
    <row r="197" spans="2:36" ht="18.75" customHeight="1">
      <c r="B197" s="44"/>
      <c r="C197" s="35"/>
      <c r="D197" s="35"/>
      <c r="E197" s="44"/>
      <c r="F197" s="44"/>
      <c r="G197" s="35"/>
      <c r="H197" s="35"/>
      <c r="I197" s="44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6"/>
    </row>
    <row r="198" spans="2:36" ht="18.75" customHeight="1">
      <c r="B198" s="44"/>
      <c r="C198" s="35"/>
      <c r="D198" s="35"/>
      <c r="E198" s="44"/>
      <c r="F198" s="44"/>
      <c r="G198" s="35"/>
      <c r="H198" s="35"/>
      <c r="I198" s="44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6"/>
    </row>
    <row r="199" spans="2:36" ht="18.75" customHeight="1">
      <c r="B199" s="44"/>
      <c r="C199" s="35"/>
      <c r="D199" s="35"/>
      <c r="E199" s="44"/>
      <c r="F199" s="44"/>
      <c r="G199" s="35"/>
      <c r="H199" s="35"/>
      <c r="I199" s="44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6"/>
    </row>
    <row r="200" spans="2:36" ht="18.75" customHeight="1">
      <c r="B200" s="44"/>
      <c r="C200" s="35"/>
      <c r="D200" s="35"/>
      <c r="E200" s="44"/>
      <c r="F200" s="44"/>
      <c r="G200" s="35"/>
      <c r="H200" s="35"/>
      <c r="I200" s="44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6"/>
    </row>
    <row r="201" spans="2:36" ht="18.75" customHeight="1">
      <c r="B201" s="44"/>
      <c r="C201" s="35"/>
      <c r="D201" s="35"/>
      <c r="E201" s="44"/>
      <c r="F201" s="44"/>
      <c r="G201" s="35"/>
      <c r="H201" s="35"/>
      <c r="I201" s="44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6"/>
    </row>
    <row r="202" spans="2:36" ht="18.75" customHeight="1"/>
    <row r="203" spans="2:36" ht="18.75" customHeight="1"/>
    <row r="204" spans="2:36" ht="18.75" customHeight="1"/>
    <row r="205" spans="2:36" ht="18.75" customHeight="1"/>
    <row r="206" spans="2:36" ht="18.75" customHeight="1"/>
    <row r="207" spans="2:36" ht="18.75" customHeight="1"/>
    <row r="208" spans="2:36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5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226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234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227</v>
      </c>
      <c r="F7" s="4" t="s">
        <v>227</v>
      </c>
      <c r="G7" s="4" t="s">
        <v>227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174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175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176</v>
      </c>
      <c r="D8" s="6" t="s">
        <v>177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179</v>
      </c>
      <c r="E4" s="3" t="s">
        <v>180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6" t="s">
        <v>181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 t="s">
        <v>182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 t="s">
        <v>183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184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185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186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187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188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189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190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191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192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193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194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195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196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197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198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199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200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724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725</v>
      </c>
      <c r="F4" s="3" t="s">
        <v>727</v>
      </c>
      <c r="G4" s="3" t="s">
        <v>273</v>
      </c>
      <c r="H4" s="3" t="s">
        <v>264</v>
      </c>
      <c r="I4" s="3" t="s">
        <v>730</v>
      </c>
      <c r="J4" s="3" t="s">
        <v>732</v>
      </c>
      <c r="K4" s="3" t="s">
        <v>735</v>
      </c>
      <c r="L4" s="3" t="s">
        <v>737</v>
      </c>
      <c r="M4" s="3" t="s">
        <v>738</v>
      </c>
      <c r="N4" s="3" t="s">
        <v>892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227</v>
      </c>
      <c r="H7" s="4" t="s">
        <v>227</v>
      </c>
      <c r="I7" s="4" t="s">
        <v>720</v>
      </c>
      <c r="J7" s="4" t="s">
        <v>227</v>
      </c>
      <c r="K7" s="4" t="s">
        <v>227</v>
      </c>
      <c r="L7" s="4" t="s">
        <v>227</v>
      </c>
      <c r="M7" s="4" t="s">
        <v>227</v>
      </c>
      <c r="N7" s="4" t="s">
        <v>227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726</v>
      </c>
      <c r="F8" s="9" t="s">
        <v>728</v>
      </c>
      <c r="G8" s="9" t="s">
        <v>925</v>
      </c>
      <c r="H8" s="5" t="s">
        <v>729</v>
      </c>
      <c r="I8" s="6" t="s">
        <v>733</v>
      </c>
      <c r="J8" s="6" t="s">
        <v>734</v>
      </c>
      <c r="K8" s="6" t="s">
        <v>736</v>
      </c>
      <c r="L8" s="6" t="s">
        <v>740</v>
      </c>
      <c r="M8" s="6" t="s">
        <v>739</v>
      </c>
      <c r="N8" s="6" t="s">
        <v>893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7" t="s">
        <v>12</v>
      </c>
      <c r="B9" s="5"/>
      <c r="C9" s="6"/>
      <c r="D9" s="6"/>
      <c r="E9" s="6" t="s">
        <v>858</v>
      </c>
      <c r="F9" s="6" t="s">
        <v>731</v>
      </c>
      <c r="G9" s="6" t="s">
        <v>889</v>
      </c>
      <c r="H9" s="6" t="s">
        <v>926</v>
      </c>
      <c r="I9" s="6"/>
      <c r="J9" s="6" t="s">
        <v>768</v>
      </c>
      <c r="K9" s="6"/>
      <c r="L9" s="6" t="s">
        <v>731</v>
      </c>
      <c r="M9" s="6" t="s">
        <v>741</v>
      </c>
      <c r="N9" s="6" t="s">
        <v>857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8" t="s">
        <v>153</v>
      </c>
      <c r="B10" s="27">
        <v>1</v>
      </c>
      <c r="C10" s="28" t="s">
        <v>742</v>
      </c>
      <c r="D10" s="28" t="s">
        <v>743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8"/>
      <c r="B11" s="29">
        <v>2</v>
      </c>
      <c r="C11" s="28" t="s">
        <v>744</v>
      </c>
      <c r="D11" s="28" t="s">
        <v>756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8"/>
      <c r="B12" s="29">
        <v>3</v>
      </c>
      <c r="C12" s="28" t="s">
        <v>769</v>
      </c>
      <c r="D12" s="28" t="s">
        <v>770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745</v>
      </c>
      <c r="D13" s="28" t="s">
        <v>757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746</v>
      </c>
      <c r="D14" s="28" t="s">
        <v>758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747</v>
      </c>
      <c r="D15" s="28" t="s">
        <v>759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748</v>
      </c>
      <c r="D16" s="28" t="s">
        <v>760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749</v>
      </c>
      <c r="D17" s="28" t="s">
        <v>761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750</v>
      </c>
      <c r="D18" s="28" t="s">
        <v>762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751</v>
      </c>
      <c r="D19" s="28" t="s">
        <v>763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771</v>
      </c>
      <c r="D20" s="28" t="s">
        <v>772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752</v>
      </c>
      <c r="D21" s="28" t="s">
        <v>764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753</v>
      </c>
      <c r="D22" s="28" t="s">
        <v>765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754</v>
      </c>
      <c r="D23" s="28" t="s">
        <v>766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755</v>
      </c>
      <c r="D24" s="28" t="s">
        <v>767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879</v>
      </c>
      <c r="D25" s="28" t="s">
        <v>787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773</v>
      </c>
      <c r="D26" s="28" t="s">
        <v>788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774</v>
      </c>
      <c r="D27" s="28" t="s">
        <v>789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775</v>
      </c>
      <c r="D28" s="28" t="s">
        <v>790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776</v>
      </c>
      <c r="D29" s="28" t="s">
        <v>791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777</v>
      </c>
      <c r="D30" s="28" t="s">
        <v>792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778</v>
      </c>
      <c r="D31" s="28" t="s">
        <v>793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779</v>
      </c>
      <c r="D32" s="28" t="s">
        <v>794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780</v>
      </c>
      <c r="D33" s="28" t="s">
        <v>795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781</v>
      </c>
      <c r="D34" s="28" t="s">
        <v>796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782</v>
      </c>
      <c r="D35" s="28" t="s">
        <v>797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783</v>
      </c>
      <c r="D36" s="28" t="s">
        <v>798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784</v>
      </c>
      <c r="D37" s="28" t="s">
        <v>799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785</v>
      </c>
      <c r="D38" s="28" t="s">
        <v>800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786</v>
      </c>
      <c r="D39" s="28" t="s">
        <v>801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803</v>
      </c>
      <c r="D40" s="29" t="s">
        <v>810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802</v>
      </c>
      <c r="D41" s="29" t="s">
        <v>811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804</v>
      </c>
      <c r="D42" s="7" t="s">
        <v>812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805</v>
      </c>
      <c r="D43" s="7" t="s">
        <v>813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806</v>
      </c>
      <c r="D44" s="7" t="s">
        <v>814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807</v>
      </c>
      <c r="D45" s="7" t="s">
        <v>815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808</v>
      </c>
      <c r="D46" s="7" t="s">
        <v>816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809</v>
      </c>
      <c r="D47" s="7" t="s">
        <v>817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818</v>
      </c>
      <c r="D48" s="7" t="s">
        <v>819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821</v>
      </c>
      <c r="D49" s="7" t="s">
        <v>820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822</v>
      </c>
      <c r="D50" s="7" t="s">
        <v>859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823</v>
      </c>
      <c r="D51" s="7" t="s">
        <v>860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824</v>
      </c>
      <c r="D52" s="7" t="s">
        <v>861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825</v>
      </c>
      <c r="D53" s="7" t="s">
        <v>862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826</v>
      </c>
      <c r="D54" s="7" t="s">
        <v>863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827</v>
      </c>
      <c r="D55" s="7" t="s">
        <v>864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828</v>
      </c>
      <c r="D56" s="7" t="s">
        <v>865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880</v>
      </c>
      <c r="D57" s="7" t="s">
        <v>829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881</v>
      </c>
      <c r="D58" s="7" t="s">
        <v>830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831</v>
      </c>
      <c r="D59" s="7" t="s">
        <v>839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832</v>
      </c>
      <c r="D60" s="7" t="s">
        <v>840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833</v>
      </c>
      <c r="D61" s="7" t="s">
        <v>841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834</v>
      </c>
      <c r="D62" s="7" t="s">
        <v>842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835</v>
      </c>
      <c r="D63" s="7" t="s">
        <v>843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836</v>
      </c>
      <c r="D64" s="7" t="s">
        <v>844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837</v>
      </c>
      <c r="D65" s="7" t="s">
        <v>845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838</v>
      </c>
      <c r="D66" s="7" t="s">
        <v>846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847</v>
      </c>
      <c r="D67" s="7" t="s">
        <v>848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849</v>
      </c>
      <c r="D68" s="7" t="s">
        <v>853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850</v>
      </c>
      <c r="D69" s="7" t="s">
        <v>854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851</v>
      </c>
      <c r="D70" s="7" t="s">
        <v>855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852</v>
      </c>
      <c r="D71" s="7" t="s">
        <v>856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882</v>
      </c>
      <c r="D72" s="7" t="s">
        <v>886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883</v>
      </c>
      <c r="D73" s="7" t="s">
        <v>886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884</v>
      </c>
      <c r="D74" s="7" t="s">
        <v>886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885</v>
      </c>
      <c r="D75" s="7" t="s">
        <v>887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957</v>
      </c>
      <c r="D76" s="7" t="s">
        <v>956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958</v>
      </c>
      <c r="D77" s="7" t="s">
        <v>961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959</v>
      </c>
      <c r="D78" s="7" t="s">
        <v>962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960</v>
      </c>
      <c r="D79" s="7" t="s">
        <v>963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workbookViewId="0"/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7" t="s">
        <v>0</v>
      </c>
      <c r="B2" s="7" t="s">
        <v>257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974</v>
      </c>
      <c r="G4" s="3" t="s">
        <v>278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7" t="s">
        <v>5</v>
      </c>
      <c r="B6" s="3"/>
      <c r="C6" s="3"/>
      <c r="D6" s="3"/>
      <c r="E6" s="3"/>
      <c r="F6" s="3"/>
      <c r="G6" s="3" t="s">
        <v>261</v>
      </c>
      <c r="H6" s="3" t="s">
        <v>264</v>
      </c>
      <c r="I6" s="3" t="s">
        <v>950</v>
      </c>
      <c r="J6" s="3" t="s">
        <v>273</v>
      </c>
      <c r="K6" s="3" t="s">
        <v>711</v>
      </c>
      <c r="L6" s="3" t="s">
        <v>259</v>
      </c>
      <c r="M6" s="3" t="s">
        <v>260</v>
      </c>
      <c r="N6" s="3" t="s">
        <v>262</v>
      </c>
      <c r="O6" s="3" t="s">
        <v>713</v>
      </c>
      <c r="P6" s="3" t="s">
        <v>715</v>
      </c>
      <c r="Q6" s="3" t="s">
        <v>717</v>
      </c>
      <c r="R6" s="3" t="s">
        <v>282</v>
      </c>
      <c r="S6" s="3" t="s">
        <v>722</v>
      </c>
      <c r="T6" s="3" t="s">
        <v>263</v>
      </c>
      <c r="U6" s="3" t="s">
        <v>719</v>
      </c>
      <c r="V6" s="3" t="s">
        <v>261</v>
      </c>
      <c r="W6" s="3" t="s">
        <v>264</v>
      </c>
      <c r="X6" s="3" t="s">
        <v>273</v>
      </c>
      <c r="Y6" s="3" t="s">
        <v>711</v>
      </c>
      <c r="Z6" s="3" t="s">
        <v>259</v>
      </c>
      <c r="AA6" s="3" t="s">
        <v>260</v>
      </c>
      <c r="AB6" s="3" t="s">
        <v>262</v>
      </c>
      <c r="AC6" s="3" t="s">
        <v>713</v>
      </c>
      <c r="AD6" s="3" t="s">
        <v>715</v>
      </c>
      <c r="AE6" s="3" t="s">
        <v>717</v>
      </c>
      <c r="AF6" s="3" t="s">
        <v>282</v>
      </c>
      <c r="AG6" s="3" t="s">
        <v>722</v>
      </c>
      <c r="AH6" s="3" t="s">
        <v>263</v>
      </c>
      <c r="AI6" s="3" t="s">
        <v>719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7</v>
      </c>
      <c r="H7" s="4" t="s">
        <v>20</v>
      </c>
      <c r="I7" s="4" t="s">
        <v>951</v>
      </c>
      <c r="J7" s="4" t="s">
        <v>227</v>
      </c>
      <c r="K7" s="4" t="s">
        <v>227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227</v>
      </c>
      <c r="Q7" s="4" t="s">
        <v>227</v>
      </c>
      <c r="R7" s="4" t="s">
        <v>227</v>
      </c>
      <c r="S7" s="4" t="s">
        <v>227</v>
      </c>
      <c r="T7" s="4" t="s">
        <v>7</v>
      </c>
      <c r="U7" s="4" t="s">
        <v>720</v>
      </c>
      <c r="V7" s="4" t="s">
        <v>7</v>
      </c>
      <c r="W7" s="4" t="s">
        <v>20</v>
      </c>
      <c r="X7" s="4" t="s">
        <v>227</v>
      </c>
      <c r="Y7" s="4" t="s">
        <v>227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227</v>
      </c>
      <c r="AE7" s="4" t="s">
        <v>227</v>
      </c>
      <c r="AF7" s="4" t="s">
        <v>227</v>
      </c>
      <c r="AG7" s="4" t="s">
        <v>227</v>
      </c>
      <c r="AH7" s="4" t="s">
        <v>7</v>
      </c>
      <c r="AI7" s="4" t="s">
        <v>720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7" t="s">
        <v>10</v>
      </c>
      <c r="B8" s="5" t="s">
        <v>1520</v>
      </c>
      <c r="C8" s="5" t="s">
        <v>265</v>
      </c>
      <c r="D8" s="6" t="s">
        <v>266</v>
      </c>
      <c r="E8" s="6" t="s">
        <v>274</v>
      </c>
      <c r="F8" s="6" t="s">
        <v>975</v>
      </c>
      <c r="G8" s="5" t="s">
        <v>270</v>
      </c>
      <c r="H8" s="6" t="s">
        <v>267</v>
      </c>
      <c r="I8" s="6" t="s">
        <v>952</v>
      </c>
      <c r="J8" s="6" t="s">
        <v>274</v>
      </c>
      <c r="K8" s="6" t="s">
        <v>712</v>
      </c>
      <c r="L8" s="6" t="s">
        <v>268</v>
      </c>
      <c r="M8" s="5" t="s">
        <v>269</v>
      </c>
      <c r="N8" s="6" t="s">
        <v>271</v>
      </c>
      <c r="O8" s="6" t="s">
        <v>714</v>
      </c>
      <c r="P8" s="6" t="s">
        <v>716</v>
      </c>
      <c r="Q8" s="6" t="s">
        <v>718</v>
      </c>
      <c r="R8" s="6" t="s">
        <v>283</v>
      </c>
      <c r="S8" s="6" t="s">
        <v>723</v>
      </c>
      <c r="T8" s="6" t="s">
        <v>272</v>
      </c>
      <c r="U8" s="6" t="s">
        <v>721</v>
      </c>
      <c r="V8" s="5" t="s">
        <v>270</v>
      </c>
      <c r="W8" s="6" t="s">
        <v>267</v>
      </c>
      <c r="X8" s="6" t="s">
        <v>274</v>
      </c>
      <c r="Y8" s="6" t="s">
        <v>712</v>
      </c>
      <c r="Z8" s="6" t="s">
        <v>268</v>
      </c>
      <c r="AA8" s="5" t="s">
        <v>269</v>
      </c>
      <c r="AB8" s="6" t="s">
        <v>271</v>
      </c>
      <c r="AC8" s="6" t="s">
        <v>714</v>
      </c>
      <c r="AD8" s="6" t="s">
        <v>716</v>
      </c>
      <c r="AE8" s="6" t="s">
        <v>718</v>
      </c>
      <c r="AF8" s="6" t="s">
        <v>283</v>
      </c>
      <c r="AG8" s="6" t="s">
        <v>723</v>
      </c>
      <c r="AH8" s="6" t="s">
        <v>272</v>
      </c>
      <c r="AI8" s="6" t="s">
        <v>721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7" t="s">
        <v>12</v>
      </c>
      <c r="B9" s="6" t="s">
        <v>1379</v>
      </c>
      <c r="C9" s="6"/>
      <c r="D9" s="6"/>
      <c r="E9" s="6" t="s">
        <v>889</v>
      </c>
      <c r="F9" s="6" t="s">
        <v>976</v>
      </c>
      <c r="G9" s="6" t="s">
        <v>857</v>
      </c>
      <c r="H9" s="6" t="s">
        <v>932</v>
      </c>
      <c r="I9" s="6"/>
      <c r="J9" s="6" t="s">
        <v>1369</v>
      </c>
      <c r="K9" s="6"/>
      <c r="L9" s="6" t="s">
        <v>977</v>
      </c>
      <c r="M9" s="6" t="s">
        <v>973</v>
      </c>
      <c r="N9" s="6"/>
      <c r="O9" s="6"/>
      <c r="P9" s="6" t="s">
        <v>973</v>
      </c>
      <c r="Q9" s="6"/>
      <c r="R9" s="5"/>
      <c r="S9" s="5"/>
      <c r="T9" s="6" t="s">
        <v>276</v>
      </c>
      <c r="U9" s="5"/>
      <c r="V9" s="6" t="s">
        <v>857</v>
      </c>
      <c r="W9" s="6" t="s">
        <v>932</v>
      </c>
      <c r="X9" s="6" t="s">
        <v>1369</v>
      </c>
      <c r="Y9" s="6"/>
      <c r="Z9" s="6" t="s">
        <v>888</v>
      </c>
      <c r="AA9" s="6" t="s">
        <v>973</v>
      </c>
      <c r="AB9" s="6"/>
      <c r="AC9" s="6"/>
      <c r="AD9" s="6" t="s">
        <v>973</v>
      </c>
      <c r="AE9" s="6"/>
      <c r="AF9" s="5"/>
      <c r="AG9" s="5"/>
      <c r="AH9" s="6" t="s">
        <v>276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8" t="s">
        <v>153</v>
      </c>
      <c r="B10" s="5">
        <v>100010001</v>
      </c>
      <c r="C10" s="6" t="s">
        <v>435</v>
      </c>
      <c r="D10" s="6" t="s">
        <v>504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8"/>
      <c r="B11" s="5">
        <v>100010002</v>
      </c>
      <c r="C11" s="6" t="s">
        <v>1380</v>
      </c>
      <c r="D11" s="6" t="s">
        <v>504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8"/>
      <c r="B12" s="5">
        <v>100010003</v>
      </c>
      <c r="C12" s="6" t="s">
        <v>1381</v>
      </c>
      <c r="D12" s="6" t="s">
        <v>504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8"/>
      <c r="B13" s="7">
        <v>200010001</v>
      </c>
      <c r="C13" s="6" t="s">
        <v>436</v>
      </c>
      <c r="D13" s="10" t="s">
        <v>890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8"/>
      <c r="B14" s="7">
        <v>200010002</v>
      </c>
      <c r="C14" s="6" t="s">
        <v>1382</v>
      </c>
      <c r="D14" s="10" t="s">
        <v>890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8"/>
      <c r="B15" s="7">
        <v>200010003</v>
      </c>
      <c r="C15" s="6" t="s">
        <v>1383</v>
      </c>
      <c r="D15" s="10" t="s">
        <v>890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437</v>
      </c>
      <c r="D16" s="10" t="s">
        <v>505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1384</v>
      </c>
      <c r="D17" s="10" t="s">
        <v>505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1452</v>
      </c>
      <c r="D18" s="10" t="s">
        <v>505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438</v>
      </c>
      <c r="D19" s="10" t="s">
        <v>506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1385</v>
      </c>
      <c r="D20" s="10" t="s">
        <v>506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1453</v>
      </c>
      <c r="D21" s="10" t="s">
        <v>506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439</v>
      </c>
      <c r="D22" s="10" t="s">
        <v>891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1386</v>
      </c>
      <c r="D23" s="10" t="s">
        <v>891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1454</v>
      </c>
      <c r="D24" s="10" t="s">
        <v>891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440</v>
      </c>
      <c r="D25" s="10" t="s">
        <v>896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1387</v>
      </c>
      <c r="D26" s="10" t="s">
        <v>896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1455</v>
      </c>
      <c r="D27" s="10" t="s">
        <v>896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441</v>
      </c>
      <c r="D28" s="10" t="s">
        <v>897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1388</v>
      </c>
      <c r="D29" s="10" t="s">
        <v>897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1456</v>
      </c>
      <c r="D30" s="10" t="s">
        <v>897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442</v>
      </c>
      <c r="D31" s="6" t="s">
        <v>504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1389</v>
      </c>
      <c r="D32" s="6" t="s">
        <v>504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1457</v>
      </c>
      <c r="D33" s="6" t="s">
        <v>504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443</v>
      </c>
      <c r="D34" s="10" t="s">
        <v>917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1390</v>
      </c>
      <c r="D35" s="10" t="s">
        <v>917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1458</v>
      </c>
      <c r="D36" s="10" t="s">
        <v>917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444</v>
      </c>
      <c r="D37" s="10" t="s">
        <v>505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1391</v>
      </c>
      <c r="D38" s="10" t="s">
        <v>505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1459</v>
      </c>
      <c r="D39" s="10" t="s">
        <v>505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445</v>
      </c>
      <c r="D40" s="10" t="s">
        <v>506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1392</v>
      </c>
      <c r="D41" s="10" t="s">
        <v>506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1460</v>
      </c>
      <c r="D42" s="10" t="s">
        <v>506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446</v>
      </c>
      <c r="D43" s="10" t="s">
        <v>508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1393</v>
      </c>
      <c r="D44" s="10" t="s">
        <v>508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1461</v>
      </c>
      <c r="D45" s="10" t="s">
        <v>508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447</v>
      </c>
      <c r="D46" s="10" t="s">
        <v>507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1394</v>
      </c>
      <c r="D47" s="10" t="s">
        <v>507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1462</v>
      </c>
      <c r="D48" s="10" t="s">
        <v>507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448</v>
      </c>
      <c r="D49" s="10" t="s">
        <v>898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1395</v>
      </c>
      <c r="D50" s="10" t="s">
        <v>898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1463</v>
      </c>
      <c r="D51" s="10" t="s">
        <v>898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449</v>
      </c>
      <c r="D52" s="10" t="s">
        <v>509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1396</v>
      </c>
      <c r="D53" s="10" t="s">
        <v>509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1464</v>
      </c>
      <c r="D54" s="10" t="s">
        <v>509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450</v>
      </c>
      <c r="D55" s="10" t="s">
        <v>899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1397</v>
      </c>
      <c r="D56" s="10" t="s">
        <v>899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1465</v>
      </c>
      <c r="D57" s="10" t="s">
        <v>899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451</v>
      </c>
      <c r="D58" s="10" t="s">
        <v>510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1398</v>
      </c>
      <c r="D59" s="10" t="s">
        <v>510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1466</v>
      </c>
      <c r="D60" s="10" t="s">
        <v>510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452</v>
      </c>
      <c r="D61" s="10" t="s">
        <v>511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1399</v>
      </c>
      <c r="D62" s="10" t="s">
        <v>511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1467</v>
      </c>
      <c r="D63" s="10" t="s">
        <v>511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6"/>
      <c r="B64" s="5">
        <v>1900010001</v>
      </c>
      <c r="C64" s="7" t="s">
        <v>929</v>
      </c>
      <c r="D64" s="10" t="s">
        <v>927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1400</v>
      </c>
      <c r="D65" s="10" t="s">
        <v>927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1468</v>
      </c>
      <c r="D66" s="10" t="s">
        <v>927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453</v>
      </c>
      <c r="D67" s="10" t="s">
        <v>928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1401</v>
      </c>
      <c r="D68" s="10" t="s">
        <v>928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1469</v>
      </c>
      <c r="D69" s="10" t="s">
        <v>928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454</v>
      </c>
      <c r="D70" s="10" t="s">
        <v>930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1402</v>
      </c>
      <c r="D71" s="10" t="s">
        <v>930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1470</v>
      </c>
      <c r="D72" s="10" t="s">
        <v>930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455</v>
      </c>
      <c r="D73" s="10" t="s">
        <v>931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1403</v>
      </c>
      <c r="D74" s="10" t="s">
        <v>931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1471</v>
      </c>
      <c r="D75" s="10" t="s">
        <v>931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456</v>
      </c>
      <c r="D76" s="10" t="s">
        <v>505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1404</v>
      </c>
      <c r="D77" s="10" t="s">
        <v>505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1472</v>
      </c>
      <c r="D78" s="10" t="s">
        <v>505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457</v>
      </c>
      <c r="D79" s="10" t="s">
        <v>512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1405</v>
      </c>
      <c r="D80" s="10" t="s">
        <v>512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1473</v>
      </c>
      <c r="D81" s="10" t="s">
        <v>512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458</v>
      </c>
      <c r="D82" s="10" t="s">
        <v>513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1406</v>
      </c>
      <c r="D83" s="10" t="s">
        <v>513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1474</v>
      </c>
      <c r="D84" s="10" t="s">
        <v>513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459</v>
      </c>
      <c r="D85" s="10" t="s">
        <v>514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1407</v>
      </c>
      <c r="D86" s="10" t="s">
        <v>514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1475</v>
      </c>
      <c r="D87" s="10" t="s">
        <v>514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460</v>
      </c>
      <c r="D88" s="10" t="s">
        <v>900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1408</v>
      </c>
      <c r="D89" s="10" t="s">
        <v>900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1476</v>
      </c>
      <c r="D90" s="10" t="s">
        <v>900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461</v>
      </c>
      <c r="D91" s="10" t="s">
        <v>901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1409</v>
      </c>
      <c r="D92" s="10" t="s">
        <v>901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1477</v>
      </c>
      <c r="D93" s="10" t="s">
        <v>901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462</v>
      </c>
      <c r="D94" s="10" t="s">
        <v>515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1410</v>
      </c>
      <c r="D95" s="10" t="s">
        <v>515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1478</v>
      </c>
      <c r="D96" s="10" t="s">
        <v>515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463</v>
      </c>
      <c r="D97" s="10" t="s">
        <v>902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1411</v>
      </c>
      <c r="D98" s="10" t="s">
        <v>902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1479</v>
      </c>
      <c r="D99" s="10" t="s">
        <v>902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464</v>
      </c>
      <c r="D100" s="10" t="s">
        <v>903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1412</v>
      </c>
      <c r="D101" s="10" t="s">
        <v>903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1480</v>
      </c>
      <c r="D102" s="10" t="s">
        <v>903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465</v>
      </c>
      <c r="D103" s="10" t="s">
        <v>953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1413</v>
      </c>
      <c r="D104" s="10" t="s">
        <v>953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1481</v>
      </c>
      <c r="D105" s="10" t="s">
        <v>953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466</v>
      </c>
      <c r="D106" s="10" t="s">
        <v>954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1414</v>
      </c>
      <c r="D107" s="10" t="s">
        <v>954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1482</v>
      </c>
      <c r="D108" s="10" t="s">
        <v>954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467</v>
      </c>
      <c r="D109" s="10" t="s">
        <v>964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1415</v>
      </c>
      <c r="D110" s="10" t="s">
        <v>964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1483</v>
      </c>
      <c r="D111" s="10" t="s">
        <v>964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468</v>
      </c>
      <c r="D112" s="10" t="s">
        <v>904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1416</v>
      </c>
      <c r="D113" s="10" t="s">
        <v>904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1484</v>
      </c>
      <c r="D114" s="10" t="s">
        <v>904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469</v>
      </c>
      <c r="D115" s="10" t="s">
        <v>955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1417</v>
      </c>
      <c r="D116" s="10" t="s">
        <v>955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1485</v>
      </c>
      <c r="D117" s="10" t="s">
        <v>955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470</v>
      </c>
      <c r="D118" s="10" t="s">
        <v>606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1418</v>
      </c>
      <c r="D119" s="10" t="s">
        <v>606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1486</v>
      </c>
      <c r="D120" s="10" t="s">
        <v>606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471</v>
      </c>
      <c r="D121" s="10" t="s">
        <v>905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1419</v>
      </c>
      <c r="D122" s="10" t="s">
        <v>905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1487</v>
      </c>
      <c r="D123" s="10" t="s">
        <v>905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472</v>
      </c>
      <c r="D124" s="10" t="s">
        <v>678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1420</v>
      </c>
      <c r="D125" s="10" t="s">
        <v>678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1488</v>
      </c>
      <c r="D126" s="10" t="s">
        <v>678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473</v>
      </c>
      <c r="D127" s="10" t="s">
        <v>906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1421</v>
      </c>
      <c r="D128" s="10" t="s">
        <v>906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1489</v>
      </c>
      <c r="D129" s="10" t="s">
        <v>906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474</v>
      </c>
      <c r="D130" s="10" t="s">
        <v>681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1422</v>
      </c>
      <c r="D131" s="10" t="s">
        <v>681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6"/>
      <c r="B132" s="5">
        <v>4100010003</v>
      </c>
      <c r="C132" s="7" t="s">
        <v>1490</v>
      </c>
      <c r="D132" s="10" t="s">
        <v>681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6"/>
      <c r="B133" s="5">
        <v>4200010001</v>
      </c>
      <c r="C133" s="7" t="s">
        <v>475</v>
      </c>
      <c r="D133" s="10" t="s">
        <v>682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6"/>
      <c r="B134" s="5">
        <v>4200010002</v>
      </c>
      <c r="C134" s="7" t="s">
        <v>1423</v>
      </c>
      <c r="D134" s="10" t="s">
        <v>682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6"/>
      <c r="B135" s="5">
        <v>4200010003</v>
      </c>
      <c r="C135" s="7" t="s">
        <v>1491</v>
      </c>
      <c r="D135" s="10" t="s">
        <v>682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6"/>
      <c r="B136" s="5">
        <v>4300010001</v>
      </c>
      <c r="C136" s="7" t="s">
        <v>476</v>
      </c>
      <c r="D136" s="10" t="s">
        <v>683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6"/>
      <c r="B137" s="5">
        <v>4300010002</v>
      </c>
      <c r="C137" s="7" t="s">
        <v>1424</v>
      </c>
      <c r="D137" s="10" t="s">
        <v>683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6"/>
      <c r="B138" s="5">
        <v>4300010003</v>
      </c>
      <c r="C138" s="7" t="s">
        <v>1492</v>
      </c>
      <c r="D138" s="10" t="s">
        <v>683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6"/>
      <c r="B139" s="7">
        <v>4400010001</v>
      </c>
      <c r="C139" s="7" t="s">
        <v>477</v>
      </c>
      <c r="D139" s="10" t="s">
        <v>684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6"/>
      <c r="B140" s="5">
        <v>4400010002</v>
      </c>
      <c r="C140" s="7" t="s">
        <v>1425</v>
      </c>
      <c r="D140" s="10" t="s">
        <v>684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6"/>
      <c r="B141" s="5">
        <v>4400010003</v>
      </c>
      <c r="C141" s="7" t="s">
        <v>1493</v>
      </c>
      <c r="D141" s="10" t="s">
        <v>684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6"/>
      <c r="B142" s="5">
        <v>4500010001</v>
      </c>
      <c r="C142" s="7" t="s">
        <v>478</v>
      </c>
      <c r="D142" s="10" t="s">
        <v>685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6"/>
      <c r="B143" s="5">
        <v>4500010002</v>
      </c>
      <c r="C143" s="7" t="s">
        <v>1426</v>
      </c>
      <c r="D143" s="10" t="s">
        <v>685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6"/>
      <c r="B144" s="5">
        <v>4500010003</v>
      </c>
      <c r="C144" s="7" t="s">
        <v>1494</v>
      </c>
      <c r="D144" s="10" t="s">
        <v>685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479</v>
      </c>
      <c r="D145" s="10" t="s">
        <v>686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1427</v>
      </c>
      <c r="D146" s="10" t="s">
        <v>686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1495</v>
      </c>
      <c r="D147" s="10" t="s">
        <v>686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480</v>
      </c>
      <c r="D148" s="10" t="s">
        <v>687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1428</v>
      </c>
      <c r="D149" s="10" t="s">
        <v>687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1496</v>
      </c>
      <c r="D150" s="10" t="s">
        <v>687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481</v>
      </c>
      <c r="D151" s="10" t="s">
        <v>688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1429</v>
      </c>
      <c r="D152" s="10" t="s">
        <v>688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1497</v>
      </c>
      <c r="D153" s="10" t="s">
        <v>688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482</v>
      </c>
      <c r="D154" s="10" t="s">
        <v>689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1430</v>
      </c>
      <c r="D155" s="10" t="s">
        <v>689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1498</v>
      </c>
      <c r="D156" s="10" t="s">
        <v>689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483</v>
      </c>
      <c r="D157" s="10" t="s">
        <v>690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1431</v>
      </c>
      <c r="D158" s="10" t="s">
        <v>690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1499</v>
      </c>
      <c r="D159" s="10" t="s">
        <v>690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484</v>
      </c>
      <c r="D160" s="10" t="s">
        <v>691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1432</v>
      </c>
      <c r="D161" s="10" t="s">
        <v>691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1500</v>
      </c>
      <c r="D162" s="10" t="s">
        <v>691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485</v>
      </c>
      <c r="D163" s="10" t="s">
        <v>692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1433</v>
      </c>
      <c r="D164" s="10" t="s">
        <v>692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1501</v>
      </c>
      <c r="D165" s="10" t="s">
        <v>692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486</v>
      </c>
      <c r="D166" s="10" t="s">
        <v>693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1434</v>
      </c>
      <c r="D167" s="10" t="s">
        <v>693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1502</v>
      </c>
      <c r="D168" s="10" t="s">
        <v>693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487</v>
      </c>
      <c r="D169" s="10" t="s">
        <v>694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1435</v>
      </c>
      <c r="D170" s="10" t="s">
        <v>694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1503</v>
      </c>
      <c r="D171" s="10" t="s">
        <v>694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488</v>
      </c>
      <c r="D172" s="10" t="s">
        <v>695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1436</v>
      </c>
      <c r="D173" s="10" t="s">
        <v>695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1504</v>
      </c>
      <c r="D174" s="10" t="s">
        <v>695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489</v>
      </c>
      <c r="D175" s="10" t="s">
        <v>696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1437</v>
      </c>
      <c r="D176" s="10" t="s">
        <v>696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1505</v>
      </c>
      <c r="D177" s="10" t="s">
        <v>696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490</v>
      </c>
      <c r="D178" s="10" t="s">
        <v>697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1438</v>
      </c>
      <c r="D179" s="10" t="s">
        <v>697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1506</v>
      </c>
      <c r="D180" s="10" t="s">
        <v>697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491</v>
      </c>
      <c r="D181" s="10" t="s">
        <v>698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1439</v>
      </c>
      <c r="D182" s="10" t="s">
        <v>698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1507</v>
      </c>
      <c r="D183" s="10" t="s">
        <v>698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492</v>
      </c>
      <c r="D184" s="10" t="s">
        <v>699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1440</v>
      </c>
      <c r="D185" s="10" t="s">
        <v>699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1508</v>
      </c>
      <c r="D186" s="10" t="s">
        <v>699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493</v>
      </c>
      <c r="D187" s="10" t="s">
        <v>700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1441</v>
      </c>
      <c r="D188" s="10" t="s">
        <v>700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1509</v>
      </c>
      <c r="D189" s="10" t="s">
        <v>700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494</v>
      </c>
      <c r="D190" s="10" t="s">
        <v>701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1442</v>
      </c>
      <c r="D191" s="10" t="s">
        <v>701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</row>
    <row r="192" spans="1:46" ht="18.75" customHeight="1">
      <c r="B192" s="5">
        <v>6100010003</v>
      </c>
      <c r="C192" s="7" t="s">
        <v>1510</v>
      </c>
      <c r="D192" s="10" t="s">
        <v>701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</row>
    <row r="193" spans="1:35" ht="18.75" customHeight="1">
      <c r="B193" s="7">
        <v>6200010001</v>
      </c>
      <c r="C193" s="7" t="s">
        <v>495</v>
      </c>
      <c r="D193" s="10" t="s">
        <v>702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1443</v>
      </c>
      <c r="D194" s="10" t="s">
        <v>702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</row>
    <row r="195" spans="1:35" ht="18.75" customHeight="1">
      <c r="B195" s="5">
        <v>6200010003</v>
      </c>
      <c r="C195" s="7" t="s">
        <v>1511</v>
      </c>
      <c r="D195" s="10" t="s">
        <v>702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</row>
    <row r="196" spans="1:35" ht="18.75" customHeight="1">
      <c r="B196" s="5">
        <v>6300010001</v>
      </c>
      <c r="C196" s="7" t="s">
        <v>496</v>
      </c>
      <c r="D196" s="10" t="s">
        <v>703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1444</v>
      </c>
      <c r="D197" s="10" t="s">
        <v>703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</row>
    <row r="198" spans="1:35" ht="18.75" customHeight="1">
      <c r="B198" s="5">
        <v>6300010003</v>
      </c>
      <c r="C198" s="7" t="s">
        <v>1512</v>
      </c>
      <c r="D198" s="10" t="s">
        <v>703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497</v>
      </c>
      <c r="D199" s="10" t="s">
        <v>704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6"/>
      <c r="B200" s="5">
        <v>6400010002</v>
      </c>
      <c r="C200" s="7" t="s">
        <v>1445</v>
      </c>
      <c r="D200" s="10" t="s">
        <v>704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6"/>
      <c r="B201" s="5">
        <v>6400010003</v>
      </c>
      <c r="C201" s="7" t="s">
        <v>1513</v>
      </c>
      <c r="D201" s="10" t="s">
        <v>704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6"/>
      <c r="B202" s="7">
        <v>6500010001</v>
      </c>
      <c r="C202" s="7" t="s">
        <v>498</v>
      </c>
      <c r="D202" s="10" t="s">
        <v>705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6"/>
      <c r="B203" s="5">
        <v>6500010002</v>
      </c>
      <c r="C203" s="7" t="s">
        <v>1446</v>
      </c>
      <c r="D203" s="10" t="s">
        <v>705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6"/>
      <c r="B204" s="5">
        <v>6500010003</v>
      </c>
      <c r="C204" s="7" t="s">
        <v>1514</v>
      </c>
      <c r="D204" s="10" t="s">
        <v>705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6"/>
      <c r="B205" s="5">
        <v>6600010001</v>
      </c>
      <c r="C205" s="7" t="s">
        <v>499</v>
      </c>
      <c r="D205" s="10" t="s">
        <v>706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6"/>
      <c r="B206" s="5">
        <v>6600010002</v>
      </c>
      <c r="C206" s="7" t="s">
        <v>1447</v>
      </c>
      <c r="D206" s="10" t="s">
        <v>706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6"/>
      <c r="B207" s="5">
        <v>6600010003</v>
      </c>
      <c r="C207" s="7" t="s">
        <v>1515</v>
      </c>
      <c r="D207" s="10" t="s">
        <v>706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6"/>
      <c r="B208" s="5">
        <v>6700010001</v>
      </c>
      <c r="C208" s="7" t="s">
        <v>500</v>
      </c>
      <c r="D208" s="10" t="s">
        <v>707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6"/>
      <c r="B209" s="5">
        <v>6700010002</v>
      </c>
      <c r="C209" s="7" t="s">
        <v>1448</v>
      </c>
      <c r="D209" s="10" t="s">
        <v>707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6"/>
      <c r="B210" s="5">
        <v>6700010003</v>
      </c>
      <c r="C210" s="7" t="s">
        <v>1516</v>
      </c>
      <c r="D210" s="10" t="s">
        <v>707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6"/>
      <c r="B211" s="7">
        <v>6800010001</v>
      </c>
      <c r="C211" s="7" t="s">
        <v>501</v>
      </c>
      <c r="D211" s="10" t="s">
        <v>708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1449</v>
      </c>
      <c r="D212" s="10" t="s">
        <v>708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1517</v>
      </c>
      <c r="D213" s="10" t="s">
        <v>708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502</v>
      </c>
      <c r="D214" s="10" t="s">
        <v>709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1450</v>
      </c>
      <c r="D215" s="10" t="s">
        <v>709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1518</v>
      </c>
      <c r="D216" s="10" t="s">
        <v>709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503</v>
      </c>
      <c r="D217" s="10" t="s">
        <v>710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1451</v>
      </c>
      <c r="D218" s="10" t="s">
        <v>710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1519</v>
      </c>
      <c r="D219" s="10" t="s">
        <v>710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277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7" t="s">
        <v>12</v>
      </c>
      <c r="B9" s="6" t="s">
        <v>1521</v>
      </c>
      <c r="C9" s="6"/>
      <c r="D9" s="6"/>
      <c r="E9" s="6" t="s">
        <v>281</v>
      </c>
      <c r="F9" s="6" t="s">
        <v>275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5"/>
      <c r="AP9" s="5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362</v>
      </c>
      <c r="D10" s="6" t="s">
        <v>599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1522</v>
      </c>
      <c r="D11" s="6" t="s">
        <v>599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1592</v>
      </c>
      <c r="D12" s="6" t="s">
        <v>599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363</v>
      </c>
      <c r="D13" s="7" t="s">
        <v>978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1523</v>
      </c>
      <c r="D14" s="7" t="s">
        <v>978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1593</v>
      </c>
      <c r="D15" s="7" t="s">
        <v>978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364</v>
      </c>
      <c r="D16" s="7" t="s">
        <v>358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1524</v>
      </c>
      <c r="D17" s="7" t="s">
        <v>358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1594</v>
      </c>
      <c r="D18" s="7" t="s">
        <v>358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365</v>
      </c>
      <c r="D19" s="7" t="s">
        <v>894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1525</v>
      </c>
      <c r="D20" s="7" t="s">
        <v>894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1595</v>
      </c>
      <c r="D21" s="7" t="s">
        <v>894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366</v>
      </c>
      <c r="D22" s="7" t="s">
        <v>600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1526</v>
      </c>
      <c r="D23" s="7" t="s">
        <v>600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1596</v>
      </c>
      <c r="D24" s="7" t="s">
        <v>600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367</v>
      </c>
      <c r="D25" s="7" t="s">
        <v>918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1527</v>
      </c>
      <c r="D26" s="7" t="s">
        <v>918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1597</v>
      </c>
      <c r="D27" s="7" t="s">
        <v>918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368</v>
      </c>
      <c r="D28" s="7" t="s">
        <v>919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1528</v>
      </c>
      <c r="D29" s="7" t="s">
        <v>919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1598</v>
      </c>
      <c r="D30" s="7" t="s">
        <v>919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369</v>
      </c>
      <c r="D31" s="6" t="s">
        <v>920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1529</v>
      </c>
      <c r="D32" s="6" t="s">
        <v>920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1599</v>
      </c>
      <c r="D33" s="6" t="s">
        <v>920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370</v>
      </c>
      <c r="D34" s="7" t="s">
        <v>921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1530</v>
      </c>
      <c r="D35" s="7" t="s">
        <v>921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1600</v>
      </c>
      <c r="D36" s="7" t="s">
        <v>921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371</v>
      </c>
      <c r="D37" s="7" t="s">
        <v>358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1531</v>
      </c>
      <c r="D38" s="7" t="s">
        <v>358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1601</v>
      </c>
      <c r="D39" s="7" t="s">
        <v>358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372</v>
      </c>
      <c r="D40" s="7" t="s">
        <v>359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1532</v>
      </c>
      <c r="D41" s="7" t="s">
        <v>359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1602</v>
      </c>
      <c r="D42" s="7" t="s">
        <v>359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373</v>
      </c>
      <c r="D43" s="7" t="s">
        <v>600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1533</v>
      </c>
      <c r="D44" s="7" t="s">
        <v>600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1603</v>
      </c>
      <c r="D45" s="7" t="s">
        <v>600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374</v>
      </c>
      <c r="D46" s="7" t="s">
        <v>360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1534</v>
      </c>
      <c r="D47" s="7" t="s">
        <v>360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1604</v>
      </c>
      <c r="D48" s="7" t="s">
        <v>360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375</v>
      </c>
      <c r="D49" s="7" t="s">
        <v>361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1535</v>
      </c>
      <c r="D50" s="7" t="s">
        <v>361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1605</v>
      </c>
      <c r="D51" s="7" t="s">
        <v>361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376</v>
      </c>
      <c r="D52" s="7" t="s">
        <v>432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1536</v>
      </c>
      <c r="D53" s="7" t="s">
        <v>432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1606</v>
      </c>
      <c r="D54" s="7" t="s">
        <v>432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377</v>
      </c>
      <c r="D55" s="7" t="s">
        <v>933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1537</v>
      </c>
      <c r="D56" s="7" t="s">
        <v>933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1607</v>
      </c>
      <c r="D57" s="7" t="s">
        <v>933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378</v>
      </c>
      <c r="D58" s="7" t="s">
        <v>934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1538</v>
      </c>
      <c r="D59" s="7" t="s">
        <v>934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1608</v>
      </c>
      <c r="D60" s="7" t="s">
        <v>934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379</v>
      </c>
      <c r="D61" s="7" t="s">
        <v>935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1539</v>
      </c>
      <c r="D62" s="7" t="s">
        <v>935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1609</v>
      </c>
      <c r="D63" s="7" t="s">
        <v>935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380</v>
      </c>
      <c r="D64" s="7" t="s">
        <v>433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1540</v>
      </c>
      <c r="D65" s="7" t="s">
        <v>433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1610</v>
      </c>
      <c r="D66" s="7" t="s">
        <v>433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381</v>
      </c>
      <c r="D67" s="7" t="s">
        <v>936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1541</v>
      </c>
      <c r="D68" s="7" t="s">
        <v>936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1611</v>
      </c>
      <c r="D69" s="7" t="s">
        <v>936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382</v>
      </c>
      <c r="D70" s="7" t="s">
        <v>937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1542</v>
      </c>
      <c r="D71" s="7" t="s">
        <v>937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1612</v>
      </c>
      <c r="D72" s="7" t="s">
        <v>937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383</v>
      </c>
      <c r="D73" s="10" t="s">
        <v>434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1543</v>
      </c>
      <c r="D74" s="10" t="s">
        <v>434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1613</v>
      </c>
      <c r="D75" s="10" t="s">
        <v>434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384</v>
      </c>
      <c r="D76" s="10" t="s">
        <v>938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1544</v>
      </c>
      <c r="D77" s="10" t="s">
        <v>938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1614</v>
      </c>
      <c r="D78" s="10" t="s">
        <v>938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385</v>
      </c>
      <c r="D79" s="10" t="s">
        <v>939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1545</v>
      </c>
      <c r="D80" s="10" t="s">
        <v>939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1615</v>
      </c>
      <c r="D81" s="10" t="s">
        <v>939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386</v>
      </c>
      <c r="D82" s="10" t="s">
        <v>940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1546</v>
      </c>
      <c r="D83" s="10" t="s">
        <v>940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1616</v>
      </c>
      <c r="D84" s="10" t="s">
        <v>940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387</v>
      </c>
      <c r="D85" s="10" t="s">
        <v>934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1547</v>
      </c>
      <c r="D86" s="10" t="s">
        <v>934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1617</v>
      </c>
      <c r="D87" s="10" t="s">
        <v>934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388</v>
      </c>
      <c r="D88" s="10" t="s">
        <v>941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1548</v>
      </c>
      <c r="D89" s="10" t="s">
        <v>941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1618</v>
      </c>
      <c r="D90" s="10" t="s">
        <v>941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389</v>
      </c>
      <c r="D91" s="10" t="s">
        <v>433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1549</v>
      </c>
      <c r="D92" s="10" t="s">
        <v>433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1619</v>
      </c>
      <c r="D93" s="10" t="s">
        <v>433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390</v>
      </c>
      <c r="D94" s="10" t="s">
        <v>942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1550</v>
      </c>
      <c r="D95" s="10" t="s">
        <v>942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1620</v>
      </c>
      <c r="D96" s="10" t="s">
        <v>942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391</v>
      </c>
      <c r="D97" s="10" t="s">
        <v>943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1551</v>
      </c>
      <c r="D98" s="10" t="s">
        <v>943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1621</v>
      </c>
      <c r="D99" s="10" t="s">
        <v>943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392</v>
      </c>
      <c r="D100" s="10" t="s">
        <v>602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1552</v>
      </c>
      <c r="D101" s="10" t="s">
        <v>602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1622</v>
      </c>
      <c r="D102" s="10" t="s">
        <v>602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393</v>
      </c>
      <c r="D103" s="10" t="s">
        <v>965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1553</v>
      </c>
      <c r="D104" s="10" t="s">
        <v>965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1623</v>
      </c>
      <c r="D105" s="10" t="s">
        <v>965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394</v>
      </c>
      <c r="D106" s="10" t="s">
        <v>966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1554</v>
      </c>
      <c r="D107" s="10" t="s">
        <v>966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1624</v>
      </c>
      <c r="D108" s="10" t="s">
        <v>966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395</v>
      </c>
      <c r="D109" s="10" t="s">
        <v>967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1555</v>
      </c>
      <c r="D110" s="10" t="s">
        <v>967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1625</v>
      </c>
      <c r="D111" s="10" t="s">
        <v>967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396</v>
      </c>
      <c r="D112" s="10" t="s">
        <v>604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1556</v>
      </c>
      <c r="D113" s="10" t="s">
        <v>604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1626</v>
      </c>
      <c r="D114" s="10" t="s">
        <v>604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397</v>
      </c>
      <c r="D115" s="10" t="s">
        <v>608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1557</v>
      </c>
      <c r="D116" s="10" t="s">
        <v>608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1627</v>
      </c>
      <c r="D117" s="10" t="s">
        <v>608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398</v>
      </c>
      <c r="D118" s="10" t="s">
        <v>607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1558</v>
      </c>
      <c r="D119" s="10" t="s">
        <v>607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1628</v>
      </c>
      <c r="D120" s="10" t="s">
        <v>607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399</v>
      </c>
      <c r="D121" s="10" t="s">
        <v>968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1559</v>
      </c>
      <c r="D122" s="10" t="s">
        <v>968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1629</v>
      </c>
      <c r="D123" s="10" t="s">
        <v>968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400</v>
      </c>
      <c r="D124" s="10" t="s">
        <v>679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1560</v>
      </c>
      <c r="D125" s="10" t="s">
        <v>679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1630</v>
      </c>
      <c r="D126" s="10" t="s">
        <v>679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401</v>
      </c>
      <c r="D127" s="10" t="s">
        <v>969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1561</v>
      </c>
      <c r="D128" s="10" t="s">
        <v>969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1631</v>
      </c>
      <c r="D129" s="10" t="s">
        <v>969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402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1562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1632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403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1563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1633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404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1564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1634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405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1565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1635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406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1566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1636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407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1567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1637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408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1568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1638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409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1569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1639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410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1570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1640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411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1571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1641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412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1572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1642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413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1573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1643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414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1574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1644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415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1575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1645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416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1576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1646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417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1577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1647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418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1578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1648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419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1579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1649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420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1580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1650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421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1581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1651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422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1582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1652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423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1583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1653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424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1584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1654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425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1585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1655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426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1586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1656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427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1587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1657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428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1588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1658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429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1589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1659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430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1590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1660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431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1591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1661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279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7" t="s">
        <v>12</v>
      </c>
      <c r="B9" s="5"/>
      <c r="C9" s="6"/>
      <c r="D9" s="6"/>
      <c r="E9" s="6" t="s">
        <v>281</v>
      </c>
      <c r="F9" s="6" t="s">
        <v>857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6"/>
      <c r="AP9" s="6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516</v>
      </c>
      <c r="D10" s="6" t="s">
        <v>596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1662</v>
      </c>
      <c r="D11" s="6" t="s">
        <v>596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1732</v>
      </c>
      <c r="D12" s="6" t="s">
        <v>596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517</v>
      </c>
      <c r="D13" s="10" t="s">
        <v>597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1663</v>
      </c>
      <c r="D14" s="10" t="s">
        <v>597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1733</v>
      </c>
      <c r="D15" s="10" t="s">
        <v>597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518</v>
      </c>
      <c r="D16" s="10" t="s">
        <v>587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1664</v>
      </c>
      <c r="D17" s="10" t="s">
        <v>587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1734</v>
      </c>
      <c r="D18" s="10" t="s">
        <v>587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519</v>
      </c>
      <c r="D19" s="10" t="s">
        <v>598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1665</v>
      </c>
      <c r="D20" s="10" t="s">
        <v>598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1735</v>
      </c>
      <c r="D21" s="10" t="s">
        <v>598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520</v>
      </c>
      <c r="D22" s="10" t="s">
        <v>910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1666</v>
      </c>
      <c r="D23" s="10" t="s">
        <v>910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1736</v>
      </c>
      <c r="D24" s="10" t="s">
        <v>910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521</v>
      </c>
      <c r="D25" s="10" t="s">
        <v>586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1667</v>
      </c>
      <c r="D26" s="10" t="s">
        <v>586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1737</v>
      </c>
      <c r="D27" s="10" t="s">
        <v>586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522</v>
      </c>
      <c r="D28" s="10" t="s">
        <v>922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1668</v>
      </c>
      <c r="D29" s="10" t="s">
        <v>922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1738</v>
      </c>
      <c r="D30" s="10" t="s">
        <v>922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523</v>
      </c>
      <c r="D31" s="10" t="s">
        <v>923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1669</v>
      </c>
      <c r="D32" s="10" t="s">
        <v>923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1739</v>
      </c>
      <c r="D33" s="10" t="s">
        <v>923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524</v>
      </c>
      <c r="D34" s="10" t="s">
        <v>924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1670</v>
      </c>
      <c r="D35" s="10" t="s">
        <v>924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1740</v>
      </c>
      <c r="D36" s="10" t="s">
        <v>924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525</v>
      </c>
      <c r="D37" s="10" t="s">
        <v>588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1671</v>
      </c>
      <c r="D38" s="10" t="s">
        <v>588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1741</v>
      </c>
      <c r="D39" s="10" t="s">
        <v>588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526</v>
      </c>
      <c r="D40" s="10" t="s">
        <v>589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1672</v>
      </c>
      <c r="D41" s="10" t="s">
        <v>589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1742</v>
      </c>
      <c r="D42" s="10" t="s">
        <v>589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527</v>
      </c>
      <c r="D43" s="10" t="s">
        <v>590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1673</v>
      </c>
      <c r="D44" s="10" t="s">
        <v>590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1743</v>
      </c>
      <c r="D45" s="10" t="s">
        <v>590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528</v>
      </c>
      <c r="D46" s="10" t="s">
        <v>591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1674</v>
      </c>
      <c r="D47" s="10" t="s">
        <v>591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1744</v>
      </c>
      <c r="D48" s="10" t="s">
        <v>591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529</v>
      </c>
      <c r="D49" s="10" t="s">
        <v>911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1675</v>
      </c>
      <c r="D50" s="10" t="s">
        <v>911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1745</v>
      </c>
      <c r="D51" s="10" t="s">
        <v>911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530</v>
      </c>
      <c r="D52" s="10" t="s">
        <v>592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1676</v>
      </c>
      <c r="D53" s="10" t="s">
        <v>592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1746</v>
      </c>
      <c r="D54" s="10" t="s">
        <v>592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531</v>
      </c>
      <c r="D55" s="10" t="s">
        <v>912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1677</v>
      </c>
      <c r="D56" s="10" t="s">
        <v>912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1747</v>
      </c>
      <c r="D57" s="10" t="s">
        <v>912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532</v>
      </c>
      <c r="D58" s="10" t="s">
        <v>944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1678</v>
      </c>
      <c r="D59" s="10" t="s">
        <v>944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1748</v>
      </c>
      <c r="D60" s="10" t="s">
        <v>944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533</v>
      </c>
      <c r="D61" s="10" t="s">
        <v>593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1679</v>
      </c>
      <c r="D62" s="10" t="s">
        <v>593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1749</v>
      </c>
      <c r="D63" s="10" t="s">
        <v>593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534</v>
      </c>
      <c r="D64" s="10" t="s">
        <v>913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1680</v>
      </c>
      <c r="D65" s="10" t="s">
        <v>913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1750</v>
      </c>
      <c r="D66" s="10" t="s">
        <v>913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535</v>
      </c>
      <c r="D67" s="10" t="s">
        <v>594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1681</v>
      </c>
      <c r="D68" s="10" t="s">
        <v>594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1751</v>
      </c>
      <c r="D69" s="10" t="s">
        <v>594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536</v>
      </c>
      <c r="D70" s="10" t="s">
        <v>595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1682</v>
      </c>
      <c r="D71" s="10" t="s">
        <v>595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1752</v>
      </c>
      <c r="D72" s="10" t="s">
        <v>595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537</v>
      </c>
      <c r="D73" s="10" t="s">
        <v>945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1683</v>
      </c>
      <c r="D74" s="10" t="s">
        <v>945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1753</v>
      </c>
      <c r="D75" s="10" t="s">
        <v>945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538</v>
      </c>
      <c r="D76" s="10" t="s">
        <v>946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1684</v>
      </c>
      <c r="D77" s="10" t="s">
        <v>946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1754</v>
      </c>
      <c r="D78" s="10" t="s">
        <v>946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539</v>
      </c>
      <c r="D79" s="10" t="s">
        <v>914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1685</v>
      </c>
      <c r="D80" s="10" t="s">
        <v>914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1755</v>
      </c>
      <c r="D81" s="10" t="s">
        <v>914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540</v>
      </c>
      <c r="D82" s="10" t="s">
        <v>601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1686</v>
      </c>
      <c r="D83" s="10" t="s">
        <v>601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1756</v>
      </c>
      <c r="D84" s="10" t="s">
        <v>601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541</v>
      </c>
      <c r="D85" s="10" t="s">
        <v>947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1687</v>
      </c>
      <c r="D86" s="10" t="s">
        <v>947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1757</v>
      </c>
      <c r="D87" s="10" t="s">
        <v>947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542</v>
      </c>
      <c r="D88" s="10" t="s">
        <v>915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1688</v>
      </c>
      <c r="D89" s="10" t="s">
        <v>915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1758</v>
      </c>
      <c r="D90" s="10" t="s">
        <v>915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543</v>
      </c>
      <c r="D91" s="10" t="s">
        <v>948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1689</v>
      </c>
      <c r="D92" s="10" t="s">
        <v>948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1761</v>
      </c>
      <c r="D93" s="10" t="s">
        <v>948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544</v>
      </c>
      <c r="D94" s="10" t="s">
        <v>949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1690</v>
      </c>
      <c r="D95" s="10" t="s">
        <v>949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1759</v>
      </c>
      <c r="D96" s="10" t="s">
        <v>949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545</v>
      </c>
      <c r="D97" s="10" t="s">
        <v>916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1691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1760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546</v>
      </c>
      <c r="D100" s="10" t="s">
        <v>603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1692</v>
      </c>
      <c r="D101" s="10" t="s">
        <v>603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1762</v>
      </c>
      <c r="D102" s="10" t="s">
        <v>603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547</v>
      </c>
      <c r="D103" s="10" t="s">
        <v>970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1693</v>
      </c>
      <c r="D104" s="10" t="s">
        <v>970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1763</v>
      </c>
      <c r="D105" s="10" t="s">
        <v>970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548</v>
      </c>
      <c r="D106" s="10" t="s">
        <v>971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1694</v>
      </c>
      <c r="D107" s="10" t="s">
        <v>971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1764</v>
      </c>
      <c r="D108" s="10" t="s">
        <v>971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549</v>
      </c>
      <c r="D109" s="10" t="s">
        <v>972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1695</v>
      </c>
      <c r="D110" s="10" t="s">
        <v>972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1765</v>
      </c>
      <c r="D111" s="10" t="s">
        <v>972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550</v>
      </c>
      <c r="D112" s="10" t="s">
        <v>907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1696</v>
      </c>
      <c r="D113" s="10" t="s">
        <v>907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1766</v>
      </c>
      <c r="D114" s="10" t="s">
        <v>907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551</v>
      </c>
      <c r="D115" s="10" t="s">
        <v>605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1697</v>
      </c>
      <c r="D116" s="10" t="s">
        <v>605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1767</v>
      </c>
      <c r="D117" s="10" t="s">
        <v>605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552</v>
      </c>
      <c r="D118" s="10" t="s">
        <v>609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1698</v>
      </c>
      <c r="D119" s="10" t="s">
        <v>609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1768</v>
      </c>
      <c r="D120" s="10" t="s">
        <v>609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553</v>
      </c>
      <c r="D121" s="10" t="s">
        <v>908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1699</v>
      </c>
      <c r="D122" s="10" t="s">
        <v>908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1769</v>
      </c>
      <c r="D123" s="10" t="s">
        <v>908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554</v>
      </c>
      <c r="D124" s="10" t="s">
        <v>680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1700</v>
      </c>
      <c r="D125" s="10" t="s">
        <v>680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1770</v>
      </c>
      <c r="D126" s="10" t="s">
        <v>680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555</v>
      </c>
      <c r="D127" s="10" t="s">
        <v>909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1701</v>
      </c>
      <c r="D128" s="10" t="s">
        <v>909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1772</v>
      </c>
      <c r="D129" s="10" t="s">
        <v>909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556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1702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1771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557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1703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1773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558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1704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1774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559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1705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1775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560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1706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1776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561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1707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1777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562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1708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1778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563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1709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1779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564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1710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1780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565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1711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1781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566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1712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1782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567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1713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1783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568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1714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1784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569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1715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1785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570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1716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1786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571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1717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1787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572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1718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1788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573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1719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1789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574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1720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1790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575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1721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1791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576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1722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1792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577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1723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1793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578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1724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1794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579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1725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1795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580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1726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1796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581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1727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1797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582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1728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1798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583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1729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1799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584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1730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1800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585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1731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1801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/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7" t="s">
        <v>0</v>
      </c>
      <c r="B2" s="7" t="s">
        <v>284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7" t="s">
        <v>2</v>
      </c>
      <c r="B4" s="3" t="s">
        <v>3</v>
      </c>
      <c r="C4" s="3" t="s">
        <v>258</v>
      </c>
      <c r="D4" s="3" t="s">
        <v>984</v>
      </c>
      <c r="E4" s="3" t="s">
        <v>985</v>
      </c>
      <c r="F4" s="3" t="s">
        <v>988</v>
      </c>
      <c r="G4" s="3" t="s">
        <v>989</v>
      </c>
      <c r="H4" s="3" t="s">
        <v>990</v>
      </c>
      <c r="I4" s="3" t="s">
        <v>982</v>
      </c>
      <c r="J4" s="3" t="s">
        <v>980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7" t="s">
        <v>6</v>
      </c>
      <c r="B7" s="4" t="s">
        <v>7</v>
      </c>
      <c r="C7" s="4" t="s">
        <v>129</v>
      </c>
      <c r="D7" s="4" t="s">
        <v>227</v>
      </c>
      <c r="E7" s="4" t="s">
        <v>227</v>
      </c>
      <c r="F7" s="4" t="s">
        <v>979</v>
      </c>
      <c r="G7" s="4" t="s">
        <v>979</v>
      </c>
      <c r="H7" s="4" t="s">
        <v>979</v>
      </c>
      <c r="I7" s="4" t="s">
        <v>979</v>
      </c>
      <c r="J7" s="4" t="s">
        <v>227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7" t="s">
        <v>10</v>
      </c>
      <c r="B8" s="5" t="s">
        <v>11</v>
      </c>
      <c r="C8" s="6" t="s">
        <v>266</v>
      </c>
      <c r="D8" s="6" t="s">
        <v>986</v>
      </c>
      <c r="E8" s="6" t="s">
        <v>987</v>
      </c>
      <c r="F8" s="6" t="s">
        <v>991</v>
      </c>
      <c r="G8" s="6" t="s">
        <v>992</v>
      </c>
      <c r="H8" s="6" t="s">
        <v>993</v>
      </c>
      <c r="I8" s="5" t="s">
        <v>983</v>
      </c>
      <c r="J8" s="6" t="s">
        <v>981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6" t="s">
        <v>1370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8" t="s">
        <v>153</v>
      </c>
      <c r="B10" s="5">
        <v>1</v>
      </c>
      <c r="C10" s="6" t="s">
        <v>994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8"/>
      <c r="B11" s="7">
        <v>2</v>
      </c>
      <c r="C11" s="7" t="s">
        <v>1011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996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997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998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999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1001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1000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1002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1003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1012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1013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1014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1015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1016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1017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1018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1019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1020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1021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1022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1023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1024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1025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1026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1027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1028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1029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1030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1031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1032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1033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1034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1035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1036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1037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1038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1039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1040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1041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1042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1043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1044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1045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1046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1047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1048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1049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1004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1050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1051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1052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1053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1054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1055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1056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1057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1058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1059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1060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1061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1062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1063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1005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1006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1007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1008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1009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1010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1065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1066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1067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1068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1069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1070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1071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1072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1073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1074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1075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1076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1077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1078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1079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1080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1081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1082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1083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1084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1085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1086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1087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1088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1089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1090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1091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1092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1093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1094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1095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1096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1097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1098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1099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1100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1101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1102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1103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1104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1105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1106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1107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1108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1109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1110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1111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1112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1113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1114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1115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1116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1117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1118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1119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1120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1121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1122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1123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1124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1125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1126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1127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1128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1129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1130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1131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1132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1133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1134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1135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1136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1137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1138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1139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1140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1141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1142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1143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1144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1145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1146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1147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1148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1149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1150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1151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1152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1153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1154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1155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1156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1157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1158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1159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1160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1161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1162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1163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1164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1165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1166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1167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1168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1169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1170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1171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1172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1173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1174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1175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1176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1177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1178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1179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1180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1181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1182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1183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1184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1185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1186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1187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1188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1189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1190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1191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1192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1193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1194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1195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1196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1197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1198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1199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1200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1201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1202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1203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1204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1205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1206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1207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1208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1209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1210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1211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1212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1213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1214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1215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1216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1217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1218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1219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1220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1221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1222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1223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1224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1225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1226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1227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1228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1229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1230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1231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1232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1233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1234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1235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1236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1237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1238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1239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1240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1241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1242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1243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1244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1245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1246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1247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1248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1249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1250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1251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1252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1253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1254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1255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1256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1257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1258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1259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1260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1261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1262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1263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1264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1265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1266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1267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1268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1269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1270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1271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1272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1273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1274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1275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1276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1277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1278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1279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1280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1281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1282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1283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1284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1285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1286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1287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1288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1289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1290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1291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1292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1293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1294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1295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1296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995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1297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1298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1299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1300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1301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1302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1303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1304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1305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1306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1306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1306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1307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1307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1307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1308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1308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1308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1309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1309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1310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1310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1311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1311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1312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1312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1313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1313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1314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1314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1315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1315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1316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1316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1317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1317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1318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1318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1319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1319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1320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1320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1321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1321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1322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1322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1323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1323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1324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1324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1325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1325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1326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1326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1327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1327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1328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1328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1329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1329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1330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1330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1331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1331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1332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1333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1334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1335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1335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1336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1336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1337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1337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1338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1338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1339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1339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1340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1340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1341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1341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1342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1342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1343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1343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1344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1344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1345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1345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1346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1347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1346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1347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1348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1348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1349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1349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1350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1350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1351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1351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1352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1352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1353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1353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1354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1354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1355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1355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1356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1356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1357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1357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1358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1358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1359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1359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1360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1361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1362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1363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1364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1365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1366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1366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7" t="s">
        <v>0</v>
      </c>
      <c r="B2" s="7" t="s">
        <v>301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7" t="s">
        <v>2</v>
      </c>
      <c r="B4" s="3" t="s">
        <v>3</v>
      </c>
      <c r="C4" s="3" t="s">
        <v>302</v>
      </c>
      <c r="D4" s="3" t="s">
        <v>15</v>
      </c>
      <c r="E4" s="3" t="s">
        <v>258</v>
      </c>
      <c r="F4" s="3" t="s">
        <v>306</v>
      </c>
      <c r="G4" s="3" t="s">
        <v>243</v>
      </c>
      <c r="H4" s="3"/>
      <c r="I4" s="3"/>
      <c r="J4" s="3"/>
      <c r="K4" s="3"/>
      <c r="L4" s="3"/>
      <c r="M4" s="3" t="s">
        <v>308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7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7" t="s">
        <v>10</v>
      </c>
      <c r="B8" s="5" t="s">
        <v>11</v>
      </c>
      <c r="C8" s="5" t="s">
        <v>303</v>
      </c>
      <c r="D8" s="5" t="s">
        <v>305</v>
      </c>
      <c r="E8" s="5" t="s">
        <v>266</v>
      </c>
      <c r="F8" s="6" t="s">
        <v>307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7" t="s">
        <v>12</v>
      </c>
      <c r="B9" s="18"/>
      <c r="C9" s="19" t="s">
        <v>304</v>
      </c>
      <c r="D9" s="19"/>
      <c r="E9" s="19"/>
      <c r="F9" s="20"/>
      <c r="G9" s="19" t="s">
        <v>309</v>
      </c>
      <c r="H9" s="19"/>
      <c r="I9" s="19"/>
      <c r="J9" s="19" t="s">
        <v>309</v>
      </c>
      <c r="K9" s="19"/>
      <c r="L9" s="19"/>
      <c r="M9" s="19" t="s">
        <v>309</v>
      </c>
      <c r="N9" s="18"/>
      <c r="O9" s="19"/>
      <c r="P9" s="19" t="s">
        <v>309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8" t="s">
        <v>13</v>
      </c>
      <c r="B10" s="14">
        <v>100010001</v>
      </c>
      <c r="C10" s="14">
        <v>1</v>
      </c>
      <c r="D10" s="14" t="s">
        <v>310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311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316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317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318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319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323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324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325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326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312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4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4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4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4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4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4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4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4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4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4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4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4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4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4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4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4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4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4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4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4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4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4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4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4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4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4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4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4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4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4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4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4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4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4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4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4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4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4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4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4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7" t="s">
        <v>0</v>
      </c>
      <c r="B2" s="7" t="s">
        <v>332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7" t="s">
        <v>2</v>
      </c>
      <c r="B4" s="3" t="s">
        <v>3</v>
      </c>
      <c r="C4" s="3" t="s">
        <v>15</v>
      </c>
      <c r="D4" s="3" t="s">
        <v>336</v>
      </c>
      <c r="E4" s="3" t="s">
        <v>165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7" t="s">
        <v>6</v>
      </c>
      <c r="B7" s="4" t="s">
        <v>7</v>
      </c>
      <c r="C7" s="4" t="s">
        <v>8</v>
      </c>
      <c r="D7" s="4" t="s">
        <v>337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7" t="s">
        <v>10</v>
      </c>
      <c r="B8" s="5" t="s">
        <v>11</v>
      </c>
      <c r="C8" s="5" t="s">
        <v>34</v>
      </c>
      <c r="D8" s="5" t="s">
        <v>338</v>
      </c>
      <c r="E8" s="6" t="s">
        <v>169</v>
      </c>
      <c r="F8" s="6" t="s">
        <v>164</v>
      </c>
      <c r="G8" s="5" t="s">
        <v>33</v>
      </c>
      <c r="H8" s="6" t="s">
        <v>201</v>
      </c>
      <c r="I8" s="6" t="s">
        <v>164</v>
      </c>
      <c r="J8" s="5" t="s">
        <v>33</v>
      </c>
      <c r="K8" s="6" t="s">
        <v>201</v>
      </c>
      <c r="L8" s="6" t="s">
        <v>164</v>
      </c>
      <c r="M8" s="5" t="s">
        <v>33</v>
      </c>
      <c r="N8" s="6" t="s">
        <v>201</v>
      </c>
      <c r="O8" s="6" t="s">
        <v>164</v>
      </c>
      <c r="P8" s="5" t="s">
        <v>33</v>
      </c>
      <c r="Q8" s="6" t="s">
        <v>201</v>
      </c>
      <c r="R8" s="6" t="s">
        <v>164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8" t="s">
        <v>153</v>
      </c>
      <c r="B10" s="5">
        <v>100010001</v>
      </c>
      <c r="C10" s="6" t="s">
        <v>333</v>
      </c>
      <c r="D10" s="6" t="s">
        <v>339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8"/>
      <c r="B11" s="5">
        <v>100010002</v>
      </c>
      <c r="C11" s="6" t="s">
        <v>334</v>
      </c>
      <c r="D11" s="6" t="s">
        <v>340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9">
        <v>200010001</v>
      </c>
      <c r="C12" s="50" t="s">
        <v>335</v>
      </c>
      <c r="D12" s="50" t="s">
        <v>341</v>
      </c>
      <c r="E12" s="50">
        <v>1</v>
      </c>
      <c r="F12" s="50">
        <v>1</v>
      </c>
      <c r="G12" s="50">
        <v>50</v>
      </c>
      <c r="H12" s="50">
        <v>2</v>
      </c>
      <c r="I12" s="50">
        <v>5</v>
      </c>
      <c r="J12" s="51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345</v>
      </c>
      <c r="D13" s="6" t="s">
        <v>356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355</v>
      </c>
      <c r="D14" s="6" t="s">
        <v>357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342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346</v>
      </c>
      <c r="D4" s="3" t="s">
        <v>336</v>
      </c>
      <c r="E4" s="3" t="s">
        <v>343</v>
      </c>
      <c r="F4" s="3" t="s">
        <v>351</v>
      </c>
      <c r="G4" s="3" t="s">
        <v>350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337</v>
      </c>
      <c r="D7" s="4" t="s">
        <v>337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347</v>
      </c>
      <c r="D8" s="5" t="s">
        <v>349</v>
      </c>
      <c r="E8" s="5" t="s">
        <v>344</v>
      </c>
      <c r="F8" s="5" t="s">
        <v>352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8"/>
      <c r="D9" s="18"/>
      <c r="E9" s="19"/>
      <c r="F9" s="19"/>
      <c r="G9" s="19" t="s">
        <v>309</v>
      </c>
      <c r="H9" s="19"/>
      <c r="I9" s="19"/>
      <c r="J9" s="19" t="s">
        <v>309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100010001</v>
      </c>
      <c r="C10" s="14" t="s">
        <v>345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348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294</v>
      </c>
      <c r="J11" s="14">
        <v>4</v>
      </c>
      <c r="K11" s="14"/>
      <c r="L11" s="24" t="s">
        <v>353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1371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1372</v>
      </c>
      <c r="D4" s="3" t="s">
        <v>1374</v>
      </c>
      <c r="E4" s="3" t="s">
        <v>1376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1373</v>
      </c>
      <c r="D8" s="5" t="s">
        <v>1375</v>
      </c>
      <c r="E8" s="6" t="s">
        <v>1377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1378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1827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1820</v>
      </c>
      <c r="D4" s="3" t="s">
        <v>1821</v>
      </c>
      <c r="E4" s="3" t="s">
        <v>1822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1823</v>
      </c>
      <c r="D8" s="5" t="s">
        <v>1824</v>
      </c>
      <c r="E8" s="6" t="s">
        <v>1825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1826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1836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1837</v>
      </c>
      <c r="D4" s="3" t="s">
        <v>1838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7" t="s">
        <v>10</v>
      </c>
      <c r="B8" s="5" t="s">
        <v>11</v>
      </c>
      <c r="C8" s="5" t="s">
        <v>1840</v>
      </c>
      <c r="D8" s="5" t="s">
        <v>1839</v>
      </c>
      <c r="E8" s="6" t="s">
        <v>169</v>
      </c>
      <c r="F8" s="6" t="s">
        <v>164</v>
      </c>
      <c r="G8" s="5" t="s">
        <v>33</v>
      </c>
      <c r="H8" s="6" t="s">
        <v>169</v>
      </c>
      <c r="I8" s="6" t="s">
        <v>164</v>
      </c>
      <c r="J8" s="5" t="s">
        <v>33</v>
      </c>
      <c r="K8" s="6" t="s">
        <v>169</v>
      </c>
      <c r="L8" s="6" t="s">
        <v>164</v>
      </c>
      <c r="M8" s="5" t="s">
        <v>33</v>
      </c>
      <c r="N8" s="6" t="s">
        <v>169</v>
      </c>
      <c r="O8" s="6" t="s">
        <v>164</v>
      </c>
      <c r="P8" s="5" t="s">
        <v>33</v>
      </c>
      <c r="Q8" s="6" t="s">
        <v>169</v>
      </c>
      <c r="R8" s="6" t="s">
        <v>164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6" t="s">
        <v>150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3"/>
      <c r="K43" s="53"/>
      <c r="L43" s="3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3"/>
      <c r="K44" s="53"/>
      <c r="L44" s="3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3"/>
      <c r="K45" s="53"/>
      <c r="L45" s="3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3"/>
      <c r="K46" s="53"/>
      <c r="L46" s="34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3"/>
      <c r="K47" s="53"/>
      <c r="L47" s="34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3"/>
      <c r="K48" s="53"/>
      <c r="L48" s="34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3"/>
      <c r="K49" s="53"/>
      <c r="L49" s="34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3"/>
      <c r="K50" s="53"/>
      <c r="L50" s="34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3"/>
      <c r="K51" s="53"/>
      <c r="L51" s="34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3"/>
      <c r="K52" s="53"/>
      <c r="L52" s="3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3"/>
      <c r="K53" s="53"/>
      <c r="L53" s="34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3"/>
      <c r="K54" s="53"/>
      <c r="L54" s="34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3"/>
      <c r="K55" s="53"/>
      <c r="L55" s="3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3"/>
      <c r="K56" s="53"/>
      <c r="L56" s="34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3"/>
      <c r="K57" s="53"/>
      <c r="L57" s="34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3"/>
      <c r="K58" s="53"/>
      <c r="L58" s="3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3"/>
      <c r="K59" s="53"/>
      <c r="L59" s="34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3"/>
      <c r="K60" s="53"/>
      <c r="L60" s="34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3"/>
      <c r="K61" s="53"/>
      <c r="L61" s="3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3"/>
      <c r="K62" s="53"/>
      <c r="L62" s="34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3"/>
      <c r="K63" s="53"/>
      <c r="L63" s="34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3"/>
      <c r="K64" s="53"/>
      <c r="L64" s="3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3"/>
      <c r="K65" s="53"/>
      <c r="L65" s="34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3"/>
      <c r="K66" s="53"/>
      <c r="L66" s="34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abSelected="1" topLeftCell="C3" workbookViewId="0">
      <selection activeCell="M20" sqref="M20"/>
    </sheetView>
  </sheetViews>
  <sheetFormatPr defaultRowHeight="14.25"/>
  <cols>
    <col min="1" max="1" width="9" style="59" hidden="1" customWidth="1"/>
    <col min="2" max="2" width="10.625" style="59" hidden="1" customWidth="1"/>
    <col min="3" max="3" width="3.75" style="59" customWidth="1"/>
    <col min="4" max="15" width="13.25" style="59" customWidth="1"/>
    <col min="16" max="16384" width="9" style="59"/>
  </cols>
  <sheetData>
    <row r="1" spans="2:15" ht="15" hidden="1" thickBot="1"/>
    <row r="2" spans="2:15" ht="15" hidden="1" customHeight="1" thickBot="1">
      <c r="B2" s="60" t="s">
        <v>1983</v>
      </c>
    </row>
    <row r="3" spans="2:15" ht="15" customHeight="1" thickBot="1">
      <c r="B3" s="76"/>
    </row>
    <row r="4" spans="2:15" ht="15" thickBot="1">
      <c r="D4" s="64" t="s">
        <v>1989</v>
      </c>
      <c r="E4" s="63" t="s">
        <v>1520</v>
      </c>
      <c r="F4" s="62" t="s">
        <v>1985</v>
      </c>
      <c r="G4" s="62" t="s">
        <v>1987</v>
      </c>
      <c r="H4" s="61" t="s">
        <v>1988</v>
      </c>
      <c r="I4" s="76"/>
      <c r="J4" s="76"/>
    </row>
    <row r="5" spans="2:15">
      <c r="D5" s="65" t="s">
        <v>1984</v>
      </c>
      <c r="E5" s="69">
        <v>1</v>
      </c>
      <c r="F5" s="70">
        <v>1</v>
      </c>
      <c r="G5" s="70">
        <v>0</v>
      </c>
      <c r="H5" s="71">
        <v>0</v>
      </c>
      <c r="I5" s="76"/>
      <c r="J5" s="76"/>
    </row>
    <row r="6" spans="2:15" ht="15" thickBot="1">
      <c r="D6" s="66" t="s">
        <v>1986</v>
      </c>
      <c r="E6" s="72">
        <v>2</v>
      </c>
      <c r="F6" s="73">
        <v>1</v>
      </c>
      <c r="G6" s="73">
        <v>0</v>
      </c>
      <c r="H6" s="74">
        <v>0</v>
      </c>
      <c r="I6" s="76"/>
      <c r="J6" s="76"/>
    </row>
    <row r="7" spans="2:15" ht="15" thickBot="1"/>
    <row r="8" spans="2:15" ht="15" thickBot="1">
      <c r="D8" s="64" t="s">
        <v>1995</v>
      </c>
      <c r="E8" s="68">
        <v>100</v>
      </c>
    </row>
    <row r="9" spans="2:15" ht="15" thickBot="1"/>
    <row r="10" spans="2:15" ht="15" thickBot="1">
      <c r="D10" s="64" t="s">
        <v>1990</v>
      </c>
      <c r="E10" s="63" t="s">
        <v>2015</v>
      </c>
      <c r="F10" s="68" t="s">
        <v>2016</v>
      </c>
      <c r="G10" s="76"/>
      <c r="H10" s="76"/>
      <c r="I10" s="76"/>
      <c r="J10" s="76"/>
    </row>
    <row r="11" spans="2:15" ht="15" thickBot="1">
      <c r="D11" s="67" t="s">
        <v>2001</v>
      </c>
      <c r="E11" s="78">
        <v>31</v>
      </c>
      <c r="F11" s="75">
        <v>252</v>
      </c>
      <c r="G11" s="76"/>
      <c r="H11" s="76"/>
      <c r="I11" s="76"/>
      <c r="J11" s="76"/>
    </row>
    <row r="12" spans="2:15" ht="15" thickBot="1"/>
    <row r="13" spans="2:15" ht="15" thickBot="1">
      <c r="D13" s="81" t="s">
        <v>2024</v>
      </c>
    </row>
    <row r="14" spans="2:15" ht="15" thickBot="1">
      <c r="D14" s="77" t="s">
        <v>1999</v>
      </c>
      <c r="E14" s="63" t="s">
        <v>2000</v>
      </c>
      <c r="F14" s="62" t="s">
        <v>1991</v>
      </c>
      <c r="G14" s="62" t="s">
        <v>1992</v>
      </c>
      <c r="H14" s="62" t="s">
        <v>1993</v>
      </c>
      <c r="I14" s="62" t="s">
        <v>2019</v>
      </c>
      <c r="J14" s="62" t="s">
        <v>2020</v>
      </c>
      <c r="K14" s="62" t="s">
        <v>1994</v>
      </c>
      <c r="L14" s="63" t="s">
        <v>2011</v>
      </c>
      <c r="M14" s="62" t="s">
        <v>2012</v>
      </c>
      <c r="N14" s="62" t="s">
        <v>2013</v>
      </c>
      <c r="O14" s="61" t="s">
        <v>2014</v>
      </c>
    </row>
    <row r="15" spans="2:15">
      <c r="D15" s="65" t="s">
        <v>1984</v>
      </c>
      <c r="E15" s="69" t="str">
        <f>_xlfn.XLOOKUP($E$5,MonsterMB!$B:$B,MonsterMB!$C:$C)</f>
        <v>火</v>
      </c>
      <c r="F15" s="70">
        <f>ROUNDDOWN((L15*2+$E$11+$F$11/4)*$F$5/100+$F$5+10,0)</f>
        <v>15</v>
      </c>
      <c r="G15" s="70">
        <f>ROUNDDOWN((M15*2+$E$11+$F$11/4)*$F$5/100+5,0)</f>
        <v>8</v>
      </c>
      <c r="H15" s="70">
        <f>ROUNDDOWN((N15*2+$E$11+$F$11/4)*$F$5/100+5,0)</f>
        <v>8</v>
      </c>
      <c r="I15" s="70">
        <f>ROUNDDOWN(G15*(100+$G$5)/100,0)</f>
        <v>8</v>
      </c>
      <c r="J15" s="70">
        <f>ROUNDDOWN(H15*(100+$H$5)/100,0)</f>
        <v>8</v>
      </c>
      <c r="K15" s="70">
        <f>ROUNDDOWN((O15*2+$E$11+$F$11/4)*$F$5/100+5,0)</f>
        <v>6</v>
      </c>
      <c r="L15" s="69">
        <f>_xlfn.XLOOKUP($E$5,MonsterMB!$B:$B,MonsterMB!$I:$I)</f>
        <v>160</v>
      </c>
      <c r="M15" s="70">
        <f>_xlfn.XLOOKUP($E$5,MonsterMB!$B:$B,MonsterMB!$J:$J)</f>
        <v>110</v>
      </c>
      <c r="N15" s="70">
        <f>_xlfn.XLOOKUP($E$5,MonsterMB!$B:$B,MonsterMB!$K:$K)</f>
        <v>110</v>
      </c>
      <c r="O15" s="71">
        <f>_xlfn.XLOOKUP($E$5,MonsterMB!$B:$B,MonsterMB!$L:$L)</f>
        <v>30</v>
      </c>
    </row>
    <row r="16" spans="2:15" ht="15" thickBot="1">
      <c r="D16" s="66" t="s">
        <v>1986</v>
      </c>
      <c r="E16" s="72" t="str">
        <f>_xlfn.XLOOKUP($E$6,MonsterMB!$B:$B,MonsterMB!$C:$C)</f>
        <v>水</v>
      </c>
      <c r="F16" s="73">
        <f>ROUNDDOWN((L16*2+$E$11+$F$11/4)*$F$6/100+$F$6+10,0)</f>
        <v>12</v>
      </c>
      <c r="G16" s="73">
        <f>ROUNDDOWN((M16*2+$E$11+$F$11/4)*$F$6/100+5,0)</f>
        <v>6</v>
      </c>
      <c r="H16" s="73">
        <f>ROUNDDOWN((N16*2+$E$11+$F$11/4)*$F$6/100+5,0)</f>
        <v>6</v>
      </c>
      <c r="I16" s="73">
        <f>ROUNDDOWN(G16*(100+$G$6)/100,0)</f>
        <v>6</v>
      </c>
      <c r="J16" s="73">
        <f>ROUNDDOWN(H16*(100+$H$6)/100,0)</f>
        <v>6</v>
      </c>
      <c r="K16" s="73">
        <f>ROUNDDOWN((O16*2+$E$11+$F$11/4)*$F$6/100+5,0)</f>
        <v>6</v>
      </c>
      <c r="L16" s="73">
        <f>_xlfn.XLOOKUP($E$6,MonsterMB!$B:$B,MonsterMB!$I:$I)</f>
        <v>45</v>
      </c>
      <c r="M16" s="73">
        <f>_xlfn.XLOOKUP($E$6,MonsterMB!$B:$B,MonsterMB!$J:$J)</f>
        <v>50</v>
      </c>
      <c r="N16" s="73">
        <f>_xlfn.XLOOKUP($E$6,MonsterMB!$B:$B,MonsterMB!$K:$K)</f>
        <v>50</v>
      </c>
      <c r="O16" s="74">
        <f>_xlfn.XLOOKUP($E$6,MonsterMB!$B:$B,MonsterMB!$L:$L)</f>
        <v>45</v>
      </c>
    </row>
    <row r="17" spans="4:15" ht="15" thickBot="1">
      <c r="D17" s="79" t="s">
        <v>1996</v>
      </c>
      <c r="E17" s="63" t="s">
        <v>1997</v>
      </c>
      <c r="F17" s="62" t="s">
        <v>1998</v>
      </c>
      <c r="G17" s="62" t="s">
        <v>2026</v>
      </c>
      <c r="H17" s="62" t="s">
        <v>2021</v>
      </c>
      <c r="I17" s="62" t="s">
        <v>2022</v>
      </c>
      <c r="J17" s="80" t="s">
        <v>2023</v>
      </c>
    </row>
    <row r="18" spans="4:15">
      <c r="D18" s="65" t="s">
        <v>2017</v>
      </c>
      <c r="E18" s="69">
        <f>ROUNDDOWN((ROUNDDOWN(ROUNDDOWN(ROUNDDOWN($F$5*2/5+2,0)*$E$8*I15/J16,0)/50,0)+2)*0.85,0)</f>
        <v>5</v>
      </c>
      <c r="F18" s="70">
        <f>ROUNDDOWN((ROUNDDOWN(ROUNDDOWN(ROUNDDOWN($F$5*2/5+2,0)*$E$8*I15/J16,0)/50,0)+2)*1,0)</f>
        <v>7</v>
      </c>
      <c r="G18" s="70" t="str">
        <f>ROUND(E18/F16*100,1)&amp;"% ~ "&amp;ROUND(F18/F16*100,1)&amp;"%"</f>
        <v>41.7% ~ 58.3%</v>
      </c>
      <c r="H18" s="70"/>
      <c r="I18" s="70"/>
      <c r="J18" s="71"/>
    </row>
    <row r="19" spans="4:15" ht="15" thickBot="1">
      <c r="D19" s="66" t="s">
        <v>2018</v>
      </c>
      <c r="E19" s="72">
        <f>ROUNDDOWN((I15*($E$8/100)*(1-(J16/(180+20*$F$6))))*0.85,0)</f>
        <v>6</v>
      </c>
      <c r="F19" s="73">
        <f>ROUNDDOWN(I15*($E$8/100)*(1-(J16/(180+20*$F$6))),0)</f>
        <v>7</v>
      </c>
      <c r="G19" s="73" t="str">
        <f>ROUND(E19/F16*100,1)&amp;"% ~ "&amp;ROUND(F19/F16*100,1)&amp;"%"</f>
        <v>50% ~ 58.3%</v>
      </c>
      <c r="H19" s="73"/>
      <c r="I19" s="73"/>
      <c r="J19" s="74"/>
    </row>
    <row r="20" spans="4:15" ht="15" thickBot="1"/>
    <row r="21" spans="4:15" ht="15" thickBot="1">
      <c r="D21" s="81" t="s">
        <v>2025</v>
      </c>
      <c r="E21" s="82" t="s">
        <v>2027</v>
      </c>
      <c r="F21" s="83"/>
      <c r="G21" s="83"/>
    </row>
    <row r="22" spans="4:15" ht="15" thickBot="1">
      <c r="D22" s="77" t="s">
        <v>1999</v>
      </c>
      <c r="E22" s="63" t="s">
        <v>2000</v>
      </c>
      <c r="F22" s="62" t="s">
        <v>1991</v>
      </c>
      <c r="G22" s="62" t="s">
        <v>1992</v>
      </c>
      <c r="H22" s="62" t="s">
        <v>1993</v>
      </c>
      <c r="I22" s="62" t="s">
        <v>2019</v>
      </c>
      <c r="J22" s="62" t="s">
        <v>2020</v>
      </c>
      <c r="K22" s="62" t="s">
        <v>1994</v>
      </c>
      <c r="L22" s="63" t="s">
        <v>2011</v>
      </c>
      <c r="M22" s="62" t="s">
        <v>2012</v>
      </c>
      <c r="N22" s="62" t="s">
        <v>2013</v>
      </c>
      <c r="O22" s="61" t="s">
        <v>2014</v>
      </c>
    </row>
    <row r="23" spans="4:15">
      <c r="D23" s="65" t="s">
        <v>1984</v>
      </c>
      <c r="E23" s="69" t="str">
        <f>_xlfn.XLOOKUP($E$5,MonsterMB!$B:$B,MonsterMB!$C:$C)</f>
        <v>火</v>
      </c>
      <c r="F23" s="70">
        <f>ROUNDDOWN(($L$23*2+$E$11+$F$11/4)*F5^2/100+F5^2+10,0)*3</f>
        <v>45</v>
      </c>
      <c r="G23" s="70">
        <f>ROUNDDOWN(($M$23*2+$E$11+$F$11/4)*$F$5^2/100+5,0)</f>
        <v>8</v>
      </c>
      <c r="H23" s="70">
        <f>ROUNDDOWN(($N$23*2+$E$11+$F$11/4)*$F$5^2/100+5,0)</f>
        <v>8</v>
      </c>
      <c r="I23" s="70">
        <f>ROUNDDOWN(G23*(100+$G$5)/100,0)</f>
        <v>8</v>
      </c>
      <c r="J23" s="70">
        <f>ROUNDDOWN(H23*(100+$H$5)/100,0)</f>
        <v>8</v>
      </c>
      <c r="K23" s="70">
        <f>ROUNDDOWN(($O$23*2+$E$11+$F$11/4)*$F$5^2/100+5,0)</f>
        <v>6</v>
      </c>
      <c r="L23" s="69">
        <f>_xlfn.XLOOKUP($E$5,MonsterMB!$B:$B,MonsterMB!$I:$I)</f>
        <v>160</v>
      </c>
      <c r="M23" s="70">
        <f>_xlfn.XLOOKUP($E$5,MonsterMB!$B:$B,MonsterMB!$J:$J)</f>
        <v>110</v>
      </c>
      <c r="N23" s="70">
        <f>_xlfn.XLOOKUP($E$5,MonsterMB!$B:$B,MonsterMB!$K:$K)</f>
        <v>110</v>
      </c>
      <c r="O23" s="71">
        <f>_xlfn.XLOOKUP($E$5,MonsterMB!$B:$B,MonsterMB!$L:$L)</f>
        <v>30</v>
      </c>
    </row>
    <row r="24" spans="4:15" ht="15" thickBot="1">
      <c r="D24" s="66" t="s">
        <v>1986</v>
      </c>
      <c r="E24" s="72" t="str">
        <f>_xlfn.XLOOKUP($E$6,MonsterMB!$B:$B,MonsterMB!$C:$C)</f>
        <v>水</v>
      </c>
      <c r="F24" s="73">
        <f>ROUNDDOWN(($L$24*2+$E$11+$F$11/4)*$F$6^2/100+$F$6^2+10,0)*3</f>
        <v>36</v>
      </c>
      <c r="G24" s="73">
        <f>ROUNDDOWN(($M$24*2+$E$11+$F$11/4)*$F$6^2/100+5,0)</f>
        <v>6</v>
      </c>
      <c r="H24" s="73">
        <f>ROUNDDOWN(($N$24*2+$E$11+$F$11/4)*$F$6^2/100+5,0)</f>
        <v>6</v>
      </c>
      <c r="I24" s="73">
        <f>ROUNDDOWN(G24*(100+$G$6)/100,0)</f>
        <v>6</v>
      </c>
      <c r="J24" s="73">
        <f>ROUNDDOWN(H24*(100+$H$6)/100,0)</f>
        <v>6</v>
      </c>
      <c r="K24" s="73">
        <f>ROUNDDOWN(($O$24*2+$E$11+$F$11/4)*$F$6^2/100+5,0)</f>
        <v>6</v>
      </c>
      <c r="L24" s="73">
        <f>_xlfn.XLOOKUP($E$6,MonsterMB!$B:$B,MonsterMB!$I:$I)</f>
        <v>45</v>
      </c>
      <c r="M24" s="73">
        <f>_xlfn.XLOOKUP($E$6,MonsterMB!$B:$B,MonsterMB!$J:$J)</f>
        <v>50</v>
      </c>
      <c r="N24" s="73">
        <f>_xlfn.XLOOKUP($E$6,MonsterMB!$B:$B,MonsterMB!$K:$K)</f>
        <v>50</v>
      </c>
      <c r="O24" s="74">
        <f>_xlfn.XLOOKUP($E$6,MonsterMB!$B:$B,MonsterMB!$L:$L)</f>
        <v>45</v>
      </c>
    </row>
    <row r="25" spans="4:15" ht="15" thickBot="1">
      <c r="D25" s="79" t="s">
        <v>1996</v>
      </c>
      <c r="E25" s="63" t="s">
        <v>1997</v>
      </c>
      <c r="F25" s="62" t="s">
        <v>1998</v>
      </c>
      <c r="G25" s="62" t="s">
        <v>2026</v>
      </c>
      <c r="H25" s="62" t="s">
        <v>2021</v>
      </c>
      <c r="I25" s="62" t="s">
        <v>2022</v>
      </c>
      <c r="J25" s="80" t="s">
        <v>2023</v>
      </c>
    </row>
    <row r="26" spans="4:15">
      <c r="D26" s="65" t="s">
        <v>2017</v>
      </c>
      <c r="E26" s="69">
        <f>ROUNDDOWN((ROUNDDOWN(ROUNDDOWN(ROUNDDOWN($F$5^2*2/5+2,0)*$E$8*$I$23/$J$24,0)/50,0)+2)*0.85,0)</f>
        <v>5</v>
      </c>
      <c r="F26" s="70">
        <f>ROUNDDOWN((ROUNDDOWN(ROUNDDOWN(ROUNDDOWN($F$5^2*2/5+2,0)*$E$8*$I$15/$J$16,0)/50,0)+2)*1,0)</f>
        <v>7</v>
      </c>
      <c r="G26" s="70" t="str">
        <f>ROUND(E26/F24*100,1)&amp;"% ~ "&amp;ROUND(F26/F24*100,1)&amp;"%"</f>
        <v>13.9% ~ 19.4%</v>
      </c>
      <c r="H26" s="70"/>
      <c r="I26" s="70"/>
      <c r="J26" s="71"/>
    </row>
    <row r="27" spans="4:15" ht="15" thickBot="1">
      <c r="D27" s="66" t="s">
        <v>2018</v>
      </c>
      <c r="E27" s="72">
        <f>ROUNDDOWN((I23*(E8/100)*(1-(J24/(180+20*F6^2))))*0.85,0)</f>
        <v>6</v>
      </c>
      <c r="F27" s="73">
        <f>ROUNDDOWN(I23*(E8/100)*(1-(J24/(180+20*F6^2))),0)</f>
        <v>7</v>
      </c>
      <c r="G27" s="73" t="str">
        <f>ROUND(E27/F24*100,1)&amp;"% ~ "&amp;ROUND(F27/F24*100,1)&amp;"%"</f>
        <v>16.7% ~ 19.4%</v>
      </c>
      <c r="H27" s="73"/>
      <c r="I27" s="73"/>
      <c r="J27" s="74"/>
    </row>
    <row r="28" spans="4:15" ht="15" thickBot="1"/>
    <row r="29" spans="4:15" ht="15" thickBot="1">
      <c r="D29" s="81" t="s">
        <v>2028</v>
      </c>
      <c r="E29" s="82" t="s">
        <v>2029</v>
      </c>
      <c r="F29" s="83"/>
      <c r="G29" s="83"/>
    </row>
    <row r="30" spans="4:15" ht="15" thickBot="1">
      <c r="D30" s="77" t="s">
        <v>1999</v>
      </c>
      <c r="E30" s="63" t="s">
        <v>2000</v>
      </c>
      <c r="F30" s="62" t="s">
        <v>1991</v>
      </c>
      <c r="G30" s="62" t="s">
        <v>1992</v>
      </c>
      <c r="H30" s="62" t="s">
        <v>1993</v>
      </c>
      <c r="I30" s="62" t="s">
        <v>2019</v>
      </c>
      <c r="J30" s="62" t="s">
        <v>2020</v>
      </c>
      <c r="K30" s="62" t="s">
        <v>1994</v>
      </c>
      <c r="L30" s="63" t="s">
        <v>2011</v>
      </c>
      <c r="M30" s="62" t="s">
        <v>2012</v>
      </c>
      <c r="N30" s="62" t="s">
        <v>2013</v>
      </c>
      <c r="O30" s="61" t="s">
        <v>2014</v>
      </c>
    </row>
    <row r="31" spans="4:15">
      <c r="D31" s="65" t="s">
        <v>1984</v>
      </c>
      <c r="E31" s="69" t="str">
        <f>_xlfn.XLOOKUP($E$5,MonsterMB!$B:$B,MonsterMB!$C:$C)</f>
        <v>火</v>
      </c>
      <c r="F31" s="70">
        <f>ROUNDDOWN((L31^2+$E$11+$F$11/4)*$F$5/100+$F$5+10,0)*4</f>
        <v>1068</v>
      </c>
      <c r="G31" s="70">
        <f>ROUNDDOWN((M31^2+$E$11+$F$11/4)*$F$5/100+5,0)</f>
        <v>126</v>
      </c>
      <c r="H31" s="70">
        <f>ROUNDDOWN((N31^2+$E$11+$F$11/4)*$F$5/100+5,0)</f>
        <v>126</v>
      </c>
      <c r="I31" s="70">
        <f>ROUNDDOWN(G31*(100+$G$5)/100,0)</f>
        <v>126</v>
      </c>
      <c r="J31" s="70">
        <f>ROUNDDOWN(H31*(100+$H$5)/100,0)</f>
        <v>126</v>
      </c>
      <c r="K31" s="70">
        <f>ROUNDDOWN((O31^2+$E$11+$F$11/4)*$F$5/100+5,0)</f>
        <v>14</v>
      </c>
      <c r="L31" s="69">
        <f>_xlfn.XLOOKUP($E$5,MonsterMB!$B:$B,MonsterMB!$I:$I)</f>
        <v>160</v>
      </c>
      <c r="M31" s="70">
        <f>_xlfn.XLOOKUP($E$5,MonsterMB!$B:$B,MonsterMB!$J:$J)</f>
        <v>110</v>
      </c>
      <c r="N31" s="70">
        <f>_xlfn.XLOOKUP($E$5,MonsterMB!$B:$B,MonsterMB!$K:$K)</f>
        <v>110</v>
      </c>
      <c r="O31" s="71">
        <f>_xlfn.XLOOKUP($E$5,MonsterMB!$B:$B,MonsterMB!$L:$L)</f>
        <v>30</v>
      </c>
    </row>
    <row r="32" spans="4:15" ht="15" thickBot="1">
      <c r="D32" s="66" t="s">
        <v>1986</v>
      </c>
      <c r="E32" s="72" t="str">
        <f>_xlfn.XLOOKUP($E$6,MonsterMB!$B:$B,MonsterMB!$C:$C)</f>
        <v>水</v>
      </c>
      <c r="F32" s="73">
        <f>ROUNDDOWN((L32^2+$E$11+$F$11/4)*$F$6/100+$F$6+10,0)*4</f>
        <v>128</v>
      </c>
      <c r="G32" s="73">
        <f>ROUNDDOWN((M32^2+$E$11+$F$11/4)*$F$6/100+5,0)</f>
        <v>30</v>
      </c>
      <c r="H32" s="73">
        <f>ROUNDDOWN((N32^2+$E$11+$F$11/4)*$F$6/100+5,0)</f>
        <v>30</v>
      </c>
      <c r="I32" s="73">
        <f>ROUNDDOWN(G32*(100+$G$6)/100,0)</f>
        <v>30</v>
      </c>
      <c r="J32" s="73">
        <f>ROUNDDOWN(H32*(100+$H$6)/100,0)</f>
        <v>30</v>
      </c>
      <c r="K32" s="73">
        <f>ROUNDDOWN((O32^2+$E$11+$F$11/4)*$F$6/100+5,0)</f>
        <v>26</v>
      </c>
      <c r="L32" s="73">
        <f>_xlfn.XLOOKUP($E$6,MonsterMB!$B:$B,MonsterMB!$I:$I)</f>
        <v>45</v>
      </c>
      <c r="M32" s="73">
        <f>_xlfn.XLOOKUP($E$6,MonsterMB!$B:$B,MonsterMB!$J:$J)</f>
        <v>50</v>
      </c>
      <c r="N32" s="73">
        <f>_xlfn.XLOOKUP($E$6,MonsterMB!$B:$B,MonsterMB!$K:$K)</f>
        <v>50</v>
      </c>
      <c r="O32" s="74">
        <f>_xlfn.XLOOKUP($E$6,MonsterMB!$B:$B,MonsterMB!$L:$L)</f>
        <v>45</v>
      </c>
    </row>
    <row r="33" spans="4:10" ht="15" thickBot="1">
      <c r="D33" s="79" t="s">
        <v>1996</v>
      </c>
      <c r="E33" s="63" t="s">
        <v>1997</v>
      </c>
      <c r="F33" s="62" t="s">
        <v>1998</v>
      </c>
      <c r="G33" s="62" t="s">
        <v>2026</v>
      </c>
      <c r="H33" s="62" t="s">
        <v>2021</v>
      </c>
      <c r="I33" s="62" t="s">
        <v>2022</v>
      </c>
      <c r="J33" s="80" t="s">
        <v>2023</v>
      </c>
    </row>
    <row r="34" spans="4:10">
      <c r="D34" s="65" t="s">
        <v>2017</v>
      </c>
      <c r="E34" s="69">
        <f>ROUNDDOWN((ROUNDDOWN(ROUNDDOWN(ROUNDDOWN($F$5*2/5+2,0)*$E$8*I31/J32,0)/50,0)+2)*0.85,0)</f>
        <v>15</v>
      </c>
      <c r="F34" s="70">
        <f>ROUNDDOWN((ROUNDDOWN(ROUNDDOWN(ROUNDDOWN($F$5*2/5+2,0)*$E$8*I31/J32,0)/50,0)+2)*1,0)</f>
        <v>18</v>
      </c>
      <c r="G34" s="70" t="str">
        <f>ROUND(E34/F32*100,1)&amp;"% ~ "&amp;ROUND(F34/F32*100,1)&amp;"%"</f>
        <v>11.7% ~ 14.1%</v>
      </c>
      <c r="H34" s="70"/>
      <c r="I34" s="70"/>
      <c r="J34" s="71"/>
    </row>
    <row r="35" spans="4:10" ht="15" thickBot="1">
      <c r="D35" s="66" t="s">
        <v>2018</v>
      </c>
      <c r="E35" s="72">
        <f>ROUNDDOWN((I31*($E$8/100)*(1-(SQRT(J32)/(180+20*$F$6))))*0.85,0)</f>
        <v>104</v>
      </c>
      <c r="F35" s="73">
        <f>ROUNDDOWN(I31*($E$8/100)*(1-(SQRT(J32)/(180+20*$F$6))),0)</f>
        <v>122</v>
      </c>
      <c r="G35" s="73" t="str">
        <f>ROUND(E35/F32*100,1)&amp;"% ~ "&amp;ROUND(F35/F32*100,1)&amp;"%"</f>
        <v>81.3% ~ 95.3%</v>
      </c>
      <c r="H35" s="73"/>
      <c r="I35" s="73"/>
      <c r="J35" s="74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2022-04-06T07:35:48Z</dcterms:modified>
</cp:coreProperties>
</file>