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A3B446C3-8EBF-4C2E-B959-084A8C682609}" xr6:coauthVersionLast="47" xr6:coauthVersionMax="47" xr10:uidLastSave="{00000000-0000-0000-0000-000000000000}"/>
  <bookViews>
    <workbookView xWindow="-120" yWindow="-120" windowWidth="29040" windowHeight="15840" activeTab="2" xr2:uid="{6A329851-CB02-4A21-BFDA-9CA6E5AF89D1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EventQuestScheduleMB" sheetId="32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BattleConditionMB" sheetId="27" r:id="rId17"/>
    <sheet name="PassiveSkillMB" sheetId="19" r:id="rId18"/>
    <sheet name="NormalSkillMB" sheetId="20" r:id="rId19"/>
    <sheet name="UltimateSkillMB" sheetId="21" r:id="rId20"/>
    <sheet name="SkillFxMB" sheetId="22" r:id="rId21"/>
    <sheet name="MissionMB" sheetId="24" r:id="rId22"/>
    <sheet name="ContainerMB" sheetId="25" r:id="rId23"/>
    <sheet name="LoginBonusMB" sheetId="26" r:id="rId24"/>
    <sheet name="SkillLevelUpTableMB" sheetId="28" r:id="rId25"/>
    <sheet name="MaxMonsterLevelMB" sheetId="29" r:id="rId26"/>
    <sheet name="GradeUpTableMB" sheetId="30" r:id="rId27"/>
    <sheet name="LockableMB" sheetId="33" r:id="rId28"/>
    <sheet name="ダメージシミュレーション" sheetId="31" r:id="rId2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0" roundtripDataSignature="AMtx7mi1iiCHMCpdZRORiJYO+zEEYvYOEw=="/>
    </ext>
  </extLst>
</workbook>
</file>

<file path=xl/calcChain.xml><?xml version="1.0" encoding="utf-8"?>
<calcChain xmlns="http://schemas.openxmlformats.org/spreadsheetml/2006/main">
  <c r="CG71" i="7" l="1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D14" i="10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D110" i="10" s="1"/>
  <c r="D13" i="10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D13" i="1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D110" i="11" s="1"/>
  <c r="E12" i="11"/>
  <c r="E12" i="10"/>
  <c r="I31" i="31" l="1"/>
  <c r="I23" i="31"/>
  <c r="J32" i="31"/>
  <c r="F19" i="31"/>
  <c r="E19" i="31"/>
  <c r="F18" i="31"/>
  <c r="E18" i="31"/>
  <c r="E27" i="31"/>
  <c r="E26" i="31"/>
  <c r="F27" i="31"/>
  <c r="E13" i="1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E13" i="10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F35" i="31" l="1"/>
  <c r="E35" i="31"/>
  <c r="E34" i="31"/>
  <c r="G19" i="31"/>
  <c r="F34" i="31"/>
  <c r="G18" i="31"/>
  <c r="G27" i="31"/>
  <c r="F26" i="31"/>
  <c r="G26" i="31" s="1"/>
  <c r="G35" i="31" l="1"/>
  <c r="G34" i="31"/>
</calcChain>
</file>

<file path=xl/sharedStrings.xml><?xml version="1.0" encoding="utf-8"?>
<sst xmlns="http://schemas.openxmlformats.org/spreadsheetml/2006/main" count="5380" uniqueCount="2038">
  <si>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</si>
  <si>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</si>
  <si>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</si>
  <si>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</si>
  <si>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</si>
  <si>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</si>
  <si>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</si>
  <si>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</si>
  <si>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</si>
  <si>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</si>
  <si>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</si>
  <si>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</si>
  <si>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</si>
  <si>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</si>
  <si>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</si>
  <si>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</si>
  <si>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</si>
  <si>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</si>
  <si>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</si>
  <si>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</si>
  <si>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</si>
  <si>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</si>
  <si>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</si>
  <si>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</si>
  <si>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</si>
  <si>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</si>
  <si>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</si>
  <si>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</si>
  <si>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</si>
  <si>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</si>
  <si>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</si>
  <si>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</si>
  <si>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</si>
  <si>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</si>
  <si>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</si>
  <si>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</si>
  <si>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</si>
  <si>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</si>
  <si>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</si>
  <si>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</si>
  <si>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</si>
  <si>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</si>
  <si>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</si>
  <si>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</si>
  <si>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</si>
  <si>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</si>
  <si>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</si>
  <si>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</si>
  <si>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</si>
  <si>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</si>
  <si>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</si>
  <si>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</si>
  <si>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</si>
  <si>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</si>
  <si>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</si>
  <si>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</si>
  <si>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</si>
  <si>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</si>
  <si>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</si>
  <si>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</si>
  <si>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</si>
  <si>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</si>
  <si>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</si>
  <si>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</si>
  <si>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</si>
  <si>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</si>
  <si>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</si>
  <si>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</si>
  <si>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</si>
  <si>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</si>
  <si>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</si>
  <si>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</si>
  <si>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</si>
  <si>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</si>
  <si>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</si>
  <si>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</si>
  <si>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</si>
  <si>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</si>
  <si>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</si>
  <si>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</si>
  <si>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</si>
  <si>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</si>
  <si>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</si>
  <si>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</si>
  <si>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</si>
  <si>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</si>
  <si>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</si>
  <si>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</si>
  <si>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</si>
  <si>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</si>
  <si>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</si>
  <si>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</si>
  <si>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</si>
  <si>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</si>
  <si>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</si>
  <si>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</si>
  <si>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</si>
  <si>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</si>
  <si>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</si>
  <si>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</si>
  <si>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</si>
  <si>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</si>
  <si>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</si>
  <si>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</si>
  <si>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</si>
  <si>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</si>
  <si>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</si>
  <si>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</si>
  <si>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</si>
  <si>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</si>
  <si>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</si>
  <si>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</si>
  <si>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</si>
  <si>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</si>
  <si>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</si>
  <si>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</si>
  <si>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</si>
  <si>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</si>
  <si>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</si>
  <si>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</si>
  <si>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</si>
  <si>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</si>
  <si>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</si>
  <si>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</si>
  <si>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</si>
  <si>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</si>
  <si>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</si>
  <si>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</si>
  <si>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</si>
  <si>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</si>
  <si>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</si>
  <si>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</si>
  <si>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</si>
  <si>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</si>
  <si>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</si>
  <si>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</si>
  <si>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</si>
  <si>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</si>
  <si>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</si>
  <si>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</si>
  <si>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</si>
  <si>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</si>
  <si>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</si>
  <si>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</si>
  <si>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</si>
  <si>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</si>
  <si>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</si>
  <si>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</si>
  <si>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</si>
  <si>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</si>
  <si>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</si>
  <si>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</si>
  <si>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</si>
  <si>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</si>
  <si>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</si>
  <si>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</si>
  <si>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</si>
  <si>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</si>
  <si>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</si>
  <si>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</si>
  <si>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</si>
  <si>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</si>
  <si>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</si>
  <si>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</si>
  <si>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</si>
  <si>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</si>
  <si>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</si>
  <si>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</si>
  <si>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</si>
  <si>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</si>
  <si>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</si>
  <si>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</si>
  <si>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</si>
  <si>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</si>
  <si>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</si>
  <si>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</si>
  <si>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</si>
  <si>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</si>
  <si>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</si>
  <si>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</si>
  <si>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</si>
  <si>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</si>
  <si>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</si>
  <si>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</si>
  <si>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</si>
  <si>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</si>
  <si>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</si>
  <si>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</si>
  <si>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</si>
  <si>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</si>
  <si>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</si>
  <si>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</si>
  <si>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</si>
  <si>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</si>
  <si>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</si>
  <si>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</si>
  <si>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</si>
  <si>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</si>
  <si>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</si>
  <si>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</si>
  <si>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</si>
  <si>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</si>
  <si>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</si>
  <si>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</si>
  <si>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</si>
  <si>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</si>
  <si>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</si>
  <si>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</si>
  <si>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</si>
  <si>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</si>
  <si>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</si>
  <si>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</si>
  <si>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</si>
  <si>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</si>
  <si>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</si>
  <si>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3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</si>
  <si>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</si>
  <si>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</si>
  <si>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</si>
  <si>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</si>
  <si>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</si>
  <si>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</si>
  <si>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1:UpperQuestId
2:LowerQuestId
3:UpperDate
4:LowerDate</t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</si>
  <si>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</si>
  <si>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</si>
  <si>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</si>
  <si>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</si>
  <si>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</si>
  <si>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</si>
  <si>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</si>
  <si>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</si>
  <si>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</si>
  <si>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</si>
  <si>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</si>
  <si>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</si>
  <si>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</si>
  <si>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</si>
  <si>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</si>
  <si>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</si>
  <si>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</si>
  <si>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</si>
  <si>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</si>
  <si>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</si>
  <si>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</si>
  <si>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</si>
  <si>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</si>
  <si>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</si>
  <si>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</si>
  <si>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</si>
  <si>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</si>
  <si>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</si>
  <si>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</si>
  <si>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</si>
  <si>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</si>
  <si>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</si>
  <si>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</si>
  <si>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</si>
  <si>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</si>
  <si>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</si>
  <si>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</si>
  <si>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</si>
  <si>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</si>
  <si>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</si>
  <si>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</si>
  <si>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</si>
  <si>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</si>
  <si>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</si>
  <si>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</si>
  <si>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</si>
  <si>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一番前の敵に「自身の攻撃力の100%」のダメージを与え、30%の確率で対象者に沈黙（1ターン）を付与する。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</si>
  <si>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一番前の敵に「自身の攻撃力の100%」のダメージを与え、35%の確率で対象者に命中率ダウン（3ターン、20%ダウン）を付与する。</t>
    <rPh sb="32" eb="34">
      <t>カクリツ</t>
    </rPh>
    <rPh sb="35" eb="37">
      <t>タイショウ</t>
    </rPh>
    <rPh sb="37" eb="38">
      <t>シャ</t>
    </rPh>
    <rPh sb="39" eb="41">
      <t>メイチュウ</t>
    </rPh>
    <rPh sb="41" eb="42">
      <t>リツ</t>
    </rPh>
    <rPh sb="59" eb="61">
      <t>フヨ</t>
    </rPh>
    <phoneticPr fontId="3"/>
  </si>
  <si>
    <t>一番前の敵に「自身の攻撃力の100%」のダメージを与え、100%の確率で自身のHPを「自身の攻撃力の20%」分回復する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</si>
  <si>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一番前の敵に「自身の攻撃力の100%」のダメージを与え、50%の確率で対象者にスリップ状態（2ターン、自身の攻撃力の24%ダメージ）を付与する。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</si>
  <si>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</si>
  <si>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</si>
  <si>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</si>
  <si>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</si>
  <si>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</si>
  <si>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</si>
  <si>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</si>
  <si>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</si>
  <si>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</si>
  <si>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</si>
  <si>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</si>
  <si>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</si>
  <si>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</si>
  <si>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</si>
  <si>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</si>
  <si>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</si>
  <si>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</si>
  <si>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</si>
  <si>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</si>
  <si>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</si>
  <si>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</si>
  <si>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</si>
  <si>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</si>
  <si>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</si>
  <si>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</si>
  <si>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</si>
  <si>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</si>
  <si>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</si>
  <si>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</si>
  <si>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</si>
  <si>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</si>
  <si>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</si>
  <si>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</si>
  <si>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</si>
  <si>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</si>
  <si>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</si>
  <si>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</si>
  <si>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</si>
  <si>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</si>
  <si>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</si>
  <si>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</si>
  <si>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</si>
  <si>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</si>
  <si>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</si>
  <si>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</si>
  <si>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</si>
  <si>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</si>
  <si>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</si>
  <si>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</si>
  <si>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</si>
  <si>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</si>
  <si>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</si>
  <si>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</si>
  <si>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</si>
  <si>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</si>
  <si>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</si>
  <si>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</si>
  <si>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</si>
  <si>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</si>
  <si>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</si>
  <si>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</si>
  <si>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</si>
  <si>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</si>
  <si>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</si>
  <si>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</si>
  <si>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</si>
  <si>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</si>
  <si>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</si>
  <si>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</si>
  <si>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</si>
  <si>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一番前の敵に「自身の攻撃力の100%」のダメージを与え、25%の確率で対象に防御力ダウン（3ターン、10%ダウン）、自身に防御力アップ（3ターン、10%アップ）を付与する。</t>
    <rPh sb="32" eb="34">
      <t>カクリツ</t>
    </rPh>
    <rPh sb="35" eb="37">
      <t>タイショウ</t>
    </rPh>
    <rPh sb="38" eb="41">
      <t>ボウギョリョク</t>
    </rPh>
    <rPh sb="58" eb="60">
      <t>ジシン</t>
    </rPh>
    <rPh sb="61" eb="64">
      <t>ボウギョリョク</t>
    </rPh>
    <rPh sb="81" eb="83">
      <t>フヨ</t>
    </rPh>
    <phoneticPr fontId="3"/>
  </si>
  <si>
    <t>一番前の敵に「自身の攻撃力の100%」のダメージを与え、20%の確率で対象者に沈黙（2ターン）を付与する。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</si>
  <si>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100%の確率で対象者にアクティブスキルダメージダウン（3ターン、15%ダウン）を付与し、自身にアクティブスキルダメージアップ（3ターン、15%アップ）を付与する。</t>
    <rPh sb="33" eb="35">
      <t>カクリツ</t>
    </rPh>
    <rPh sb="36" eb="38">
      <t>タイショウ</t>
    </rPh>
    <rPh sb="38" eb="39">
      <t>シャ</t>
    </rPh>
    <rPh sb="69" eb="71">
      <t>フヨ</t>
    </rPh>
    <rPh sb="73" eb="75">
      <t>ジシン</t>
    </rPh>
    <rPh sb="105" eb="107">
      <t>フヨ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</si>
  <si>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</si>
  <si>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</si>
  <si>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</si>
  <si>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</si>
  <si>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</si>
  <si>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</si>
  <si>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</si>
  <si>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</si>
  <si>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</si>
  <si>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</si>
  <si>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</si>
  <si>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</si>
  <si>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</si>
  <si>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</si>
  <si>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</si>
  <si>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</si>
  <si>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</si>
  <si>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</si>
  <si>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</si>
  <si>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</si>
  <si>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</si>
  <si>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</si>
  <si>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</si>
  <si>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</si>
  <si>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</si>
  <si>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</si>
  <si>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</si>
  <si>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</si>
  <si>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</si>
  <si>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</si>
  <si>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</si>
  <si>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</si>
  <si>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</si>
  <si>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</si>
  <si>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</si>
  <si>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</si>
  <si>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</si>
  <si>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</si>
  <si>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</si>
  <si>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</si>
  <si>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</si>
  <si>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</si>
  <si>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</si>
  <si>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</si>
  <si>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</si>
  <si>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</si>
  <si>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</si>
  <si>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</si>
  <si>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</si>
  <si>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</si>
  <si>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</si>
  <si>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</si>
  <si>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</si>
  <si>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</si>
  <si>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</si>
  <si>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</si>
  <si>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</si>
  <si>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</si>
  <si>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</si>
  <si>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</si>
  <si>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</si>
  <si>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</si>
  <si>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</si>
  <si>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</si>
  <si>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</si>
  <si>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</si>
  <si>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</si>
  <si>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</si>
  <si>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</si>
  <si>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攻撃を受ける度に、30%の確率で反撃（自身の攻撃力の67%ダメージ）を発動する。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</si>
  <si>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攻撃をする度に、対象者に攻撃力ダウン（3ターン、5%ダウン）を付与する。</t>
    <rPh sb="0" eb="2">
      <t>コウゲキ</t>
    </rPh>
    <rPh sb="5" eb="6">
      <t>タビ</t>
    </rPh>
    <rPh sb="8" eb="11">
      <t>タイショウシャ</t>
    </rPh>
    <rPh sb="12" eb="15">
      <t>コウゲキリョク</t>
    </rPh>
    <rPh sb="31" eb="33">
      <t>フヨ</t>
    </rPh>
    <phoneticPr fontId="3"/>
  </si>
  <si>
    <t>攻撃をする度に、対象者にクリティカル率ダウン（3ターン、5%ダウン）を付与する。</t>
    <rPh sb="0" eb="2">
      <t>コウゲキ</t>
    </rPh>
    <rPh sb="5" eb="6">
      <t>タビ</t>
    </rPh>
    <rPh sb="8" eb="11">
      <t>タイショウシャ</t>
    </rPh>
    <rPh sb="18" eb="19">
      <t>リツ</t>
    </rPh>
    <rPh sb="35" eb="37">
      <t>フヨ</t>
    </rPh>
    <phoneticPr fontId="3"/>
  </si>
  <si>
    <t>クリティカルを発動した時、100%の確率で対象者にスリップ状態（2ターン、自身の攻撃力の18%ダメージ）を付与する。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9" eb="31">
      <t>ジョウタイ</t>
    </rPh>
    <rPh sb="37" eb="39">
      <t>ジシン</t>
    </rPh>
    <rPh sb="40" eb="43">
      <t>コウゲキリョク</t>
    </rPh>
    <rPh sb="53" eb="55">
      <t>フヨ</t>
    </rPh>
    <phoneticPr fontId="3"/>
  </si>
  <si>
    <t>攻撃を受ける度に、30%の確率で対象者にスリップ状態（2ターン、自身の攻撃力の20%ダメージ）を付与する。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</si>
  <si>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攻撃を受ける度に、自身にアクティブスキルダメージアップ（2ターン、10%アップ）を付与する。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</si>
  <si>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敵が倒れる度に、自身にクリティカル率アップ（3ターン、15%アップ）を付与する。</t>
    <rPh sb="0" eb="1">
      <t>テキ</t>
    </rPh>
    <rPh sb="2" eb="3">
      <t>タオ</t>
    </rPh>
    <rPh sb="5" eb="6">
      <t>タビ</t>
    </rPh>
    <rPh sb="8" eb="10">
      <t>ジシン</t>
    </rPh>
    <rPh sb="17" eb="18">
      <t>リツ</t>
    </rPh>
    <rPh sb="35" eb="37">
      <t>フヨ</t>
    </rPh>
    <phoneticPr fontId="3"/>
  </si>
  <si>
    <t>HPが30%未満になった時、自身に攻撃力アップ（3ターン、50%アップ）を付与する。（一度のみ発動可能）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</si>
  <si>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攻撃を受ける度に、40%の確率で反撃（自身の攻撃力の63%ダメージ）を発動する。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</si>
  <si>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自身のHPが50%未満になった時、自身に防御力アップ（3ターン、60%アップ）を付与する。</t>
    <rPh sb="0" eb="2">
      <t>ジシン</t>
    </rPh>
    <rPh sb="9" eb="11">
      <t>ミマン</t>
    </rPh>
    <rPh sb="15" eb="16">
      <t>トキ</t>
    </rPh>
    <rPh sb="17" eb="19">
      <t>ジシン</t>
    </rPh>
    <rPh sb="20" eb="23">
      <t>ボウギョリョク</t>
    </rPh>
    <rPh sb="40" eb="42">
      <t>フヨ</t>
    </rPh>
    <phoneticPr fontId="3"/>
  </si>
  <si>
    <t>攻撃をする度に、自身に攻撃力アップ（3ターン、10%アップ）を付与する。</t>
    <rPh sb="0" eb="2">
      <t>コウゲキ</t>
    </rPh>
    <rPh sb="5" eb="6">
      <t>タビ</t>
    </rPh>
    <rPh sb="8" eb="10">
      <t>ジシン</t>
    </rPh>
    <rPh sb="11" eb="14">
      <t>コウゲキリョク</t>
    </rPh>
    <rPh sb="31" eb="33">
      <t>フヨ</t>
    </rPh>
    <phoneticPr fontId="3"/>
  </si>
  <si>
    <t>攻撃を受ける度に、自身にアクティブスキルダメージアップ（2ターン、22%アップ）を付与する。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</si>
  <si>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</si>
  <si>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</si>
  <si>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</si>
  <si>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</si>
  <si>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</si>
  <si>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</si>
  <si>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</si>
  <si>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</si>
  <si>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</si>
  <si>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</si>
  <si>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</si>
  <si>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</si>
  <si>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</si>
  <si>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</si>
  <si>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</si>
  <si>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</si>
  <si>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</si>
  <si>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</si>
  <si>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</si>
  <si>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</si>
  <si>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</si>
  <si>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</si>
  <si>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</si>
  <si>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</si>
  <si>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</si>
  <si>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</si>
  <si>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</si>
  <si>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</si>
  <si>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</si>
  <si>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</si>
  <si>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</si>
  <si>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</si>
  <si>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</si>
  <si>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</si>
  <si>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</si>
  <si>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</si>
  <si>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</si>
  <si>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</si>
  <si>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</si>
  <si>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</si>
  <si>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</si>
  <si>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</si>
  <si>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</si>
  <si>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</si>
  <si>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</si>
  <si>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</si>
  <si>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</si>
  <si>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</si>
  <si>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</si>
  <si>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</si>
  <si>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</si>
  <si>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</si>
  <si>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</si>
  <si>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</si>
  <si>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</si>
  <si>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</si>
  <si>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</si>
  <si>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</si>
  <si>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</si>
  <si>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</si>
  <si>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</si>
  <si>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</si>
  <si>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</si>
  <si>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</si>
  <si>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</si>
  <si>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</si>
  <si>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</si>
  <si>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</si>
  <si>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</si>
  <si>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</si>
  <si>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</si>
  <si>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前列の敵全体に「自身の攻撃力の147%」のダメージを与える。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</si>
  <si>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後列の敵全体に「自身の攻撃力の105%」のダメージを与える。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</si>
  <si>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一番前の敵に「自身の攻撃力の150%」のダメージを与え、スリップ状態（2ターン、自身の攻撃力の36%ダメージ）を付与する。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</si>
  <si>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前列の敵全体に「自身の攻撃力の70%」のダメージを与え、スリップ状態（2ターン、自身の攻撃力の46%ダメージ）を付与する。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</si>
  <si>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ランダムな後列の敵2体に「自身の攻撃力の147%」のダメージを与える。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</si>
  <si>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</si>
  <si>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後列の敵全体に「自身の攻撃力の120%」のダメージを与える。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</si>
  <si>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後列の敵全体に「自身の攻撃力の85%」のダメージを与え、自身に攻撃力アップ（2ターン、30%アップ）を付与する。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1" eb="34">
      <t>コウゲキリョク</t>
    </rPh>
    <rPh sb="51" eb="53">
      <t>フヨ</t>
    </rPh>
    <phoneticPr fontId="3"/>
  </si>
  <si>
    <t>敵全体に「自身の攻撃力の51%」のダメージを与え、15%の確率で対象者にめまい（2ターン）を付与する。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6" eb="48">
      <t>フヨ</t>
    </rPh>
    <phoneticPr fontId="3"/>
  </si>
  <si>
    <t>前列の敵全体に「自身の攻撃力の77%」のダメージを与え、35%の確率で対象者にめまい（2ターン）を付与する。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</si>
  <si>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前列の敵全体に「自身の攻撃力の112%」のダメージを与え、対象者に防御力ダウン（2ターン、21%ダウン）を付与し、50%の確率でめまい（1ターン）を付与する。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74" eb="76">
      <t>フヨ</t>
    </rPh>
    <phoneticPr fontId="3"/>
  </si>
  <si>
    <t>ランダムな後列の敵1体に「自身の攻撃力の110%」のダメージを与え、対象者にめまい（2ターン）を付与する。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8" eb="50">
      <t>フヨ</t>
    </rPh>
    <phoneticPr fontId="3"/>
  </si>
  <si>
    <t>一番前の敵に「自身の攻撃力の100%」のダメージを与え、25%の確率で対象者にめまい（1ターン）を付与する。</t>
    <rPh sb="32" eb="34">
      <t>カクリツ</t>
    </rPh>
    <rPh sb="49" eb="51">
      <t>フヨ</t>
    </rPh>
    <phoneticPr fontId="3"/>
  </si>
  <si>
    <t>一番前の敵に「自身の攻撃力の100%」のダメージを与え、10%の確率で対象者にめまい（1ターン）を付与する。</t>
  </si>
  <si>
    <t>後列の敵全体に「自身の攻撃力の100%」のダメージを与え、対象者にクリティカル率ダウン（2ターン、12%）を付与する。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9" eb="40">
      <t>リツ</t>
    </rPh>
    <rPh sb="54" eb="56">
      <t>フヨ</t>
    </rPh>
    <phoneticPr fontId="3"/>
  </si>
  <si>
    <t>一番前の敵に「自身の攻撃力の100%」のダメージを与え、15%の確率で対象者にめまい（2ターン）を付与する。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</si>
  <si>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前列の敵全体に「自身の攻撃力の150%」のダメージを与え、20%の確率で対象者にめまい（2ターン）を付与する。またランダムな味方4体に防御力アップ（3ターン、15%アップ）を付与する。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2" eb="64">
      <t>ミカタ</t>
    </rPh>
    <rPh sb="65" eb="66">
      <t>タイ</t>
    </rPh>
    <rPh sb="67" eb="70">
      <t>ボウギョリョク</t>
    </rPh>
    <rPh sb="87" eb="89">
      <t>フヨ</t>
    </rPh>
    <phoneticPr fontId="3"/>
  </si>
  <si>
    <t>HPが最も低い敵に「自身の攻撃力の150%」のダメージを与える。</t>
    <rPh sb="3" eb="4">
      <t>モット</t>
    </rPh>
    <rPh sb="5" eb="6">
      <t>ヒク</t>
    </rPh>
    <rPh sb="7" eb="8">
      <t>テキ</t>
    </rPh>
    <rPh sb="28" eb="29">
      <t>アタ</t>
    </rPh>
    <phoneticPr fontId="3"/>
  </si>
  <si>
    <t>後列の敵全体に「自身の攻撃力の110%」のダメージを与え、対象者に防御力ダウン（3ターン、15%ダウン）を付与し、22％の確率で対象者に石化（2ターン）を付与する。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64" eb="66">
      <t>タイショウ</t>
    </rPh>
    <rPh sb="66" eb="67">
      <t>シャ</t>
    </rPh>
    <rPh sb="68" eb="70">
      <t>セキカ</t>
    </rPh>
    <rPh sb="77" eb="79">
      <t>フヨ</t>
    </rPh>
    <phoneticPr fontId="3"/>
  </si>
  <si>
    <t>自身のHPが50%未満になった時、ランダムな後列の敵2体に中毒（4ターン、自身の攻撃力の100%ダメージ）を付与する。（一度のみ発動可能）</t>
    <rPh sb="0" eb="2">
      <t>ジシン</t>
    </rPh>
    <rPh sb="9" eb="11">
      <t>ミマン</t>
    </rPh>
    <rPh sb="15" eb="16">
      <t>トキ</t>
    </rPh>
    <rPh sb="22" eb="24">
      <t>コウレツ</t>
    </rPh>
    <rPh sb="25" eb="26">
      <t>テキ</t>
    </rPh>
    <rPh sb="27" eb="28">
      <t>タイ</t>
    </rPh>
    <rPh sb="29" eb="31">
      <t>チュウドク</t>
    </rPh>
    <rPh sb="37" eb="39">
      <t>ジシン</t>
    </rPh>
    <rPh sb="40" eb="43">
      <t>コウゲキリョク</t>
    </rPh>
    <rPh sb="54" eb="56">
      <t>フヨ</t>
    </rPh>
    <rPh sb="60" eb="62">
      <t>イチド</t>
    </rPh>
    <rPh sb="64" eb="66">
      <t>ハツドウ</t>
    </rPh>
    <rPh sb="66" eb="68">
      <t>カノウ</t>
    </rPh>
    <phoneticPr fontId="3"/>
  </si>
  <si>
    <t>一番前の敵に「自身の攻撃力の100%」のダメージを与え、50%の確率で対象者にめまい（2ターン）を付与する。</t>
    <rPh sb="0" eb="2">
      <t>イチバンマ</t>
    </rPh>
    <rPh sb="2" eb="13">
      <t>エノテキニ「ジシンノコウゲキリョク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</si>
  <si>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後列の敵全体に「自身の攻撃力の80%」のダメージを与え、10%の確率で対象者に石化（2ターン）を付与する。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セキカ</t>
    </rPh>
    <rPh sb="48" eb="50">
      <t>フヨ</t>
    </rPh>
    <phoneticPr fontId="3"/>
  </si>
  <si>
    <t>ランダムな後列の敵1体に「自身の攻撃力の180%」のダメージを与え、対象者に中毒（6ターン、自身の攻撃力の45%ダメージ）を付与し、35%の確率で対象者にめまい（2ターン）を付与する。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チュウドク</t>
    </rPh>
    <rPh sb="46" eb="48">
      <t>ジシン</t>
    </rPh>
    <rPh sb="49" eb="52">
      <t>コウゲキリョク</t>
    </rPh>
    <rPh sb="62" eb="64">
      <t>フヨ</t>
    </rPh>
    <rPh sb="70" eb="72">
      <t>カクリツ</t>
    </rPh>
    <rPh sb="73" eb="75">
      <t>タイショウ</t>
    </rPh>
    <rPh sb="75" eb="76">
      <t>シャ</t>
    </rPh>
    <rPh sb="87" eb="89">
      <t>フヨ</t>
    </rPh>
    <phoneticPr fontId="3"/>
  </si>
  <si>
    <t>火</t>
    <rPh sb="0" eb="1">
      <t>ヒ</t>
    </rPh>
    <phoneticPr fontId="5"/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</si>
  <si>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</si>
  <si>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</si>
  <si>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</si>
  <si>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</si>
  <si>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</si>
  <si>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</si>
  <si>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</si>
  <si>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</si>
  <si>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</si>
  <si>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</si>
  <si>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</si>
  <si>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</si>
  <si>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</si>
  <si>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</si>
  <si>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</si>
  <si>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</si>
  <si>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</si>
  <si>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</si>
  <si>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</si>
  <si>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</si>
  <si>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</si>
  <si>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</si>
  <si>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</si>
  <si>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</si>
  <si>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</si>
  <si>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</si>
  <si>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</si>
  <si>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</si>
  <si>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</si>
  <si>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</si>
  <si>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</si>
  <si>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</si>
  <si>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</si>
  <si>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</si>
  <si>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</si>
  <si>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</si>
  <si>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</si>
  <si>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</si>
  <si>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</si>
  <si>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</si>
  <si>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</si>
  <si>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</si>
  <si>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</si>
  <si>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</si>
  <si>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</si>
  <si>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</si>
  <si>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</si>
  <si>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</si>
  <si>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</si>
  <si>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</si>
  <si>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</si>
  <si>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</si>
  <si>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</si>
  <si>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</si>
  <si>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</si>
  <si>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</si>
  <si>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</si>
  <si>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</si>
  <si>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</si>
  <si>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</si>
  <si>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</si>
  <si>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</si>
  <si>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自身のHPが50%未満になった時、味方全体に攻撃力アップ（3ターン、15%アップ）を付与し、敵全体に防御力ダウン（3ターン、15%ダウン）を付与する。（一度のみ発動可能）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5">
      <t>コウゲキリョク</t>
    </rPh>
    <rPh sb="42" eb="44">
      <t>フヨ</t>
    </rPh>
    <rPh sb="46" eb="47">
      <t>テキ</t>
    </rPh>
    <rPh sb="47" eb="49">
      <t>ゼンタイ</t>
    </rPh>
    <rPh sb="50" eb="53">
      <t>ボウギョリョク</t>
    </rPh>
    <rPh sb="70" eb="72">
      <t>フヨ</t>
    </rPh>
    <rPh sb="76" eb="78">
      <t>イチド</t>
    </rPh>
    <rPh sb="80" eb="82">
      <t>ハツドウ</t>
    </rPh>
    <rPh sb="82" eb="84">
      <t>カノウ</t>
    </rPh>
    <phoneticPr fontId="3"/>
  </si>
  <si>
    <t>ランダムな敵2体に「自身の攻撃力の70%」のダメージを与え、対象者にクリティカル率ダウン（3ターン、10%ダウン）を付与する。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7" eb="28">
      <t>アタ</t>
    </rPh>
    <rPh sb="30" eb="33">
      <t>タイショウシャ</t>
    </rPh>
    <rPh sb="40" eb="41">
      <t>リツ</t>
    </rPh>
    <rPh sb="58" eb="60">
      <t>フヨ</t>
    </rPh>
    <phoneticPr fontId="3"/>
  </si>
  <si>
    <t>後列の敵全体に「自身の攻撃力の110%」のダメージを与え、後列の味方全体にスピードアップ（2ターン、5%アップ）を付与する。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1">
      <t>コウレツ</t>
    </rPh>
    <rPh sb="32" eb="34">
      <t>ミカタ</t>
    </rPh>
    <rPh sb="34" eb="36">
      <t>ゼンタイ</t>
    </rPh>
    <rPh sb="57" eb="59">
      <t>フヨ</t>
    </rPh>
    <phoneticPr fontId="3"/>
  </si>
  <si>
    <t>41の説明文</t>
    <rPh sb="3" eb="6">
      <t>セツメイブン</t>
    </rPh>
    <phoneticPr fontId="3"/>
  </si>
  <si>
    <t>42の説明文</t>
    <rPh sb="3" eb="6">
      <t>セツメイブン</t>
    </rPh>
    <phoneticPr fontId="3"/>
  </si>
  <si>
    <t>43の説明文</t>
    <rPh sb="3" eb="6">
      <t>セツメイブン</t>
    </rPh>
    <phoneticPr fontId="3"/>
  </si>
  <si>
    <t>44の説明文</t>
    <rPh sb="3" eb="6">
      <t>セツメイブン</t>
    </rPh>
    <phoneticPr fontId="3"/>
  </si>
  <si>
    <t>45の説明文</t>
    <rPh sb="3" eb="6">
      <t>セツメイブン</t>
    </rPh>
    <phoneticPr fontId="3"/>
  </si>
  <si>
    <t>46の説明文</t>
    <rPh sb="3" eb="6">
      <t>セツメイブン</t>
    </rPh>
    <phoneticPr fontId="3"/>
  </si>
  <si>
    <t>47の説明文</t>
    <rPh sb="3" eb="6">
      <t>セツメイブン</t>
    </rPh>
    <phoneticPr fontId="3"/>
  </si>
  <si>
    <t>48の説明文</t>
    <rPh sb="3" eb="6">
      <t>セツメイブン</t>
    </rPh>
    <phoneticPr fontId="3"/>
  </si>
  <si>
    <t>49の説明文</t>
    <rPh sb="3" eb="6">
      <t>セツメイブン</t>
    </rPh>
    <phoneticPr fontId="3"/>
  </si>
  <si>
    <t>50の説明文</t>
    <rPh sb="3" eb="6">
      <t>セツメイブン</t>
    </rPh>
    <phoneticPr fontId="3"/>
  </si>
  <si>
    <t>51の説明文</t>
    <rPh sb="3" eb="6">
      <t>セツメイブン</t>
    </rPh>
    <phoneticPr fontId="3"/>
  </si>
  <si>
    <t>52の説明文</t>
    <rPh sb="3" eb="6">
      <t>セツメイブン</t>
    </rPh>
    <phoneticPr fontId="3"/>
  </si>
  <si>
    <t>53の説明文</t>
    <rPh sb="3" eb="6">
      <t>セツメイブン</t>
    </rPh>
    <phoneticPr fontId="3"/>
  </si>
  <si>
    <t>54の説明文</t>
    <rPh sb="3" eb="6">
      <t>セツメイブン</t>
    </rPh>
    <phoneticPr fontId="3"/>
  </si>
  <si>
    <t>55の説明文</t>
    <rPh sb="3" eb="6">
      <t>セツメイブン</t>
    </rPh>
    <phoneticPr fontId="3"/>
  </si>
  <si>
    <t>56の説明文</t>
    <rPh sb="3" eb="6">
      <t>セツメイブン</t>
    </rPh>
    <phoneticPr fontId="3"/>
  </si>
  <si>
    <t>57の説明文</t>
    <rPh sb="3" eb="6">
      <t>セツメイブン</t>
    </rPh>
    <phoneticPr fontId="3"/>
  </si>
  <si>
    <t>58の説明文</t>
    <rPh sb="3" eb="6">
      <t>セツメイブン</t>
    </rPh>
    <phoneticPr fontId="3"/>
  </si>
  <si>
    <t>59の説明文</t>
    <rPh sb="3" eb="6">
      <t>セツメイブン</t>
    </rPh>
    <phoneticPr fontId="3"/>
  </si>
  <si>
    <t>60の説明文</t>
    <rPh sb="3" eb="6">
      <t>セツメイブン</t>
    </rPh>
    <phoneticPr fontId="3"/>
  </si>
  <si>
    <t>61の説明文</t>
    <rPh sb="3" eb="6">
      <t>セツメイブン</t>
    </rPh>
    <phoneticPr fontId="3"/>
  </si>
  <si>
    <t>62の説明文</t>
    <rPh sb="3" eb="6">
      <t>セツメイブン</t>
    </rPh>
    <phoneticPr fontId="3"/>
  </si>
  <si>
    <t>63の説明文</t>
    <rPh sb="3" eb="6">
      <t>セツメイブン</t>
    </rPh>
    <phoneticPr fontId="3"/>
  </si>
  <si>
    <t>64の説明文</t>
    <rPh sb="3" eb="6">
      <t>セツメイブン</t>
    </rPh>
    <phoneticPr fontId="3"/>
  </si>
  <si>
    <t>65の説明文</t>
    <rPh sb="3" eb="6">
      <t>セツメイブン</t>
    </rPh>
    <phoneticPr fontId="3"/>
  </si>
  <si>
    <t>66の説明文</t>
    <rPh sb="3" eb="6">
      <t>セツメイブン</t>
    </rPh>
    <phoneticPr fontId="3"/>
  </si>
  <si>
    <t>67の説明文</t>
    <rPh sb="3" eb="6">
      <t>セツメイブン</t>
    </rPh>
    <phoneticPr fontId="3"/>
  </si>
  <si>
    <t>68の説明文</t>
    <rPh sb="3" eb="6">
      <t>セツメイブン</t>
    </rPh>
    <phoneticPr fontId="3"/>
  </si>
  <si>
    <t>69の説明文</t>
    <rPh sb="3" eb="6">
      <t>セツメイブン</t>
    </rPh>
    <phoneticPr fontId="3"/>
  </si>
  <si>
    <t>70の説明文</t>
    <rPh sb="3" eb="6">
      <t>セツメイブン</t>
    </rPh>
    <phoneticPr fontId="3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</si>
  <si>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</si>
  <si>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</si>
  <si>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</si>
  <si>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</si>
  <si>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</si>
  <si>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</si>
  <si>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</si>
  <si>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</si>
  <si>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</si>
  <si>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</si>
  <si>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</si>
  <si>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</si>
  <si>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</si>
  <si>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</si>
  <si>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</si>
  <si>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</si>
  <si>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</si>
  <si>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</si>
  <si>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</si>
  <si>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</si>
  <si>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</si>
  <si>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</si>
  <si>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</si>
  <si>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</si>
  <si>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</si>
  <si>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</si>
  <si>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</si>
  <si>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</si>
  <si>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</si>
  <si>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</si>
  <si>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</si>
  <si>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</si>
  <si>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</si>
  <si>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</si>
  <si>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</si>
  <si>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</si>
  <si>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</si>
  <si>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</si>
  <si>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</si>
  <si>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</si>
  <si>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</si>
  <si>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</si>
  <si>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</si>
  <si>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</si>
  <si>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</si>
  <si>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</si>
  <si>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</si>
  <si>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</si>
  <si>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</si>
  <si>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</si>
  <si>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</si>
  <si>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</si>
  <si>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</si>
  <si>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</si>
  <si>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</si>
  <si>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</si>
  <si>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</si>
  <si>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</si>
  <si>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</si>
  <si>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</si>
  <si>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</si>
  <si>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</si>
  <si>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</si>
  <si>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</si>
  <si>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</si>
  <si>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</si>
  <si>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</si>
  <si>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</si>
  <si>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</si>
  <si>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</si>
  <si>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</si>
  <si>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</si>
  <si>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</si>
  <si>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</si>
  <si>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</si>
  <si>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</si>
  <si>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</si>
  <si>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</si>
  <si>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</si>
  <si>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</si>
  <si>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</si>
  <si>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</si>
  <si>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</si>
  <si>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</si>
  <si>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</si>
  <si>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</si>
  <si>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</si>
  <si>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</si>
  <si>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</si>
  <si>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</si>
  <si>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</si>
  <si>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</si>
  <si>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</si>
  <si>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</si>
  <si>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</si>
  <si>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</si>
  <si>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</si>
  <si>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</si>
  <si>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</si>
  <si>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</si>
  <si>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</si>
  <si>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</si>
  <si>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</si>
  <si>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</si>
  <si>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</si>
  <si>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</si>
  <si>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</si>
  <si>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</si>
  <si>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</si>
  <si>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</si>
  <si>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</si>
  <si>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</si>
  <si>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</si>
  <si>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</si>
  <si>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</si>
  <si>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</si>
  <si>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</si>
  <si>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</si>
  <si>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</si>
  <si>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</si>
  <si>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</si>
  <si>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</si>
  <si>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</si>
  <si>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</si>
  <si>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</si>
  <si>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</si>
  <si>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</si>
  <si>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</si>
  <si>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</si>
  <si>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</si>
  <si>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</si>
  <si>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</si>
  <si>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</si>
  <si>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</si>
  <si>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</si>
  <si>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</si>
  <si>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</si>
  <si>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</si>
  <si>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</si>
  <si>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</si>
  <si>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</si>
  <si>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</si>
  <si>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</si>
  <si>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</si>
  <si>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</si>
  <si>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</si>
  <si>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</si>
  <si>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</si>
  <si>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</si>
  <si>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</si>
  <si>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</si>
  <si>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</si>
  <si>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</si>
  <si>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</si>
  <si>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</si>
  <si>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</si>
  <si>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</si>
  <si>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</si>
  <si>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</si>
  <si>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</si>
  <si>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</si>
  <si>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</si>
  <si>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</si>
  <si>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</si>
  <si>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</si>
  <si>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</si>
  <si>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</si>
  <si>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</si>
  <si>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</si>
  <si>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</si>
  <si>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</si>
  <si>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</si>
  <si>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</si>
  <si>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</si>
  <si>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</si>
  <si>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</si>
  <si>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</si>
  <si>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phoneticPr fontId="3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</si>
  <si>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3"/>
  </si>
  <si>
    <t>HPが30%未満になった時、自身に防御力アップ（3ターン、64%アップ）を付与する。（一度のみ発動可能）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ボウギョリョク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</si>
  <si>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攻撃を受ける度に、30%の確率で対象者に中毒状態（2ターン、自身の攻撃力の20%ダメージ）を付与する。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0" eb="22">
      <t>チュウドク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</si>
  <si>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skillType</t>
    <phoneticPr fontId="3"/>
  </si>
  <si>
    <t>スキルタイプ（アクション用）</t>
    <rPh sb="12" eb="13">
      <t>ヨウ</t>
    </rPh>
    <phoneticPr fontId="3"/>
  </si>
  <si>
    <t>一番前の敵に「自身の攻撃力の100%」のダメージを与え、35%の確率で対象者に恐怖（1ターン）を付与する。</t>
    <rPh sb="32" eb="34">
      <t>カクリツ</t>
    </rPh>
    <rPh sb="35" eb="37">
      <t>タイショウ</t>
    </rPh>
    <rPh sb="37" eb="38">
      <t>シャ</t>
    </rPh>
    <rPh sb="39" eb="41">
      <t>キョウフ</t>
    </rPh>
    <rPh sb="48" eb="50">
      <t>フヨ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</si>
  <si>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</si>
  <si>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クリティカルを発動した時、100%の確率で対象者に燃焼状態（2ターン、自身の攻撃力の18%ダメージ）を付与する。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</si>
  <si>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15" eb="17">
      <t>ジシン</t>
    </rPh>
    <rPh sb="18" eb="21">
      <t>カイフクリョク</t>
    </rPh>
    <rPh sb="26" eb="27">
      <t>ブン</t>
    </rPh>
    <rPh sb="27" eb="29">
      <t>カイフク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</si>
  <si>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26" eb="27">
      <t>ブン</t>
    </rPh>
    <rPh sb="27" eb="29">
      <t>カイフク</t>
    </rPh>
    <phoneticPr fontId="3"/>
  </si>
  <si>
    <t>攻撃がブロックされた時、自身のHPを「自身の回復力の25%」分回復する。</t>
    <rPh sb="0" eb="2">
      <t>コウゲキ</t>
    </rPh>
    <rPh sb="10" eb="11">
      <t>トキ</t>
    </rPh>
    <rPh sb="12" eb="14">
      <t>ジシン</t>
    </rPh>
    <rPh sb="30" eb="31">
      <t>ブン</t>
    </rPh>
    <rPh sb="31" eb="33">
      <t>カイフク</t>
    </rPh>
    <phoneticPr fontId="3"/>
  </si>
  <si>
    <t>自身が倒された時、味方全体のHPを「自身の回復力の70%」分回復させ、クリティカル率アップ（3ターン、50%アップ）を付与する。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29" eb="30">
      <t>ブン</t>
    </rPh>
    <rPh sb="30" eb="32">
      <t>カイフク</t>
    </rPh>
    <rPh sb="41" eb="42">
      <t>リツ</t>
    </rPh>
    <rPh sb="59" eb="61">
      <t>フヨ</t>
    </rPh>
    <phoneticPr fontId="3"/>
  </si>
  <si>
    <t>攻撃を受ける度に、50%の確率で自身のHPを「自身の回復力の35%」分回復する。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34" eb="35">
      <t>ブン</t>
    </rPh>
    <rPh sb="35" eb="37">
      <t>カイフク</t>
    </rPh>
    <phoneticPr fontId="3"/>
  </si>
  <si>
    <t>クリティカルを発動した時、自身のHPを「自身の回復力の38%」分回復する。</t>
    <rPh sb="7" eb="9">
      <t>ハツドウ</t>
    </rPh>
    <rPh sb="11" eb="12">
      <t>トキ</t>
    </rPh>
    <rPh sb="13" eb="15">
      <t>ジシン</t>
    </rPh>
    <rPh sb="31" eb="32">
      <t>ブン</t>
    </rPh>
    <rPh sb="32" eb="34">
      <t>カイフク</t>
    </rPh>
    <phoneticPr fontId="3"/>
  </si>
  <si>
    <t>敵にめまいが付与される度、HPが最も低い味方のHPを「自身の回復力の100%」分回復させる。</t>
    <rPh sb="0" eb="1">
      <t>テキ</t>
    </rPh>
    <rPh sb="6" eb="8">
      <t>フヨ</t>
    </rPh>
    <rPh sb="11" eb="12">
      <t>タビ</t>
    </rPh>
    <rPh sb="16" eb="17">
      <t>モット</t>
    </rPh>
    <rPh sb="18" eb="19">
      <t>ヒク</t>
    </rPh>
    <rPh sb="20" eb="22">
      <t>ミカタ</t>
    </rPh>
    <rPh sb="39" eb="40">
      <t>ブン</t>
    </rPh>
    <rPh sb="40" eb="42">
      <t>カイフク</t>
    </rPh>
    <phoneticPr fontId="3"/>
  </si>
  <si>
    <t>敵が倒れる度に、自身にダメージ軽減率アップ（1ターン、10%アップ）を付与し、自身のHPを「自身の回復力の100%」分回復する。</t>
    <rPh sb="0" eb="1">
      <t>テキ</t>
    </rPh>
    <rPh sb="2" eb="3">
      <t>タオ</t>
    </rPh>
    <rPh sb="5" eb="6">
      <t>タビ</t>
    </rPh>
    <rPh sb="8" eb="10">
      <t>ジシン</t>
    </rPh>
    <rPh sb="15" eb="17">
      <t>ケイゲン</t>
    </rPh>
    <rPh sb="17" eb="18">
      <t>リツ</t>
    </rPh>
    <rPh sb="35" eb="37">
      <t>フヨ</t>
    </rPh>
    <rPh sb="39" eb="41">
      <t>ジシン</t>
    </rPh>
    <rPh sb="58" eb="59">
      <t>ブン</t>
    </rPh>
    <rPh sb="59" eb="61">
      <t>カイフク</t>
    </rPh>
    <phoneticPr fontId="3"/>
  </si>
  <si>
    <t>敵がブロックした時、自身のHPを「自身の回復力の45%」分回復する。</t>
    <rPh sb="0" eb="1">
      <t>テキ</t>
    </rPh>
    <rPh sb="8" eb="9">
      <t>トキ</t>
    </rPh>
    <rPh sb="10" eb="12">
      <t>ジシン</t>
    </rPh>
    <rPh sb="28" eb="29">
      <t>ブン</t>
    </rPh>
    <rPh sb="29" eb="31">
      <t>カイフク</t>
    </rPh>
    <phoneticPr fontId="3"/>
  </si>
  <si>
    <t>自身のHPが50%未満になった時、味方全体に被回復量アップ（3ターン、5%アップ）を付与し、自身のHPを「自身の回復力の100%」分回復する。（一度のみ発動可能）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3">
      <t>ヒ</t>
    </rPh>
    <rPh sb="23" eb="25">
      <t>カイフク</t>
    </rPh>
    <rPh sb="25" eb="26">
      <t>リョウ</t>
    </rPh>
    <rPh sb="42" eb="44">
      <t>フヨ</t>
    </rPh>
    <rPh sb="46" eb="48">
      <t>ジシン</t>
    </rPh>
    <rPh sb="65" eb="66">
      <t>ブン</t>
    </rPh>
    <rPh sb="66" eb="68">
      <t>カイフク</t>
    </rPh>
    <rPh sb="72" eb="74">
      <t>イチド</t>
    </rPh>
    <rPh sb="76" eb="78">
      <t>ハツドウ</t>
    </rPh>
    <rPh sb="78" eb="80">
      <t>カノウ</t>
    </rPh>
    <phoneticPr fontId="3"/>
  </si>
  <si>
    <t>HPが最も低い敵に「自身の攻撃力の280%」のダメージを与え、自身のHPを「自身の回復力の120%」分回復し、攻撃力アップ（6ターン、40%アップ）を付与する。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50" eb="51">
      <t>ブン</t>
    </rPh>
    <rPh sb="51" eb="53">
      <t>カイフク</t>
    </rPh>
    <rPh sb="55" eb="58">
      <t>コウゲキリョク</t>
    </rPh>
    <rPh sb="75" eb="77">
      <t>フヨ</t>
    </rPh>
    <phoneticPr fontId="3"/>
  </si>
  <si>
    <t>後列の敵全体に「自身の攻撃力の80%」のダメージを与え、自身のHPを「自身の回復力の80%」分回復する。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</si>
  <si>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ランダムな後列の敵2体に「自身の攻撃力の108%」のダメージを与え、HPが最も低い味方のHPを「自身の回復力の250%」分回復させる。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7" eb="38">
      <t>モット</t>
    </rPh>
    <rPh sb="39" eb="40">
      <t>ヒク</t>
    </rPh>
    <rPh sb="41" eb="43">
      <t>ミカタ</t>
    </rPh>
    <rPh sb="60" eb="61">
      <t>ブン</t>
    </rPh>
    <rPh sb="61" eb="63">
      <t>カイフク</t>
    </rPh>
    <phoneticPr fontId="3"/>
  </si>
  <si>
    <t>前列の敵全体に「自身の攻撃力の112%」のダメージを与え、前列の味方全体のHPを「自身の回復力の44%」分回復させる。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1">
      <t>ゼンレツ</t>
    </rPh>
    <rPh sb="32" eb="34">
      <t>ミカタ</t>
    </rPh>
    <rPh sb="52" eb="53">
      <t>ブン</t>
    </rPh>
    <rPh sb="53" eb="55">
      <t>カイフク</t>
    </rPh>
    <phoneticPr fontId="3"/>
  </si>
  <si>
    <t>一番前の敵に「自身の攻撃力の160%」のダメージを与え、ランダムな前列の味方1体のHPを「自身の回復力の75%」分回復させる。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56" eb="57">
      <t>ブン</t>
    </rPh>
    <rPh sb="57" eb="59">
      <t>カイフク</t>
    </rPh>
    <phoneticPr fontId="3"/>
  </si>
  <si>
    <t>前列の敵全体に「自身の攻撃力の126%」のダメージを与え、30%の確率で対象者にめまい（2ターン）を付与する。またHPが最も低い味方のHPを「自身の回復力の90%」分回復させる。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0" eb="61">
      <t>モット</t>
    </rPh>
    <rPh sb="62" eb="63">
      <t>ヒク</t>
    </rPh>
    <rPh sb="64" eb="66">
      <t>ミカタ</t>
    </rPh>
    <rPh sb="82" eb="83">
      <t>ブン</t>
    </rPh>
    <rPh sb="83" eb="85">
      <t>カイフク</t>
    </rPh>
    <phoneticPr fontId="3"/>
  </si>
  <si>
    <t>一番前の敵に「自身の攻撃力の180%」のダメージを与え、自身のHPを「自身の回復力の75%」分回復する。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</si>
  <si>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HPが最も低い敵に「自身の攻撃力の162%」のダメージを与え、自身のHPを「自身の回復力の75%」分回復する。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49" eb="50">
      <t>ブン</t>
    </rPh>
    <rPh sb="50" eb="52">
      <t>カイフク</t>
    </rPh>
    <phoneticPr fontId="3"/>
  </si>
  <si>
    <t>ランダムな後列の敵2体に「自身の攻撃力の132%」のダメージを与え、ランダムな後列の味方2体のHPを「自身の回復力の160%」分回復させる。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9" eb="41">
      <t>コウレツ</t>
    </rPh>
    <rPh sb="42" eb="44">
      <t>ミカタ</t>
    </rPh>
    <rPh sb="45" eb="46">
      <t>タイ</t>
    </rPh>
    <rPh sb="63" eb="64">
      <t>ブン</t>
    </rPh>
    <rPh sb="64" eb="66">
      <t>カイフク</t>
    </rPh>
    <phoneticPr fontId="3"/>
  </si>
  <si>
    <t>一番前の敵に「自身の攻撃力の150%」のダメージを与え、前列の味方全体のHPを「自身の回復力の70%」分回復させる。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ゼンレツ</t>
    </rPh>
    <rPh sb="31" eb="33">
      <t>ミカタ</t>
    </rPh>
    <rPh sb="33" eb="35">
      <t>ゼンタイ</t>
    </rPh>
    <rPh sb="51" eb="52">
      <t>ブン</t>
    </rPh>
    <rPh sb="52" eb="54">
      <t>カイフク</t>
    </rPh>
    <phoneticPr fontId="3"/>
  </si>
  <si>
    <t>HPが30%未満になった時、自身に攻撃力アップ（3ターン、64%アップ）を付与する。（一度のみ発動可能）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</si>
  <si>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一番前の敵に「自身の攻撃力の100%」のダメージを与え、100%の確率で自身のHPを「自身の回復力の20%」分回復する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</si>
  <si>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一番前の敵に「自身の攻撃力の100%」のダメージを与え、50%の確率で対象者に中毒状態（2ターン、自身の攻撃力の24%ダメージ）を付与する。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1" eb="43">
      <t>ジョウタイ</t>
    </rPh>
    <rPh sb="49" eb="51">
      <t>ジシン</t>
    </rPh>
    <rPh sb="52" eb="55">
      <t>コウゲキリョク</t>
    </rPh>
    <rPh sb="65" eb="67">
      <t>フヨ</t>
    </rPh>
    <phoneticPr fontId="3"/>
  </si>
  <si>
    <t>一番前の敵に「自身の攻撃力の100%」のダメージを与え、25%の確率で対象者に束縛（1ターン）を付与する。</t>
    <rPh sb="32" eb="34">
      <t>カクリツ</t>
    </rPh>
    <rPh sb="39" eb="41">
      <t>ソクバク</t>
    </rPh>
    <rPh sb="48" eb="50">
      <t>フヨ</t>
    </rPh>
    <phoneticPr fontId="3"/>
  </si>
  <si>
    <t>一番前の敵に「自身の攻撃力の100%」のダメージを与え、20%の確率で対象者に感電（1ターン）を付与する。</t>
    <rPh sb="39" eb="41">
      <t>カンデン</t>
    </rPh>
    <phoneticPr fontId="3"/>
  </si>
  <si>
    <t>一番前の敵に「自身の攻撃力の110%」のダメージを与え、対象者に氷結（2ターン）を付与する。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ヒョウケツ</t>
    </rPh>
    <rPh sb="41" eb="43">
      <t>フヨ</t>
    </rPh>
    <phoneticPr fontId="3"/>
  </si>
  <si>
    <t>ランダムな敵3体に「自身の攻撃力の140%」のダメージを与え、20%の確率で対象者に束縛（2ターン）を付与する。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</si>
  <si>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一番前の敵に「自身の攻撃力の110%」のダメージを与え、流血状態（2ターン、自身の攻撃力の60%ダメージ）を付与する。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リュウケツ</t>
    </rPh>
    <rPh sb="30" eb="32">
      <t>ジョウタイ</t>
    </rPh>
    <rPh sb="38" eb="40">
      <t>ジシン</t>
    </rPh>
    <rPh sb="41" eb="44">
      <t>コウゲキリョク</t>
    </rPh>
    <rPh sb="54" eb="56">
      <t>フヨ</t>
    </rPh>
    <phoneticPr fontId="3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</si>
  <si>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3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</si>
  <si>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3"/>
  </si>
  <si>
    <t>攻撃をする度に、自身にクリティカル率アップ（3ターン、8%アップ）を付与する。</t>
    <rPh sb="0" eb="2">
      <t>コウゲキ</t>
    </rPh>
    <rPh sb="5" eb="6">
      <t>タビ</t>
    </rPh>
    <rPh sb="8" eb="10">
      <t>ジシン</t>
    </rPh>
    <rPh sb="17" eb="18">
      <t>リツ</t>
    </rPh>
    <rPh sb="34" eb="36">
      <t>フヨ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</si>
  <si>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</si>
  <si>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</si>
  <si>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攻撃を受ける度に、攻撃者に燃焼（15ターン、自身の攻撃力の10%ダメージ）を付与する。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22" eb="24">
      <t>ジシン</t>
    </rPh>
    <rPh sb="25" eb="28">
      <t>コウゲキリョク</t>
    </rPh>
    <rPh sb="38" eb="40">
      <t>フヨ</t>
    </rPh>
    <phoneticPr fontId="3"/>
  </si>
  <si>
    <t>攻撃をする度に、対象者に流血（15ターン、自身の攻撃力の10%ダメージ）を付与する。</t>
    <rPh sb="0" eb="2">
      <t>コウゲキ</t>
    </rPh>
    <rPh sb="5" eb="6">
      <t>タビ</t>
    </rPh>
    <rPh sb="8" eb="10">
      <t>タイショウ</t>
    </rPh>
    <rPh sb="10" eb="11">
      <t>シャ</t>
    </rPh>
    <rPh sb="12" eb="14">
      <t>リュウケツ</t>
    </rPh>
    <rPh sb="21" eb="23">
      <t>ジシン</t>
    </rPh>
    <rPh sb="24" eb="27">
      <t>コウゲキリョク</t>
    </rPh>
    <rPh sb="37" eb="39">
      <t>フヨ</t>
    </rPh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</si>
  <si>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phoneticPr fontId="3"/>
  </si>
  <si>
    <t>一番前の敵に「自身の攻撃力の100%」のダメージを与え、50%の確率で対象者に燃焼（2ターン、自身の攻撃力の40%ダメージ）を付与する。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</si>
  <si>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一番前の敵に「自身の攻撃力の100%」のダメージを与え、100%の確率で自身のHPを「自身の回復力の25%」分回復する。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</si>
  <si>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一番前の敵に「自身の攻撃力の100%」のダメージを与え、15%の確率で対象者に束縛（1ターン）を付与する。</t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</si>
  <si>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一番前の敵に「自身の攻撃力の100%」のダメージを与え、50%の確率で対象者に中毒（2ターン、自身の攻撃力の30%ダメージ）を付与する。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</si>
  <si>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一番前の敵に「自身の攻撃力の100%」のダメージを与え、40%の確率で対象者に中毒（2ターン、自身の攻撃力の22%ダメージ）を付与する。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</si>
  <si>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HPが最も低い敵に「自身の攻撃力の100%」のダメージを与え、50%の確率で対象者に流血（2ターン、自身の攻撃力の24%）を付与する。</t>
    <rPh sb="3" eb="4">
      <t>モット</t>
    </rPh>
    <rPh sb="5" eb="6">
      <t>ヒク</t>
    </rPh>
    <rPh sb="7" eb="8">
      <t>テキ</t>
    </rPh>
    <rPh sb="35" eb="37">
      <t>カクリツ</t>
    </rPh>
    <rPh sb="38" eb="40">
      <t>タイショウ</t>
    </rPh>
    <rPh sb="40" eb="41">
      <t>シャ</t>
    </rPh>
    <rPh sb="42" eb="44">
      <t>リュウケツ</t>
    </rPh>
    <rPh sb="50" eb="52">
      <t>ジシン</t>
    </rPh>
    <rPh sb="53" eb="56">
      <t>コウゲキリョク</t>
    </rPh>
    <rPh sb="62" eb="64">
      <t>フヨ</t>
    </rPh>
    <phoneticPr fontId="3"/>
  </si>
  <si>
    <t>ランダムな後列の敵1体に「自身の攻撃力の100%」のダメージを与え、自身にアクティブスキルダメージアップ（2ターン、20%アップ）を付与する。</t>
    <rPh sb="5" eb="7">
      <t>コウレツ</t>
    </rPh>
    <rPh sb="8" eb="9">
      <t>テキ</t>
    </rPh>
    <rPh sb="10" eb="11">
      <t>タイ</t>
    </rPh>
    <rPh sb="34" eb="36">
      <t>ジシン</t>
    </rPh>
    <rPh sb="66" eb="68">
      <t>フヨ</t>
    </rPh>
    <phoneticPr fontId="3"/>
  </si>
  <si>
    <t>一番前の敵に「自身の攻撃力の100%」のダメージを与え、100%の確率でランダムな前列の味方1体のHPを「自身の回復力の35%」分回復させる。</t>
    <rPh sb="33" eb="35">
      <t>カクリツ</t>
    </rPh>
    <rPh sb="41" eb="43">
      <t>ゼンレツ</t>
    </rPh>
    <rPh sb="44" eb="46">
      <t>ミカタ</t>
    </rPh>
    <rPh sb="47" eb="48">
      <t>タイ</t>
    </rPh>
    <rPh sb="53" eb="55">
      <t>ジシン</t>
    </rPh>
    <rPh sb="56" eb="59">
      <t>カイフクリョク</t>
    </rPh>
    <rPh sb="64" eb="65">
      <t>ブン</t>
    </rPh>
    <rPh sb="65" eb="67">
      <t>カイフク</t>
    </rPh>
    <phoneticPr fontId="3"/>
  </si>
  <si>
    <t>一番前の敵に「自身の攻撃力の100%」のダメージを与え、15%の確率で対象者に氷結（1ターン）を付与する。</t>
    <rPh sb="32" eb="34">
      <t>カクリツ</t>
    </rPh>
    <rPh sb="35" eb="37">
      <t>タイショウ</t>
    </rPh>
    <rPh sb="37" eb="38">
      <t>シャ</t>
    </rPh>
    <rPh sb="39" eb="41">
      <t>ヒョウケツ</t>
    </rPh>
    <rPh sb="48" eb="50">
      <t>フヨ</t>
    </rPh>
    <phoneticPr fontId="3"/>
  </si>
  <si>
    <t>一番前の敵に「自身の攻撃力の100%」のダメージを与え、50%の確率で対象者に燃焼（2ターン、自身の攻撃力の30%ダメージ）を付与する。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</si>
  <si>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一番前の敵に「自身の攻撃力の100%」のダメージを与え、40%の確率で対象者に流血（2ターン、自身の攻撃力の22%ダメージ）を付与する。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</si>
  <si>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ランダムな後列の敵2体に「自身の攻撃力の144%」のダメージを与え、対象者に流血（15ターン、自身の攻撃力の13%ダメージ）を付与する。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</si>
  <si>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HPが最も低い敵に「自身の攻撃力の135%」のダメージを与え、対象者に中毒（2ターン、自身の攻撃力の43%ダメージ）を付与する。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</si>
  <si>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前列の敵全体に「自身の攻撃力の84%」のダメージを与え、35%の確率で対象者に束縛（2ターン）を付与する。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</si>
  <si>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後列の敵全体に「自身の攻撃力の50%」のダメージを与え、対象者に燃焼（2ターン、自身の攻撃力の45%）を付与する。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1">
      <t>タイショウシャ</t>
    </rPh>
    <rPh sb="32" eb="34">
      <t>ネンショウ</t>
    </rPh>
    <rPh sb="40" eb="42">
      <t>ジシン</t>
    </rPh>
    <rPh sb="43" eb="46">
      <t>コウゲキリョク</t>
    </rPh>
    <rPh sb="52" eb="54">
      <t>フヨ</t>
    </rPh>
    <phoneticPr fontId="3"/>
  </si>
  <si>
    <t>HPが最も低い敵に「自身の攻撃力の180%」のダメージを与え、流血（2ターン、自身の攻撃力の30%ダメージ）を付与する。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リュウケツ</t>
    </rPh>
    <rPh sb="39" eb="41">
      <t>ジシン</t>
    </rPh>
    <rPh sb="42" eb="45">
      <t>コウゲキリョク</t>
    </rPh>
    <rPh sb="55" eb="57">
      <t>フヨ</t>
    </rPh>
    <phoneticPr fontId="3"/>
  </si>
  <si>
    <t>一番前の敵に「自身の攻撃力の120%」のダメージを与え、対象者に感電（2ターン）を付与する。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カンデン</t>
    </rPh>
    <rPh sb="41" eb="43">
      <t>フヨ</t>
    </rPh>
    <phoneticPr fontId="3"/>
  </si>
  <si>
    <t>triggerTypeOptionValue</t>
    <phoneticPr fontId="3"/>
  </si>
  <si>
    <t>int</t>
    <phoneticPr fontId="3"/>
  </si>
  <si>
    <t>トリガータイプ用のオプション値</t>
    <rPh sb="7" eb="8">
      <t>ヨウ</t>
    </rPh>
    <rPh sb="14" eb="15">
      <t>アタイ</t>
    </rPh>
    <phoneticPr fontId="3"/>
  </si>
  <si>
    <t>バトル開始時に、自身に中毒特攻（永続、60%アップ、解除不可）を付与する。</t>
    <rPh sb="3" eb="5">
      <t>カイシ</t>
    </rPh>
    <rPh sb="5" eb="6">
      <t>ジ</t>
    </rPh>
    <rPh sb="8" eb="10">
      <t>ジシン</t>
    </rPh>
    <rPh sb="11" eb="13">
      <t>チュウドク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</si>
  <si>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バトル開始時に、自身に束縛特攻（永続、56%アップ、解除不可）を付与する。</t>
    <rPh sb="3" eb="5">
      <t>カイシ</t>
    </rPh>
    <rPh sb="5" eb="6">
      <t>ジ</t>
    </rPh>
    <rPh sb="8" eb="10">
      <t>ジシン</t>
    </rPh>
    <rPh sb="11" eb="13">
      <t>ソクバク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</si>
  <si>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バトル開始時に、自身に石化特攻（永続、80%アップ、解除不可）を付与する。</t>
    <rPh sb="3" eb="5">
      <t>カイシ</t>
    </rPh>
    <rPh sb="5" eb="6">
      <t>ジ</t>
    </rPh>
    <rPh sb="8" eb="10">
      <t>ジシン</t>
    </rPh>
    <rPh sb="11" eb="13">
      <t>セキカ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</si>
  <si>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</si>
  <si>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</si>
  <si>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</si>
  <si>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</si>
  <si>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</si>
  <si>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</si>
  <si>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</si>
  <si>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</si>
  <si>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自身のHPが50%未満になった時、自身にリジェネ（3ターン、自身の回復力の240%分回復）を付与する。（一度のみ発動可能）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30" eb="32">
      <t>ジシン</t>
    </rPh>
    <rPh sb="33" eb="36">
      <t>カイフクリョク</t>
    </rPh>
    <rPh sb="41" eb="42">
      <t>ブン</t>
    </rPh>
    <rPh sb="42" eb="44">
      <t>カイフク</t>
    </rPh>
    <rPh sb="46" eb="48">
      <t>フヨ</t>
    </rPh>
    <rPh sb="52" eb="54">
      <t>イチド</t>
    </rPh>
    <rPh sb="56" eb="58">
      <t>ハツドウ</t>
    </rPh>
    <rPh sb="58" eb="60">
      <t>カノウ</t>
    </rPh>
    <phoneticPr fontId="3"/>
  </si>
  <si>
    <t>一番前の敵に「自身の攻撃力の100%」のダメージを与え、対象者に流血（4ターン、自身の攻撃力の25%ダメージ）を付与し、自身にクリティカル率アップ（4ターン、11%アップ）を付与する。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リュウケツ</t>
    </rPh>
    <rPh sb="40" eb="42">
      <t>ジシン</t>
    </rPh>
    <rPh sb="43" eb="46">
      <t>コウゲキリョク</t>
    </rPh>
    <rPh sb="56" eb="58">
      <t>フヨ</t>
    </rPh>
    <rPh sb="60" eb="62">
      <t>ジシン</t>
    </rPh>
    <rPh sb="69" eb="70">
      <t>リツ</t>
    </rPh>
    <rPh sb="87" eb="89">
      <t>フヨ</t>
    </rPh>
    <phoneticPr fontId="3"/>
  </si>
  <si>
    <t>一番前の敵に「自身の攻撃力の100%」のダメージを与え、40%の確率で対象者に束縛（1ターン）を付与する。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</si>
  <si>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前列の敵全体に「自身の攻撃力の80%」のダメージを与え、10%の確率で対象者に感電（2ターン）を付与する。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カンデン</t>
    </rPh>
    <rPh sb="48" eb="50">
      <t>フヨ</t>
    </rPh>
    <phoneticPr fontId="3"/>
  </si>
  <si>
    <t>一番前の敵に「自身の攻撃力の100%」のダメージを与え、自身のHPを「自身の回復力の24%」分回復する。</t>
    <rPh sb="0" eb="2">
      <t>イチバンマ</t>
    </rPh>
    <rPh sb="2" eb="13">
      <t>エノテキニ「ジシンノコウゲキリョク</t>
    </rPh>
    <rPh sb="25" eb="26">
      <t>アタ</t>
    </rPh>
    <rPh sb="28" eb="30">
      <t>ジシン</t>
    </rPh>
    <rPh sb="35" eb="37">
      <t>ジシン</t>
    </rPh>
    <rPh sb="38" eb="41">
      <t>カイフクリョク</t>
    </rPh>
    <rPh sb="46" eb="47">
      <t>ブン</t>
    </rPh>
    <rPh sb="47" eb="49">
      <t>カイフク</t>
    </rPh>
    <phoneticPr fontId="3"/>
  </si>
  <si>
    <t>一番前の敵に「自身の攻撃力の100%」のダメージを与え、味方全体にリジェネ（2ターン、自身の回復力の50%分回復）を付与する。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ミカタ</t>
    </rPh>
    <rPh sb="30" eb="32">
      <t>ゼンタイ</t>
    </rPh>
    <rPh sb="43" eb="45">
      <t>ジシン</t>
    </rPh>
    <rPh sb="46" eb="49">
      <t>カイフクリョク</t>
    </rPh>
    <rPh sb="53" eb="54">
      <t>ブン</t>
    </rPh>
    <rPh sb="54" eb="56">
      <t>カイフク</t>
    </rPh>
    <rPh sb="58" eb="60">
      <t>フヨ</t>
    </rPh>
    <phoneticPr fontId="3"/>
  </si>
  <si>
    <t>ランダムな敵2体に「自身の攻撃力の132%」のダメージを与え、対象者に中毒（2ターン、自身の攻撃力の60%ダメージ）を付与する。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</si>
  <si>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ランダムな敵3体に「自身の攻撃力の100%」のダメージを与え、60%の確率で対象者に束縛（2ターン）を付与する。</t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</si>
  <si>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前列の敵全体に「自身の攻撃力の122%」のダメージを与え、40%の確率で対象者に感電（2ターン）を付与する。また自身のHPを「自身の最大HPの10%」分回復する。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2">
      <t>カンデン</t>
    </rPh>
    <rPh sb="49" eb="51">
      <t>フヨ</t>
    </rPh>
    <rPh sb="56" eb="58">
      <t>ジシン</t>
    </rPh>
    <rPh sb="63" eb="65">
      <t>ジシン</t>
    </rPh>
    <rPh sb="66" eb="68">
      <t>サイダイ</t>
    </rPh>
    <rPh sb="75" eb="76">
      <t>ブン</t>
    </rPh>
    <rPh sb="76" eb="78">
      <t>カイフク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</si>
  <si>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</si>
  <si>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</si>
  <si>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</si>
  <si>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</si>
  <si>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rPh sb="506" eb="508">
      <t>ミカタ</t>
    </rPh>
    <rPh sb="508" eb="510">
      <t>ゼンエイ</t>
    </rPh>
    <rPh sb="511" eb="512">
      <t>ナカ</t>
    </rPh>
    <rPh sb="520" eb="521">
      <t>タイ</t>
    </rPh>
    <rPh sb="548" eb="549">
      <t>ウシ</t>
    </rPh>
    <rPh sb="606" eb="607">
      <t>テキ</t>
    </rPh>
    <rPh sb="607" eb="608">
      <t>マエ</t>
    </rPh>
    <rPh sb="645" eb="646">
      <t>ウシ</t>
    </rPh>
    <phoneticPr fontId="3"/>
  </si>
  <si>
    <t>一番前の敵に「自身の攻撃力の100%」のダメージを与え、20%の確率で対象者に氷結（1ターン）を付与する。</t>
    <rPh sb="39" eb="41">
      <t>ヒョウケツ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</si>
  <si>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</si>
  <si>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</si>
  <si>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</si>
  <si>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</si>
  <si>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</si>
  <si>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</si>
  <si>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</si>
  <si>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</si>
  <si>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</si>
  <si>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</si>
  <si>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</si>
  <si>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</si>
  <si>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</si>
  <si>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</si>
  <si>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</si>
  <si>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斬撃</t>
    <rPh sb="0" eb="2">
      <t>ザンゲキ</t>
    </rPh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</si>
  <si>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</si>
  <si>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</si>
  <si>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</si>
  <si>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</si>
  <si>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</si>
  <si>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</si>
  <si>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</si>
  <si>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</si>
  <si>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</si>
  <si>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下からの光</t>
    <rPh sb="0" eb="1">
      <t>シタ</t>
    </rPh>
    <rPh sb="4" eb="5">
      <t>ヒカリ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</si>
  <si>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</si>
  <si>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</si>
  <si>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</si>
  <si>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</si>
  <si>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</si>
  <si>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</si>
  <si>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</si>
  <si>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</si>
  <si>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</si>
  <si>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</si>
  <si>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</si>
  <si>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</si>
  <si>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</si>
  <si>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</si>
  <si>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</si>
  <si>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小さい緑</t>
    <rPh sb="0" eb="1">
      <t>チイ</t>
    </rPh>
    <rPh sb="3" eb="4">
      <t>ミドリ</t>
    </rPh>
    <phoneticPr fontId="3"/>
  </si>
  <si>
    <t>ハート</t>
    <phoneticPr fontId="3"/>
  </si>
  <si>
    <t>紫の自己暗示</t>
    <rPh sb="0" eb="1">
      <t>ムラサキ</t>
    </rPh>
    <rPh sb="2" eb="4">
      <t>ジコ</t>
    </rPh>
    <rPh sb="4" eb="6">
      <t>アンジ</t>
    </rPh>
    <phoneticPr fontId="3"/>
  </si>
  <si>
    <t>ドクロ攻撃</t>
    <rPh sb="3" eb="5">
      <t>コウゲキ</t>
    </rPh>
    <phoneticPr fontId="3"/>
  </si>
  <si>
    <t>上矢印</t>
    <rPh sb="0" eb="1">
      <t>ウエ</t>
    </rPh>
    <rPh sb="1" eb="3">
      <t>ヤジルシ</t>
    </rPh>
    <phoneticPr fontId="3"/>
  </si>
  <si>
    <t>下矢印</t>
    <rPh sb="0" eb="1">
      <t>シタ</t>
    </rPh>
    <rPh sb="1" eb="3">
      <t>ヤジルシ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</si>
  <si>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</si>
  <si>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</si>
  <si>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</si>
  <si>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小さい火の玉</t>
    <rPh sb="0" eb="1">
      <t>チイ</t>
    </rPh>
    <rPh sb="3" eb="4">
      <t>ヒ</t>
    </rPh>
    <rPh sb="5" eb="6">
      <t>タマ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</si>
  <si>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</si>
  <si>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</si>
  <si>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小さい電撃</t>
    <rPh sb="0" eb="1">
      <t>チイ</t>
    </rPh>
    <rPh sb="3" eb="5">
      <t>デンゲキ</t>
    </rPh>
    <phoneticPr fontId="3"/>
  </si>
  <si>
    <t>小さい土</t>
    <rPh sb="0" eb="1">
      <t>チイ</t>
    </rPh>
    <rPh sb="3" eb="4">
      <t>ツチ</t>
    </rPh>
    <phoneticPr fontId="3"/>
  </si>
  <si>
    <t>小さい氷</t>
    <rPh sb="0" eb="1">
      <t>チイ</t>
    </rPh>
    <rPh sb="3" eb="4">
      <t>コオリ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</si>
  <si>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</si>
  <si>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</si>
  <si>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</si>
  <si>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</si>
  <si>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</si>
  <si>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</si>
  <si>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</si>
  <si>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</si>
  <si>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</si>
  <si>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</si>
  <si>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</si>
  <si>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</si>
  <si>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</si>
  <si>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</si>
  <si>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</si>
  <si>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</si>
  <si>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</si>
  <si>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血</t>
    <rPh sb="0" eb="1">
      <t>チ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</si>
  <si>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</si>
  <si>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</si>
  <si>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</si>
  <si>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</si>
  <si>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</si>
  <si>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</si>
  <si>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</si>
  <si>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</si>
  <si>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</si>
  <si>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</si>
  <si>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</si>
  <si>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</si>
  <si>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</si>
  <si>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</si>
  <si>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</si>
  <si>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</si>
  <si>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</si>
  <si>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</si>
  <si>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</si>
  <si>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</si>
  <si>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</si>
  <si>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</si>
  <si>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</si>
  <si>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</si>
  <si>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</si>
  <si>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</si>
  <si>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</si>
  <si>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</si>
  <si>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</si>
  <si>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</si>
  <si>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</si>
  <si>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</si>
  <si>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</si>
  <si>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</si>
  <si>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</si>
  <si>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</si>
  <si>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</si>
  <si>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</si>
  <si>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</si>
  <si>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</si>
  <si>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</si>
  <si>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</si>
  <si>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</si>
  <si>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</si>
  <si>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</si>
  <si>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</si>
  <si>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</si>
  <si>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</si>
  <si>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</si>
  <si>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</si>
  <si>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</si>
  <si>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</si>
  <si>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</si>
  <si>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</si>
  <si>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</si>
  <si>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</si>
  <si>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</si>
  <si>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</si>
  <si>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</si>
  <si>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</si>
  <si>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</si>
  <si>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</si>
  <si>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</si>
  <si>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</si>
  <si>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</si>
  <si>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</si>
  <si>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</si>
  <si>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</si>
  <si>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</si>
  <si>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</si>
  <si>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</si>
  <si>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</si>
  <si>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</si>
  <si>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</si>
  <si>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</si>
  <si>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</si>
  <si>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</si>
  <si>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</si>
  <si>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</si>
  <si>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</si>
  <si>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</si>
  <si>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</si>
  <si>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</si>
  <si>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</si>
  <si>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</si>
  <si>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</si>
  <si>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</si>
  <si>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</si>
  <si>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</si>
  <si>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</si>
  <si>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</si>
  <si>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</si>
  <si>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</si>
  <si>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</si>
  <si>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</si>
  <si>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</si>
  <si>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</si>
  <si>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</si>
  <si>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</si>
  <si>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</si>
  <si>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</si>
  <si>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</si>
  <si>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</si>
  <si>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</si>
  <si>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</si>
  <si>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</si>
  <si>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</si>
  <si>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</si>
  <si>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</si>
  <si>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</si>
  <si>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</si>
  <si>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</si>
  <si>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</si>
  <si>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</si>
  <si>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</si>
  <si>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</si>
  <si>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</si>
  <si>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</si>
  <si>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</si>
  <si>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</si>
  <si>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</si>
  <si>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</si>
  <si>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</si>
  <si>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</si>
  <si>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</si>
  <si>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</si>
  <si>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</si>
  <si>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</si>
  <si>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</si>
  <si>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</si>
  <si>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</si>
  <si>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</si>
  <si>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</si>
  <si>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</si>
  <si>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</si>
  <si>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</si>
  <si>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</si>
  <si>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</si>
  <si>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</si>
  <si>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</si>
  <si>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</si>
  <si>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</si>
  <si>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</si>
  <si>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</si>
  <si>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</si>
  <si>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</si>
  <si>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</si>
  <si>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</si>
  <si>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</si>
  <si>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</si>
  <si>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</si>
  <si>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</si>
  <si>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</si>
  <si>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</si>
  <si>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</si>
  <si>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</si>
  <si>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</si>
  <si>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</si>
  <si>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</si>
  <si>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</si>
  <si>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</si>
  <si>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</si>
  <si>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</si>
  <si>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</si>
  <si>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</si>
  <si>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</si>
  <si>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</si>
  <si>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</si>
  <si>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</si>
  <si>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</si>
  <si>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</si>
  <si>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</si>
  <si>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</si>
  <si>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</si>
  <si>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</si>
  <si>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</si>
  <si>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</si>
  <si>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</si>
  <si>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</si>
  <si>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</si>
  <si>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</si>
  <si>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</si>
  <si>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</si>
  <si>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</si>
  <si>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</si>
  <si>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</si>
  <si>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</si>
  <si>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</si>
  <si>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</si>
  <si>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</si>
  <si>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</si>
  <si>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</si>
  <si>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</si>
  <si>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</si>
  <si>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</si>
  <si>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</si>
  <si>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</si>
  <si>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</si>
  <si>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</si>
  <si>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</si>
  <si>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</si>
  <si>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</si>
  <si>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</si>
  <si>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</si>
  <si>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</si>
  <si>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</si>
  <si>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</si>
  <si>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</si>
  <si>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</si>
  <si>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</si>
  <si>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</si>
  <si>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</si>
  <si>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</si>
  <si>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</si>
  <si>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</si>
  <si>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</si>
  <si>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</si>
  <si>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</si>
  <si>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</si>
  <si>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</si>
  <si>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</si>
  <si>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</si>
  <si>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</si>
  <si>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</si>
  <si>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</si>
  <si>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</si>
  <si>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</si>
  <si>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</si>
  <si>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</si>
  <si>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</si>
  <si>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</si>
  <si>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</si>
  <si>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</si>
  <si>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</si>
  <si>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</si>
  <si>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</si>
  <si>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</si>
  <si>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</si>
  <si>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</si>
  <si>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</si>
  <si>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</si>
  <si>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</si>
  <si>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</si>
  <si>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</si>
  <si>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</si>
  <si>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</si>
  <si>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</si>
  <si>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</si>
  <si>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</si>
  <si>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</si>
  <si>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</si>
  <si>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</si>
  <si>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</si>
  <si>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</si>
  <si>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</si>
  <si>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</si>
  <si>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</si>
  <si>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</si>
  <si>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</si>
  <si>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</si>
  <si>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</si>
  <si>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</si>
  <si>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</si>
  <si>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</si>
  <si>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</si>
  <si>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</si>
  <si>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</si>
  <si>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</si>
  <si>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</si>
  <si>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</si>
  <si>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</si>
  <si>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</si>
  <si>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</si>
  <si>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</si>
  <si>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</si>
  <si>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</si>
  <si>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</si>
  <si>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</si>
  <si>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</si>
  <si>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</si>
  <si>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</si>
  <si>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</si>
  <si>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</si>
  <si>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</si>
  <si>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</si>
  <si>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</si>
  <si>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</si>
  <si>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</si>
  <si>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</si>
  <si>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</si>
  <si>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</si>
  <si>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</si>
  <si>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</si>
  <si>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</si>
  <si>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</si>
  <si>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</si>
  <si>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</si>
  <si>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</si>
  <si>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</si>
  <si>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</si>
  <si>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</si>
  <si>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</si>
  <si>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</si>
  <si>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</si>
  <si>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</si>
  <si>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</si>
  <si>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</si>
  <si>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</si>
  <si>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</si>
  <si>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</si>
  <si>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</si>
  <si>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</si>
  <si>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</si>
  <si>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</si>
  <si>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</si>
  <si>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</si>
  <si>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</si>
  <si>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</si>
  <si>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</si>
  <si>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</si>
  <si>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</si>
  <si>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</si>
  <si>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</si>
  <si>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</si>
  <si>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</si>
  <si>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</si>
  <si>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</si>
  <si>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パッシブスキルR1 +</t>
    <phoneticPr fontId="3"/>
  </si>
  <si>
    <t>パッシブスキルR1 ++</t>
    <phoneticPr fontId="3"/>
  </si>
  <si>
    <t>パッシブスキルR2 +</t>
    <phoneticPr fontId="3"/>
  </si>
  <si>
    <t>パッシブスキルR2 ++</t>
    <phoneticPr fontId="3"/>
  </si>
  <si>
    <t>パッシブスキルR3 +</t>
    <phoneticPr fontId="3"/>
  </si>
  <si>
    <t>パッシブスキルR4 +</t>
    <phoneticPr fontId="3"/>
  </si>
  <si>
    <t>パッシブスキルR5 +</t>
    <phoneticPr fontId="3"/>
  </si>
  <si>
    <t>パッシブスキルR6 +</t>
    <phoneticPr fontId="3"/>
  </si>
  <si>
    <t>パッシブスキルR7 +</t>
    <phoneticPr fontId="3"/>
  </si>
  <si>
    <t>パッシブスキルR8 +</t>
    <phoneticPr fontId="3"/>
  </si>
  <si>
    <t>パッシブスキルR9 +</t>
    <phoneticPr fontId="3"/>
  </si>
  <si>
    <t>パッシブスキルR10 +</t>
    <phoneticPr fontId="3"/>
  </si>
  <si>
    <t>パッシブスキルR11 +</t>
    <phoneticPr fontId="3"/>
  </si>
  <si>
    <t>パッシブスキルR12 +</t>
    <phoneticPr fontId="3"/>
  </si>
  <si>
    <t>パッシブスキルR13 +</t>
    <phoneticPr fontId="3"/>
  </si>
  <si>
    <t>パッシブスキルR14 +</t>
    <phoneticPr fontId="3"/>
  </si>
  <si>
    <t>パッシブスキルR15 +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</si>
  <si>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</si>
  <si>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</si>
  <si>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</si>
  <si>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</si>
  <si>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</si>
  <si>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</si>
  <si>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</si>
  <si>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</si>
  <si>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</si>
  <si>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</si>
  <si>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</si>
  <si>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</si>
  <si>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</si>
  <si>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</si>
  <si>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</si>
  <si>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</si>
  <si>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</si>
  <si>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</si>
  <si>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</si>
  <si>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</si>
  <si>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</si>
  <si>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</si>
  <si>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</si>
  <si>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</si>
  <si>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</si>
  <si>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</si>
  <si>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</si>
  <si>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</si>
  <si>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</si>
  <si>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</si>
  <si>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</si>
  <si>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</si>
  <si>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</si>
  <si>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</si>
  <si>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</si>
  <si>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</si>
  <si>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</si>
  <si>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</si>
  <si>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</si>
  <si>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</si>
  <si>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</si>
  <si>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</si>
  <si>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</si>
  <si>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</si>
  <si>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</si>
  <si>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</si>
  <si>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</si>
  <si>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</si>
  <si>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</si>
  <si>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</si>
  <si>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</si>
  <si>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</si>
  <si>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</si>
  <si>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</si>
  <si>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</si>
  <si>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パッシブスキルR3 ++</t>
    <phoneticPr fontId="3"/>
  </si>
  <si>
    <t>パッシブスキルR4 ++</t>
    <phoneticPr fontId="3"/>
  </si>
  <si>
    <t>パッシブスキルR5 ++</t>
    <phoneticPr fontId="3"/>
  </si>
  <si>
    <t>パッシブスキルR6 ++</t>
    <phoneticPr fontId="3"/>
  </si>
  <si>
    <t>パッシブスキルR7 ++</t>
    <phoneticPr fontId="3"/>
  </si>
  <si>
    <t>パッシブスキルR8 ++</t>
    <phoneticPr fontId="3"/>
  </si>
  <si>
    <t>パッシブスキルR9 ++</t>
    <phoneticPr fontId="3"/>
  </si>
  <si>
    <t>パッシブスキルR10 ++</t>
    <phoneticPr fontId="3"/>
  </si>
  <si>
    <t>パッシブスキルR11 ++</t>
    <phoneticPr fontId="3"/>
  </si>
  <si>
    <t>パッシブスキルR12 ++</t>
    <phoneticPr fontId="3"/>
  </si>
  <si>
    <t>パッシブスキルR13 ++</t>
    <phoneticPr fontId="3"/>
  </si>
  <si>
    <t>パッシブスキルR14 ++</t>
    <phoneticPr fontId="3"/>
  </si>
  <si>
    <t>パッシブスキルR15 ++</t>
    <phoneticPr fontId="3"/>
  </si>
  <si>
    <t>パッシブスキルSR1 ++</t>
    <phoneticPr fontId="3"/>
  </si>
  <si>
    <t>パッシブスキルSR2 ++</t>
    <phoneticPr fontId="3"/>
  </si>
  <si>
    <t>パッシブスキルSR3 ++</t>
    <phoneticPr fontId="3"/>
  </si>
  <si>
    <t>パッシブスキルSR4 ++</t>
    <phoneticPr fontId="3"/>
  </si>
  <si>
    <t>パッシブスキルSR5 ++</t>
    <phoneticPr fontId="3"/>
  </si>
  <si>
    <t>パッシブスキルSR6 ++</t>
    <phoneticPr fontId="3"/>
  </si>
  <si>
    <t>パッシブスキルSR7 ++</t>
    <phoneticPr fontId="3"/>
  </si>
  <si>
    <t>パッシブスキルSR8 ++</t>
    <phoneticPr fontId="3"/>
  </si>
  <si>
    <t>パッシブスキルSR9 ++</t>
    <phoneticPr fontId="3"/>
  </si>
  <si>
    <t>パッシブスキルSR10 ++</t>
    <phoneticPr fontId="3"/>
  </si>
  <si>
    <t>パッシブスキルSR11 ++</t>
    <phoneticPr fontId="3"/>
  </si>
  <si>
    <t>パッシブスキルSR12 ++</t>
    <phoneticPr fontId="3"/>
  </si>
  <si>
    <t>パッシブスキルSR13 ++</t>
    <phoneticPr fontId="3"/>
  </si>
  <si>
    <t>パッシブスキルSR14 ++</t>
    <phoneticPr fontId="3"/>
  </si>
  <si>
    <t>パッシブスキルSR15 ++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</si>
  <si>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</si>
  <si>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</si>
  <si>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</si>
  <si>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</si>
  <si>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</si>
  <si>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</si>
  <si>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</si>
  <si>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</si>
  <si>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</si>
  <si>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</si>
  <si>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</si>
  <si>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</si>
  <si>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</si>
  <si>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</si>
  <si>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</si>
  <si>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</si>
  <si>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</si>
  <si>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</si>
  <si>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</si>
  <si>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</si>
  <si>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</si>
  <si>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</si>
  <si>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</si>
  <si>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</si>
  <si>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</si>
  <si>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</si>
  <si>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</si>
  <si>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</si>
  <si>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</si>
  <si>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</si>
  <si>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</si>
  <si>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</si>
  <si>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</si>
  <si>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</si>
  <si>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</si>
  <si>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</si>
  <si>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</si>
  <si>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</si>
  <si>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</si>
  <si>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</si>
  <si>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</si>
  <si>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</si>
  <si>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</si>
  <si>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</si>
  <si>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</si>
  <si>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</si>
  <si>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</si>
  <si>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</si>
  <si>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</si>
  <si>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</si>
  <si>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</si>
  <si>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</si>
  <si>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</si>
  <si>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</si>
  <si>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</si>
  <si>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</si>
  <si>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</si>
  <si>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</si>
  <si>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</si>
  <si>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</si>
  <si>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</si>
  <si>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</si>
  <si>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</si>
  <si>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</si>
  <si>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</si>
  <si>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</si>
  <si>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</si>
  <si>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</si>
  <si>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</si>
  <si>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</si>
  <si>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</si>
  <si>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</si>
  <si>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</si>
  <si>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</si>
  <si>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</si>
  <si>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</si>
  <si>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</si>
  <si>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</si>
  <si>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</si>
  <si>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</si>
  <si>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</si>
  <si>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</si>
  <si>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</si>
  <si>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</si>
  <si>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</si>
  <si>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</si>
  <si>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</si>
  <si>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</si>
  <si>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</si>
  <si>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</si>
  <si>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</si>
  <si>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</si>
  <si>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</si>
  <si>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</si>
  <si>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</si>
  <si>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</si>
  <si>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</si>
  <si>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</si>
  <si>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</si>
  <si>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</si>
  <si>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</si>
  <si>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</si>
  <si>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</si>
  <si>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</si>
  <si>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</si>
  <si>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</si>
  <si>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</si>
  <si>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</si>
  <si>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</si>
  <si>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</si>
  <si>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</si>
  <si>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</si>
  <si>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通常スキルR1 ++</t>
    <rPh sb="0" eb="2">
      <t>ツウジョウ</t>
    </rPh>
    <phoneticPr fontId="3"/>
  </si>
  <si>
    <t>通常スキルR2 ++</t>
    <rPh sb="0" eb="2">
      <t>ツウジョウ</t>
    </rPh>
    <phoneticPr fontId="3"/>
  </si>
  <si>
    <t>通常スキルR3 ++</t>
    <rPh sb="0" eb="2">
      <t>ツウジョウ</t>
    </rPh>
    <phoneticPr fontId="3"/>
  </si>
  <si>
    <t>通常スキルR4 ++</t>
    <rPh sb="0" eb="2">
      <t>ツウジョウ</t>
    </rPh>
    <phoneticPr fontId="3"/>
  </si>
  <si>
    <t>通常スキルR5 ++</t>
    <rPh sb="0" eb="2">
      <t>ツウジョウ</t>
    </rPh>
    <phoneticPr fontId="3"/>
  </si>
  <si>
    <t>通常スキルR6 ++</t>
    <rPh sb="0" eb="2">
      <t>ツウジョウ</t>
    </rPh>
    <phoneticPr fontId="3"/>
  </si>
  <si>
    <t>通常スキルR7 ++</t>
    <rPh sb="0" eb="2">
      <t>ツウジョウ</t>
    </rPh>
    <phoneticPr fontId="3"/>
  </si>
  <si>
    <t>通常スキルR8 ++</t>
    <rPh sb="0" eb="2">
      <t>ツウジョウ</t>
    </rPh>
    <phoneticPr fontId="3"/>
  </si>
  <si>
    <t>通常スキルR9 ++</t>
    <rPh sb="0" eb="2">
      <t>ツウジョウ</t>
    </rPh>
    <phoneticPr fontId="3"/>
  </si>
  <si>
    <t>通常スキルR10 ++</t>
    <rPh sb="0" eb="2">
      <t>ツウジョウ</t>
    </rPh>
    <phoneticPr fontId="3"/>
  </si>
  <si>
    <t>通常スキルR11 ++</t>
    <rPh sb="0" eb="2">
      <t>ツウジョウ</t>
    </rPh>
    <phoneticPr fontId="3"/>
  </si>
  <si>
    <t>通常スキルR12 ++</t>
    <rPh sb="0" eb="2">
      <t>ツウジョウ</t>
    </rPh>
    <phoneticPr fontId="3"/>
  </si>
  <si>
    <t>通常スキルR13 ++</t>
    <rPh sb="0" eb="2">
      <t>ツウジョウ</t>
    </rPh>
    <phoneticPr fontId="3"/>
  </si>
  <si>
    <t>通常スキルR14 ++</t>
    <rPh sb="0" eb="2">
      <t>ツウジョウ</t>
    </rPh>
    <phoneticPr fontId="3"/>
  </si>
  <si>
    <t>通常スキルR15 ++</t>
    <rPh sb="0" eb="2">
      <t>ツウジョウ</t>
    </rPh>
    <phoneticPr fontId="3"/>
  </si>
  <si>
    <t>通常スキルSR1 ++</t>
    <rPh sb="0" eb="2">
      <t>ツウジョウ</t>
    </rPh>
    <phoneticPr fontId="3"/>
  </si>
  <si>
    <t>通常スキルSR2 ++</t>
    <rPh sb="0" eb="2">
      <t>ツウジョウ</t>
    </rPh>
    <phoneticPr fontId="3"/>
  </si>
  <si>
    <t>通常スキルSR3 ++</t>
    <rPh sb="0" eb="2">
      <t>ツウジョウ</t>
    </rPh>
    <phoneticPr fontId="3"/>
  </si>
  <si>
    <t>通常スキルSR4 ++</t>
    <rPh sb="0" eb="2">
      <t>ツウジョウ</t>
    </rPh>
    <phoneticPr fontId="3"/>
  </si>
  <si>
    <t>通常スキルSR5 ++</t>
    <rPh sb="0" eb="2">
      <t>ツウジョウ</t>
    </rPh>
    <phoneticPr fontId="3"/>
  </si>
  <si>
    <t>通常スキルSR6 ++</t>
    <rPh sb="0" eb="2">
      <t>ツウジョウ</t>
    </rPh>
    <phoneticPr fontId="3"/>
  </si>
  <si>
    <t>通常スキルSR7 ++</t>
    <rPh sb="0" eb="2">
      <t>ツウジョウ</t>
    </rPh>
    <phoneticPr fontId="3"/>
  </si>
  <si>
    <t>通常スキルSR8 ++</t>
    <rPh sb="0" eb="2">
      <t>ツウジョウ</t>
    </rPh>
    <phoneticPr fontId="3"/>
  </si>
  <si>
    <t>通常スキルSR9 ++</t>
    <rPh sb="0" eb="2">
      <t>ツウジョウ</t>
    </rPh>
    <phoneticPr fontId="3"/>
  </si>
  <si>
    <t>通常スキルSR10 ++</t>
    <rPh sb="0" eb="2">
      <t>ツウジョウ</t>
    </rPh>
    <phoneticPr fontId="3"/>
  </si>
  <si>
    <t>通常スキルSR11 ++</t>
    <rPh sb="0" eb="2">
      <t>ツウジョウ</t>
    </rPh>
    <phoneticPr fontId="3"/>
  </si>
  <si>
    <t>通常スキルSR12 ++</t>
    <rPh sb="0" eb="2">
      <t>ツウジョウ</t>
    </rPh>
    <phoneticPr fontId="3"/>
  </si>
  <si>
    <t>通常スキルSR13 ++</t>
    <rPh sb="0" eb="2">
      <t>ツウジョウ</t>
    </rPh>
    <phoneticPr fontId="3"/>
  </si>
  <si>
    <t>通常スキルSR14 ++</t>
    <rPh sb="0" eb="2">
      <t>ツウジョウ</t>
    </rPh>
    <phoneticPr fontId="3"/>
  </si>
  <si>
    <t>通常スキルSR15 ++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</si>
  <si>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</si>
  <si>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</si>
  <si>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</si>
  <si>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</si>
  <si>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</si>
  <si>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</si>
  <si>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</si>
  <si>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</si>
  <si>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</si>
  <si>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</si>
  <si>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</si>
  <si>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</si>
  <si>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</si>
  <si>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</si>
  <si>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</si>
  <si>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</si>
  <si>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</si>
  <si>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</si>
  <si>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</si>
  <si>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</si>
  <si>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</si>
  <si>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</si>
  <si>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</si>
  <si>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</si>
  <si>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</si>
  <si>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</si>
  <si>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</si>
  <si>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</si>
  <si>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</si>
  <si>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</si>
  <si>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</si>
  <si>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</si>
  <si>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</si>
  <si>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</si>
  <si>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</si>
  <si>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</si>
  <si>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</si>
  <si>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</si>
  <si>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</si>
  <si>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</si>
  <si>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</si>
  <si>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</si>
  <si>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</si>
  <si>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</si>
  <si>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</si>
  <si>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</si>
  <si>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</si>
  <si>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</si>
  <si>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</si>
  <si>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</si>
  <si>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</si>
  <si>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</si>
  <si>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</si>
  <si>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</si>
  <si>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</si>
  <si>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</si>
  <si>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</si>
  <si>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</si>
  <si>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</si>
  <si>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</si>
  <si>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</si>
  <si>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</si>
  <si>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</si>
  <si>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</si>
  <si>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</si>
  <si>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</si>
  <si>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</si>
  <si>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</si>
  <si>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</si>
  <si>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</si>
  <si>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</si>
  <si>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</si>
  <si>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</si>
  <si>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</si>
  <si>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</si>
  <si>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</si>
  <si>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</si>
  <si>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</si>
  <si>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</si>
  <si>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</si>
  <si>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</si>
  <si>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</si>
  <si>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</si>
  <si>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</si>
  <si>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</si>
  <si>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</si>
  <si>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</si>
  <si>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</si>
  <si>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</si>
  <si>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</si>
  <si>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</si>
  <si>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</si>
  <si>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</si>
  <si>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</si>
  <si>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</si>
  <si>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</si>
  <si>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</si>
  <si>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</si>
  <si>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</si>
  <si>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</si>
  <si>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</si>
  <si>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</si>
  <si>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</si>
  <si>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</si>
  <si>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</si>
  <si>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</si>
  <si>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</si>
  <si>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</si>
  <si>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</si>
  <si>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</si>
  <si>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アルティメットスキルR1++</t>
    <phoneticPr fontId="3"/>
  </si>
  <si>
    <t>アルティメットスキルR2++</t>
    <phoneticPr fontId="3"/>
  </si>
  <si>
    <t>アルティメットスキルR3++</t>
    <phoneticPr fontId="3"/>
  </si>
  <si>
    <t>アルティメットスキルR4++</t>
    <phoneticPr fontId="3"/>
  </si>
  <si>
    <t>アルティメットスキルR5++</t>
    <phoneticPr fontId="3"/>
  </si>
  <si>
    <t>アルティメットスキルR6++</t>
    <phoneticPr fontId="3"/>
  </si>
  <si>
    <t>アルティメットスキルR7++</t>
    <phoneticPr fontId="3"/>
  </si>
  <si>
    <t>アルティメットスキルR8++</t>
    <phoneticPr fontId="3"/>
  </si>
  <si>
    <t>アルティメットスキルR9++</t>
    <phoneticPr fontId="3"/>
  </si>
  <si>
    <t>アルティメットスキルR10++</t>
    <phoneticPr fontId="3"/>
  </si>
  <si>
    <t>アルティメットスキルR11++</t>
    <phoneticPr fontId="3"/>
  </si>
  <si>
    <t>アルティメットスキルR12++</t>
    <phoneticPr fontId="3"/>
  </si>
  <si>
    <t>アルティメットスキルR13++</t>
    <phoneticPr fontId="3"/>
  </si>
  <si>
    <t>アルティメットスキルR14++</t>
    <phoneticPr fontId="3"/>
  </si>
  <si>
    <t>アルティメットスキルR15++</t>
    <phoneticPr fontId="3"/>
  </si>
  <si>
    <t>アルティメットスキルSR1++</t>
    <phoneticPr fontId="3"/>
  </si>
  <si>
    <t>アルティメットスキルSR2++</t>
    <phoneticPr fontId="3"/>
  </si>
  <si>
    <t>アルティメットスキルSR3++</t>
    <phoneticPr fontId="3"/>
  </si>
  <si>
    <t>アルティメットスキルSR4++</t>
    <phoneticPr fontId="3"/>
  </si>
  <si>
    <t>アルティメットスキルSR5++</t>
    <phoneticPr fontId="3"/>
  </si>
  <si>
    <t>アルティメットスキルSR6++</t>
    <phoneticPr fontId="3"/>
  </si>
  <si>
    <t>アルティメットスキルSR7++</t>
    <phoneticPr fontId="3"/>
  </si>
  <si>
    <t>アルティメットスキルSR8++</t>
    <phoneticPr fontId="3"/>
  </si>
  <si>
    <t>アルティメットスキルSR9++</t>
    <phoneticPr fontId="3"/>
  </si>
  <si>
    <t>アルティメットスキルSR10++</t>
    <phoneticPr fontId="3"/>
  </si>
  <si>
    <t>アルティメットスキルSR11++</t>
    <phoneticPr fontId="3"/>
  </si>
  <si>
    <t>アルティメットスキルSR12++</t>
    <phoneticPr fontId="3"/>
  </si>
  <si>
    <t>アルティメットスキルSR14++</t>
    <phoneticPr fontId="3"/>
  </si>
  <si>
    <t>アルティメットスキルSR15++</t>
    <phoneticPr fontId="3"/>
  </si>
  <si>
    <t>アルティメットスキルSR13++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</si>
  <si>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</si>
  <si>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</si>
  <si>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</si>
  <si>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</si>
  <si>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</si>
  <si>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</si>
  <si>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</si>
  <si>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</si>
  <si>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</si>
  <si>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</si>
  <si>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</si>
  <si>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</si>
  <si>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</si>
  <si>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</si>
  <si>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</si>
  <si>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</si>
  <si>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</si>
  <si>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</si>
  <si>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</si>
  <si>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</si>
  <si>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</si>
  <si>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</si>
  <si>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</si>
  <si>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</si>
  <si>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</si>
  <si>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</si>
  <si>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</si>
  <si>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</si>
  <si>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</si>
  <si>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</si>
  <si>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</si>
  <si>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</si>
  <si>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</si>
  <si>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</si>
  <si>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</si>
  <si>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</si>
  <si>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</si>
  <si>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</si>
  <si>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</si>
  <si>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</si>
  <si>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</si>
  <si>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</si>
  <si>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</si>
  <si>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</si>
  <si>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</si>
  <si>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</si>
  <si>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</si>
  <si>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</si>
  <si>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</si>
  <si>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</si>
  <si>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</si>
  <si>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</si>
  <si>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</si>
  <si>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</si>
  <si>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</si>
  <si>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</si>
  <si>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</si>
  <si>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</si>
  <si>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</si>
  <si>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</si>
  <si>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</si>
  <si>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</si>
  <si>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</si>
  <si>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</si>
  <si>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</si>
  <si>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</si>
  <si>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</si>
  <si>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</si>
  <si>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</si>
  <si>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</si>
  <si>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</si>
  <si>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</si>
  <si>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</si>
  <si>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</si>
  <si>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</si>
  <si>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</si>
  <si>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</si>
  <si>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</si>
  <si>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</si>
  <si>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</si>
  <si>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</si>
  <si>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</si>
  <si>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</si>
  <si>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</si>
  <si>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</si>
  <si>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</si>
  <si>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</si>
  <si>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</si>
  <si>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</si>
  <si>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</si>
  <si>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</si>
  <si>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</si>
  <si>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</si>
  <si>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</si>
  <si>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</si>
  <si>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</si>
  <si>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</si>
  <si>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</si>
  <si>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</si>
  <si>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</si>
  <si>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</si>
  <si>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</si>
  <si>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</si>
  <si>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</si>
  <si>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</si>
  <si>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</si>
  <si>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</si>
  <si>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</si>
  <si>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</si>
  <si>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</si>
  <si>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</si>
  <si>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</si>
  <si>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</si>
  <si>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</si>
  <si>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</si>
  <si>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</si>
  <si>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</si>
  <si>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</si>
  <si>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</si>
  <si>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</si>
  <si>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</si>
  <si>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1:UpperQuestId
2:LowerQuestId
3:UpperDate
4:LowerDate
5:指定したミッションをクリアしているか
6:指定したミッションまでクリアしているか
7:指定したプレイヤーランク以上か
8:指定したプレイヤーランク以下か
9:デイリーミッションをすべてクリアしているか
10:通算ログイン日数が指定日数以上か
11:通算ログイン日数が指定日数以下か
12:本日ログインしたか
13:本日クエストを一つでもクリアしたか
14:本日が対象曜日か</t>
    <rPh sb="56" eb="58">
      <t>シテイ</t>
    </rPh>
    <rPh sb="77" eb="79">
      <t>シテイ</t>
    </rPh>
    <rPh sb="99" eb="101">
      <t>シテイ</t>
    </rPh>
    <rPh sb="111" eb="113">
      <t>イジョウ</t>
    </rPh>
    <rPh sb="117" eb="119">
      <t>シテイ</t>
    </rPh>
    <rPh sb="129" eb="131">
      <t>イカ</t>
    </rPh>
    <rPh sb="160" eb="162">
      <t>ツウサン</t>
    </rPh>
    <rPh sb="166" eb="168">
      <t>ニッスウ</t>
    </rPh>
    <rPh sb="169" eb="171">
      <t>シテイ</t>
    </rPh>
    <rPh sb="171" eb="173">
      <t>ニッスウ</t>
    </rPh>
    <rPh sb="173" eb="175">
      <t>イジョウ</t>
    </rPh>
    <rPh sb="180" eb="182">
      <t>ツウサン</t>
    </rPh>
    <rPh sb="186" eb="188">
      <t>ニッスウ</t>
    </rPh>
    <rPh sb="189" eb="191">
      <t>シテイ</t>
    </rPh>
    <rPh sb="191" eb="193">
      <t>ニッスウ</t>
    </rPh>
    <rPh sb="193" eb="195">
      <t>イカ</t>
    </rPh>
    <rPh sb="200" eb="202">
      <t>ホンジツ</t>
    </rPh>
    <rPh sb="213" eb="215">
      <t>ホンジツ</t>
    </rPh>
    <rPh sb="220" eb="221">
      <t>ヒト</t>
    </rPh>
    <rPh sb="234" eb="236">
      <t>ホンジツ</t>
    </rPh>
    <rPh sb="237" eb="239">
      <t>タイショウ</t>
    </rPh>
    <rPh sb="239" eb="241">
      <t>ヨウビ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</si>
  <si>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</si>
  <si>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</si>
  <si>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</si>
  <si>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</si>
  <si>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</si>
  <si>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</si>
  <si>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</si>
  <si>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</si>
  <si>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</si>
  <si>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</si>
  <si>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</si>
  <si>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</si>
  <si>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</si>
  <si>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</si>
  <si>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</si>
  <si>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</si>
  <si>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</si>
  <si>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</si>
  <si>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</si>
  <si>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</si>
  <si>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</si>
  <si>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</si>
  <si>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</si>
  <si>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</si>
  <si>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</si>
  <si>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</si>
  <si>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</si>
  <si>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</si>
  <si>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</si>
  <si>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</si>
  <si>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</si>
  <si>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</si>
  <si>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</si>
  <si>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</si>
  <si>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</si>
  <si>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</si>
  <si>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</si>
  <si>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</si>
  <si>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</si>
  <si>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</si>
  <si>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</si>
  <si>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</si>
  <si>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</si>
  <si>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</si>
  <si>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</si>
  <si>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</si>
  <si>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</si>
  <si>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</si>
  <si>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</si>
  <si>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</si>
  <si>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</si>
  <si>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</si>
  <si>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</si>
  <si>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</si>
  <si>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</si>
  <si>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</si>
  <si>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</si>
  <si>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</si>
  <si>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</si>
  <si>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</si>
  <si>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</si>
  <si>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</si>
  <si>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</si>
  <si>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</si>
  <si>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</si>
  <si>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</si>
  <si>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</si>
  <si>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</si>
  <si>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</si>
  <si>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</si>
  <si>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</si>
  <si>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</si>
  <si>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</si>
  <si>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</si>
  <si>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</si>
  <si>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</si>
  <si>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</si>
  <si>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</si>
  <si>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</si>
  <si>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</si>
  <si>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</si>
  <si>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</si>
  <si>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</si>
  <si>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</si>
  <si>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</si>
  <si>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</si>
  <si>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</si>
  <si>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</si>
  <si>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</si>
  <si>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</si>
  <si>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</si>
  <si>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</si>
  <si>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</si>
  <si>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</si>
  <si>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</si>
  <si>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</si>
  <si>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</si>
  <si>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</si>
  <si>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</si>
  <si>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</si>
  <si>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</si>
  <si>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</si>
  <si>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</si>
  <si>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</si>
  <si>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</si>
  <si>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</si>
  <si>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</si>
  <si>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</si>
  <si>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</si>
  <si>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</si>
  <si>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</si>
  <si>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</si>
  <si>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</si>
  <si>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</si>
  <si>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</si>
  <si>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</si>
  <si>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</si>
  <si>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</si>
  <si>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</si>
  <si>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</si>
  <si>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</si>
  <si>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</si>
  <si>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</si>
  <si>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</si>
  <si>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</si>
  <si>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</si>
  <si>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</si>
  <si>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</si>
  <si>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</si>
  <si>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</si>
  <si>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</si>
  <si>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</si>
  <si>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</si>
  <si>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</si>
  <si>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</si>
  <si>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</si>
  <si>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</si>
  <si>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</si>
  <si>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</si>
  <si>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</si>
  <si>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</si>
  <si>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</si>
  <si>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</si>
  <si>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</si>
  <si>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</si>
  <si>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</si>
  <si>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</si>
  <si>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</si>
  <si>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</si>
  <si>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</si>
  <si>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</si>
  <si>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</si>
  <si>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</si>
  <si>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</si>
  <si>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</si>
  <si>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</si>
  <si>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</si>
  <si>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</si>
  <si>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</si>
  <si>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</si>
  <si>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</si>
  <si>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</si>
  <si>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</si>
  <si>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</si>
  <si>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</si>
  <si>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</si>
  <si>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</si>
  <si>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</si>
  <si>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</si>
  <si>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</si>
  <si>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</si>
  <si>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</si>
  <si>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</si>
  <si>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</si>
  <si>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</si>
  <si>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</si>
  <si>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</si>
  <si>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</si>
  <si>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</si>
  <si>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</si>
  <si>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</si>
  <si>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</si>
  <si>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</si>
  <si>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</si>
  <si>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</si>
  <si>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</si>
  <si>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</si>
  <si>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</si>
  <si>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</si>
  <si>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</si>
  <si>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2022-05-31 03:59:59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</si>
  <si>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</si>
  <si>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</si>
  <si>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</si>
  <si>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</si>
  <si>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</si>
  <si>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</si>
  <si>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</si>
  <si>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</si>
  <si>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</si>
  <si>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</si>
  <si>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</si>
  <si>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</si>
  <si>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</si>
  <si>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</si>
  <si>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</si>
  <si>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</si>
  <si>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ガチャBOXタイプ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</si>
  <si>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</si>
  <si>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</si>
  <si>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</si>
  <si>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</si>
  <si>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</si>
  <si>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</si>
  <si>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</si>
  <si>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</si>
  <si>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</si>
  <si>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</si>
  <si>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</si>
  <si>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</si>
  <si>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</si>
  <si>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</si>
  <si>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</si>
  <si>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2022-06-06 04:00:00</t>
    <phoneticPr fontId="3"/>
  </si>
  <si>
    <t>2022-06-07 04:00:00</t>
    <phoneticPr fontId="3"/>
  </si>
  <si>
    <t>2022-06-08 04:00:00</t>
    <phoneticPr fontId="3"/>
  </si>
  <si>
    <t>2022-06-09 04:00:00</t>
    <phoneticPr fontId="3"/>
  </si>
  <si>
    <t>2022-06-10 04:00:00</t>
    <phoneticPr fontId="3"/>
  </si>
  <si>
    <t>2022-06-11 04:00:00</t>
    <phoneticPr fontId="3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</si>
  <si>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</si>
  <si>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</si>
  <si>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</si>
  <si>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</si>
  <si>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</si>
  <si>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</si>
  <si>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</si>
  <si>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</si>
  <si>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</si>
  <si>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</si>
  <si>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</si>
  <si>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25" eb="27">
      <t>ゼンタイ</t>
    </rPh>
    <rPh sb="28" eb="30">
      <t>ハイシュツ</t>
    </rPh>
    <rPh sb="30" eb="32">
      <t>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</si>
  <si>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</si>
  <si>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</si>
  <si>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</si>
  <si>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</si>
  <si>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</si>
  <si>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</si>
  <si>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SSR確定ガチャ</t>
    <rPh sb="3" eb="5">
      <t>カクテイ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</si>
</sst>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9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 applyFont="1" applyAlignme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0" fontId="2" fillId="0" borderId="4" xfId="0" applyFont="1" applyFill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5" borderId="4" xfId="0" applyNumberFormat="1" applyFont="1" applyFill="1" applyBorder="1" applyAlignment="1">
      <alignment vertical="center"/>
    </xf>
    <xf numFmtId="0" fontId="2" fillId="0" borderId="4" xfId="0" applyNumberFormat="1" applyFont="1" applyBorder="1" applyAlignment="1">
      <alignment vertical="center"/>
    </xf>
    <xf numFmtId="0" fontId="2" fillId="0" borderId="4" xfId="0" applyFont="1" applyBorder="1" applyAlignment="1"/>
    <xf numFmtId="0" fontId="2" fillId="0" borderId="2" xfId="0" applyFont="1" applyBorder="1" applyAlignment="1"/>
    <xf numFmtId="0" fontId="2" fillId="0" borderId="0" xfId="0" applyFont="1" applyAlignme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 applyAlignment="1"/>
    <xf numFmtId="176" fontId="2" fillId="0" borderId="0" xfId="0" applyNumberFormat="1" applyFont="1" applyAlignme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4" xfId="0" applyNumberFormat="1" applyFont="1" applyBorder="1" applyAlignment="1"/>
    <xf numFmtId="0" fontId="2" fillId="0" borderId="8" xfId="0" applyFont="1" applyBorder="1" applyAlignment="1"/>
    <xf numFmtId="0" fontId="2" fillId="0" borderId="1" xfId="0" applyFont="1" applyBorder="1" applyAlignment="1"/>
    <xf numFmtId="0" fontId="2" fillId="0" borderId="0" xfId="0" applyFont="1" applyBorder="1" applyAlignment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 applyAlignme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 applyAlignment="1"/>
  </cellXfs>
  <cellStyles count="1">
    <cellStyle name="標準" xfId="0" builtinId="0"/>
  </cellStyles>
  <dxfs count="69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customschemas.google.com/relationships/workbookmetadata" Target="metadata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A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12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5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6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P1001"/>
  <sheetViews>
    <sheetView topLeftCell="A54" workbookViewId="0">
      <selection activeCell="G80" sqref="G8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12" width="12.625" style="36" customWidth="1"/>
    <col min="13" max="19" width="14.75" style="36" customWidth="1"/>
    <col min="20" max="20" width="15.25" style="36" customWidth="1"/>
    <col min="21" max="21" width="17.5" style="36" customWidth="1"/>
    <col min="22" max="42" width="12.625" style="36" customWidth="1"/>
    <col min="43" max="16384" width="12.625" style="36"/>
  </cols>
  <sheetData>
    <row r="1" spans="1:42" ht="12" customHeight="1"/>
    <row r="2" spans="1:42" ht="40.5" customHeight="1">
      <c r="A2" s="55" t="s">
        <v>0</v>
      </c>
      <c r="B2" s="7" t="s">
        <v>14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103</v>
      </c>
      <c r="E4" s="3" t="s">
        <v>1734</v>
      </c>
      <c r="F4" s="3" t="s">
        <v>1768</v>
      </c>
      <c r="G4" s="3" t="s">
        <v>22</v>
      </c>
      <c r="H4" s="3"/>
      <c r="I4" s="3" t="s">
        <v>1894</v>
      </c>
      <c r="J4" s="3" t="s">
        <v>1895</v>
      </c>
      <c r="K4" s="3" t="s">
        <v>1896</v>
      </c>
      <c r="L4" s="3" t="s">
        <v>1897</v>
      </c>
      <c r="M4" s="3" t="s">
        <v>1708</v>
      </c>
      <c r="N4" s="3" t="s">
        <v>1709</v>
      </c>
      <c r="O4" s="3" t="s">
        <v>1710</v>
      </c>
      <c r="P4" s="3" t="s">
        <v>1714</v>
      </c>
      <c r="Q4" s="3" t="s">
        <v>1716</v>
      </c>
      <c r="R4" s="3" t="s">
        <v>1717</v>
      </c>
      <c r="S4" s="3" t="s">
        <v>1720</v>
      </c>
      <c r="T4" s="3" t="s">
        <v>1724</v>
      </c>
      <c r="U4" s="3" t="s">
        <v>1725</v>
      </c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55" t="s">
        <v>1922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1898</v>
      </c>
      <c r="J8" s="4" t="s">
        <v>1898</v>
      </c>
      <c r="K8" s="4" t="s">
        <v>1898</v>
      </c>
      <c r="L8" s="4" t="s">
        <v>1898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</row>
    <row r="9" spans="1:42" ht="76.5" customHeight="1">
      <c r="A9" s="55" t="s">
        <v>10</v>
      </c>
      <c r="B9" s="6" t="s">
        <v>11</v>
      </c>
      <c r="C9" s="6" t="s">
        <v>16</v>
      </c>
      <c r="D9" s="6" t="s">
        <v>1736</v>
      </c>
      <c r="E9" s="6" t="s">
        <v>1735</v>
      </c>
      <c r="F9" s="6" t="s">
        <v>1769</v>
      </c>
      <c r="G9" s="6" t="s">
        <v>1998</v>
      </c>
      <c r="H9" s="6" t="s">
        <v>1998</v>
      </c>
      <c r="I9" s="6" t="s">
        <v>1899</v>
      </c>
      <c r="J9" s="6" t="s">
        <v>1900</v>
      </c>
      <c r="K9" s="6" t="s">
        <v>1901</v>
      </c>
      <c r="L9" s="6" t="s">
        <v>1902</v>
      </c>
      <c r="M9" s="6" t="s">
        <v>1711</v>
      </c>
      <c r="N9" s="6" t="s">
        <v>1712</v>
      </c>
      <c r="O9" s="6" t="s">
        <v>1713</v>
      </c>
      <c r="P9" s="6" t="s">
        <v>1715</v>
      </c>
      <c r="Q9" s="6" t="s">
        <v>1718</v>
      </c>
      <c r="R9" s="6" t="s">
        <v>1719</v>
      </c>
      <c r="S9" s="6" t="s">
        <v>1721</v>
      </c>
      <c r="T9" s="6" t="s">
        <v>1722</v>
      </c>
      <c r="U9" s="6" t="s">
        <v>1723</v>
      </c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5"/>
      <c r="AI9" s="5"/>
      <c r="AJ9" s="5"/>
      <c r="AK9" s="5"/>
      <c r="AL9" s="5"/>
      <c r="AM9" s="5"/>
      <c r="AN9" s="5"/>
      <c r="AO9" s="5"/>
      <c r="AP9" s="5"/>
    </row>
    <row r="10" spans="1:42" ht="132" customHeight="1">
      <c r="A10" s="55" t="s">
        <v>12</v>
      </c>
      <c r="B10" s="6"/>
      <c r="C10" s="6"/>
      <c r="D10" s="6" t="s">
        <v>104</v>
      </c>
      <c r="E10" s="6" t="s">
        <v>1737</v>
      </c>
      <c r="F10" s="6"/>
      <c r="G10" s="6" t="s">
        <v>23</v>
      </c>
      <c r="H10" s="6"/>
      <c r="I10" s="6"/>
      <c r="J10" s="6"/>
      <c r="K10" s="6"/>
      <c r="L10" s="6"/>
      <c r="M10" s="5"/>
      <c r="N10" s="5"/>
      <c r="O10" s="5"/>
      <c r="P10" s="5"/>
      <c r="Q10" s="5"/>
      <c r="R10" s="5"/>
      <c r="S10" s="5"/>
      <c r="T10" s="5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18.75" customHeight="1">
      <c r="A11" s="56" t="s">
        <v>13</v>
      </c>
      <c r="B11" s="7">
        <v>1</v>
      </c>
      <c r="C11" s="7" t="s">
        <v>521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v>100010001</v>
      </c>
      <c r="N11" s="7">
        <v>100010002</v>
      </c>
      <c r="O11" s="7">
        <v>100010003</v>
      </c>
      <c r="P11" s="7">
        <v>10001</v>
      </c>
      <c r="Q11" s="7">
        <v>10002</v>
      </c>
      <c r="R11" s="7">
        <v>10003</v>
      </c>
      <c r="S11" s="7">
        <v>10001</v>
      </c>
      <c r="T11" s="7">
        <v>10002</v>
      </c>
      <c r="U11" s="7">
        <v>10003</v>
      </c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</row>
    <row r="12" spans="1:42" ht="18.75" customHeight="1">
      <c r="A12" s="8"/>
      <c r="B12" s="7">
        <v>2</v>
      </c>
      <c r="C12" s="7" t="s">
        <v>522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v>200010001</v>
      </c>
      <c r="N12" s="7">
        <v>200010002</v>
      </c>
      <c r="O12" s="7">
        <v>200010003</v>
      </c>
      <c r="P12" s="7">
        <v>20001</v>
      </c>
      <c r="Q12" s="7">
        <v>20002</v>
      </c>
      <c r="R12" s="7">
        <v>20003</v>
      </c>
      <c r="S12" s="7">
        <v>20001</v>
      </c>
      <c r="T12" s="7">
        <v>20002</v>
      </c>
      <c r="U12" s="7">
        <v>20003</v>
      </c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8"/>
      <c r="B13" s="7">
        <v>3</v>
      </c>
      <c r="C13" s="7" t="s">
        <v>523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v>300010001</v>
      </c>
      <c r="N13" s="7">
        <v>300010002</v>
      </c>
      <c r="O13" s="7">
        <v>300010003</v>
      </c>
      <c r="P13" s="7">
        <v>30001</v>
      </c>
      <c r="Q13" s="7">
        <v>30002</v>
      </c>
      <c r="R13" s="7">
        <v>30003</v>
      </c>
      <c r="S13" s="7">
        <v>30001</v>
      </c>
      <c r="T13" s="7">
        <v>30002</v>
      </c>
      <c r="U13" s="7">
        <v>30003</v>
      </c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7">
        <v>4</v>
      </c>
      <c r="C14" s="7" t="s">
        <v>524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v>400010001</v>
      </c>
      <c r="N14" s="7">
        <v>400010002</v>
      </c>
      <c r="O14" s="7">
        <v>400010003</v>
      </c>
      <c r="P14" s="7">
        <v>40001</v>
      </c>
      <c r="Q14" s="7">
        <v>40002</v>
      </c>
      <c r="R14" s="7">
        <v>40003</v>
      </c>
      <c r="S14" s="7">
        <v>40001</v>
      </c>
      <c r="T14" s="7">
        <v>40002</v>
      </c>
      <c r="U14" s="7">
        <v>40003</v>
      </c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7">
        <v>5</v>
      </c>
      <c r="C15" s="7" t="s">
        <v>525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v>500010001</v>
      </c>
      <c r="N15" s="7">
        <v>500010002</v>
      </c>
      <c r="O15" s="7">
        <v>500010003</v>
      </c>
      <c r="P15" s="7">
        <v>50001</v>
      </c>
      <c r="Q15" s="7">
        <v>50002</v>
      </c>
      <c r="R15" s="7">
        <v>50003</v>
      </c>
      <c r="S15" s="7">
        <v>50001</v>
      </c>
      <c r="T15" s="7">
        <v>50002</v>
      </c>
      <c r="U15" s="7">
        <v>50003</v>
      </c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7">
        <v>6</v>
      </c>
      <c r="C16" s="7" t="s">
        <v>526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v>600010001</v>
      </c>
      <c r="N16" s="7">
        <v>600010002</v>
      </c>
      <c r="O16" s="7">
        <v>600010003</v>
      </c>
      <c r="P16" s="7">
        <v>60001</v>
      </c>
      <c r="Q16" s="7">
        <v>60002</v>
      </c>
      <c r="R16" s="7">
        <v>60003</v>
      </c>
      <c r="S16" s="7">
        <v>60001</v>
      </c>
      <c r="T16" s="7">
        <v>60002</v>
      </c>
      <c r="U16" s="7">
        <v>60003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7</v>
      </c>
      <c r="C17" s="7" t="s">
        <v>527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v>700010001</v>
      </c>
      <c r="N17" s="7">
        <v>700010002</v>
      </c>
      <c r="O17" s="7">
        <v>700010003</v>
      </c>
      <c r="P17" s="7">
        <v>70001</v>
      </c>
      <c r="Q17" s="7">
        <v>70002</v>
      </c>
      <c r="R17" s="7">
        <v>70003</v>
      </c>
      <c r="S17" s="7">
        <v>70001</v>
      </c>
      <c r="T17" s="7">
        <v>70002</v>
      </c>
      <c r="U17" s="7">
        <v>70003</v>
      </c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8</v>
      </c>
      <c r="C18" s="7" t="s">
        <v>528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v>800010001</v>
      </c>
      <c r="N18" s="7">
        <v>800010002</v>
      </c>
      <c r="O18" s="7">
        <v>800010003</v>
      </c>
      <c r="P18" s="7">
        <v>80001</v>
      </c>
      <c r="Q18" s="7">
        <v>80002</v>
      </c>
      <c r="R18" s="7">
        <v>80003</v>
      </c>
      <c r="S18" s="7">
        <v>80001</v>
      </c>
      <c r="T18" s="7">
        <v>80002</v>
      </c>
      <c r="U18" s="7">
        <v>80003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9</v>
      </c>
      <c r="C19" s="7" t="s">
        <v>529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v>900010001</v>
      </c>
      <c r="N19" s="7">
        <v>900010002</v>
      </c>
      <c r="O19" s="7">
        <v>900010003</v>
      </c>
      <c r="P19" s="7">
        <v>90001</v>
      </c>
      <c r="Q19" s="7">
        <v>90002</v>
      </c>
      <c r="R19" s="7">
        <v>90003</v>
      </c>
      <c r="S19" s="7">
        <v>90001</v>
      </c>
      <c r="T19" s="7">
        <v>90002</v>
      </c>
      <c r="U19" s="7">
        <v>90003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7">
        <v>10</v>
      </c>
      <c r="C20" s="7" t="s">
        <v>530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v>1000010001</v>
      </c>
      <c r="N20" s="7">
        <v>1000010002</v>
      </c>
      <c r="O20" s="7">
        <v>1000010003</v>
      </c>
      <c r="P20" s="7">
        <v>100001</v>
      </c>
      <c r="Q20" s="7">
        <v>100002</v>
      </c>
      <c r="R20" s="7">
        <v>100003</v>
      </c>
      <c r="S20" s="7">
        <v>100001</v>
      </c>
      <c r="T20" s="7">
        <v>100002</v>
      </c>
      <c r="U20" s="7">
        <v>100003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>
        <v>11</v>
      </c>
      <c r="C21" s="7" t="s">
        <v>531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v>1100010001</v>
      </c>
      <c r="N21" s="7">
        <v>1100010002</v>
      </c>
      <c r="O21" s="7">
        <v>1100010003</v>
      </c>
      <c r="P21" s="7">
        <v>110001</v>
      </c>
      <c r="Q21" s="7">
        <v>110002</v>
      </c>
      <c r="R21" s="7">
        <v>110003</v>
      </c>
      <c r="S21" s="7">
        <v>110001</v>
      </c>
      <c r="T21" s="7">
        <v>110002</v>
      </c>
      <c r="U21" s="7">
        <v>110003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7">
        <v>12</v>
      </c>
      <c r="C22" s="7" t="s">
        <v>532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v>1200010001</v>
      </c>
      <c r="N22" s="7">
        <v>1200010002</v>
      </c>
      <c r="O22" s="7">
        <v>1200010003</v>
      </c>
      <c r="P22" s="7">
        <v>120001</v>
      </c>
      <c r="Q22" s="7">
        <v>120002</v>
      </c>
      <c r="R22" s="7">
        <v>120003</v>
      </c>
      <c r="S22" s="7">
        <v>120001</v>
      </c>
      <c r="T22" s="7">
        <v>120002</v>
      </c>
      <c r="U22" s="7">
        <v>120003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>
        <v>13</v>
      </c>
      <c r="C23" s="7" t="s">
        <v>533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v>1300010001</v>
      </c>
      <c r="N23" s="7">
        <v>1300010002</v>
      </c>
      <c r="O23" s="7">
        <v>1300010003</v>
      </c>
      <c r="P23" s="7">
        <v>130001</v>
      </c>
      <c r="Q23" s="7">
        <v>130002</v>
      </c>
      <c r="R23" s="7">
        <v>130003</v>
      </c>
      <c r="S23" s="7">
        <v>130001</v>
      </c>
      <c r="T23" s="7">
        <v>130002</v>
      </c>
      <c r="U23" s="7">
        <v>130003</v>
      </c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7">
        <v>14</v>
      </c>
      <c r="C24" s="7" t="s">
        <v>534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v>1400010001</v>
      </c>
      <c r="N24" s="7">
        <v>1400010002</v>
      </c>
      <c r="O24" s="7">
        <v>1400010003</v>
      </c>
      <c r="P24" s="7">
        <v>140001</v>
      </c>
      <c r="Q24" s="7">
        <v>140002</v>
      </c>
      <c r="R24" s="7">
        <v>140003</v>
      </c>
      <c r="S24" s="7">
        <v>140001</v>
      </c>
      <c r="T24" s="7">
        <v>140002</v>
      </c>
      <c r="U24" s="7">
        <v>140003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>
        <v>15</v>
      </c>
      <c r="C25" s="7" t="s">
        <v>535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v>1500010001</v>
      </c>
      <c r="N25" s="7">
        <v>1500010002</v>
      </c>
      <c r="O25" s="7">
        <v>1500010003</v>
      </c>
      <c r="P25" s="7">
        <v>150001</v>
      </c>
      <c r="Q25" s="7">
        <v>150002</v>
      </c>
      <c r="R25" s="7">
        <v>150003</v>
      </c>
      <c r="S25" s="7">
        <v>150001</v>
      </c>
      <c r="T25" s="7">
        <v>150002</v>
      </c>
      <c r="U25" s="7">
        <v>150003</v>
      </c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7">
        <v>16</v>
      </c>
      <c r="C26" s="7" t="s">
        <v>536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v>1600010001</v>
      </c>
      <c r="N26" s="7">
        <v>1600010002</v>
      </c>
      <c r="O26" s="7">
        <v>1600010003</v>
      </c>
      <c r="P26" s="7">
        <v>160001</v>
      </c>
      <c r="Q26" s="7">
        <v>160002</v>
      </c>
      <c r="R26" s="7">
        <v>160003</v>
      </c>
      <c r="S26" s="7">
        <v>160001</v>
      </c>
      <c r="T26" s="7">
        <v>160002</v>
      </c>
      <c r="U26" s="7">
        <v>160003</v>
      </c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>
        <v>17</v>
      </c>
      <c r="C27" s="7" t="s">
        <v>537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v>1700010001</v>
      </c>
      <c r="N27" s="7">
        <v>1700010002</v>
      </c>
      <c r="O27" s="7">
        <v>1700010003</v>
      </c>
      <c r="P27" s="7">
        <v>170001</v>
      </c>
      <c r="Q27" s="7">
        <v>170002</v>
      </c>
      <c r="R27" s="7">
        <v>170003</v>
      </c>
      <c r="S27" s="7">
        <v>170001</v>
      </c>
      <c r="T27" s="7">
        <v>170002</v>
      </c>
      <c r="U27" s="7">
        <v>170003</v>
      </c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7">
        <v>18</v>
      </c>
      <c r="C28" s="7" t="s">
        <v>538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v>1800010001</v>
      </c>
      <c r="N28" s="7">
        <v>1800010002</v>
      </c>
      <c r="O28" s="7">
        <v>1800010003</v>
      </c>
      <c r="P28" s="7">
        <v>180001</v>
      </c>
      <c r="Q28" s="7">
        <v>180002</v>
      </c>
      <c r="R28" s="7">
        <v>180003</v>
      </c>
      <c r="S28" s="7">
        <v>180001</v>
      </c>
      <c r="T28" s="7">
        <v>180002</v>
      </c>
      <c r="U28" s="7">
        <v>180003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>
        <v>19</v>
      </c>
      <c r="C29" s="7" t="s">
        <v>539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v>1900010001</v>
      </c>
      <c r="N29" s="7">
        <v>1900010002</v>
      </c>
      <c r="O29" s="7">
        <v>1900010003</v>
      </c>
      <c r="P29" s="7">
        <v>190001</v>
      </c>
      <c r="Q29" s="7">
        <v>190002</v>
      </c>
      <c r="R29" s="7">
        <v>190003</v>
      </c>
      <c r="S29" s="7">
        <v>190001</v>
      </c>
      <c r="T29" s="7">
        <v>190002</v>
      </c>
      <c r="U29" s="7">
        <v>190003</v>
      </c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7">
        <v>20</v>
      </c>
      <c r="C30" s="7" t="s">
        <v>540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v>2000010001</v>
      </c>
      <c r="N30" s="7">
        <v>2000010002</v>
      </c>
      <c r="O30" s="7">
        <v>2000010003</v>
      </c>
      <c r="P30" s="7">
        <v>200001</v>
      </c>
      <c r="Q30" s="7">
        <v>200002</v>
      </c>
      <c r="R30" s="7">
        <v>200003</v>
      </c>
      <c r="S30" s="7">
        <v>200001</v>
      </c>
      <c r="T30" s="7">
        <v>200002</v>
      </c>
      <c r="U30" s="7">
        <v>200003</v>
      </c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>
        <v>21</v>
      </c>
      <c r="C31" s="7" t="s">
        <v>541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v>2100010001</v>
      </c>
      <c r="N31" s="7">
        <v>2100010002</v>
      </c>
      <c r="O31" s="7">
        <v>2100010003</v>
      </c>
      <c r="P31" s="7">
        <v>210001</v>
      </c>
      <c r="Q31" s="7">
        <v>210002</v>
      </c>
      <c r="R31" s="7">
        <v>210003</v>
      </c>
      <c r="S31" s="7">
        <v>210001</v>
      </c>
      <c r="T31" s="7">
        <v>210002</v>
      </c>
      <c r="U31" s="7">
        <v>210003</v>
      </c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7">
        <v>22</v>
      </c>
      <c r="C32" s="7" t="s">
        <v>542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v>2200010001</v>
      </c>
      <c r="N32" s="7">
        <v>2200010002</v>
      </c>
      <c r="O32" s="7">
        <v>2200010003</v>
      </c>
      <c r="P32" s="7">
        <v>220001</v>
      </c>
      <c r="Q32" s="7">
        <v>220002</v>
      </c>
      <c r="R32" s="7">
        <v>220003</v>
      </c>
      <c r="S32" s="7">
        <v>220001</v>
      </c>
      <c r="T32" s="7">
        <v>220002</v>
      </c>
      <c r="U32" s="7">
        <v>220003</v>
      </c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>
        <v>23</v>
      </c>
      <c r="C33" s="7" t="s">
        <v>543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v>2300010001</v>
      </c>
      <c r="N33" s="7">
        <v>2300010002</v>
      </c>
      <c r="O33" s="7">
        <v>2300010003</v>
      </c>
      <c r="P33" s="7">
        <v>230001</v>
      </c>
      <c r="Q33" s="7">
        <v>230002</v>
      </c>
      <c r="R33" s="7">
        <v>230003</v>
      </c>
      <c r="S33" s="7">
        <v>230001</v>
      </c>
      <c r="T33" s="7">
        <v>230002</v>
      </c>
      <c r="U33" s="7">
        <v>230003</v>
      </c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7">
        <v>24</v>
      </c>
      <c r="C34" s="7" t="s">
        <v>544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v>2400010001</v>
      </c>
      <c r="N34" s="7">
        <v>2400010002</v>
      </c>
      <c r="O34" s="7">
        <v>2400010003</v>
      </c>
      <c r="P34" s="7">
        <v>240001</v>
      </c>
      <c r="Q34" s="7">
        <v>240002</v>
      </c>
      <c r="R34" s="7">
        <v>240003</v>
      </c>
      <c r="S34" s="7">
        <v>240001</v>
      </c>
      <c r="T34" s="7">
        <v>240002</v>
      </c>
      <c r="U34" s="7">
        <v>240003</v>
      </c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>
        <v>25</v>
      </c>
      <c r="C35" s="7" t="s">
        <v>545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v>2500010001</v>
      </c>
      <c r="N35" s="7">
        <v>2500010002</v>
      </c>
      <c r="O35" s="7">
        <v>2500010003</v>
      </c>
      <c r="P35" s="7">
        <v>250001</v>
      </c>
      <c r="Q35" s="7">
        <v>250002</v>
      </c>
      <c r="R35" s="7">
        <v>250003</v>
      </c>
      <c r="S35" s="7">
        <v>250001</v>
      </c>
      <c r="T35" s="7">
        <v>250002</v>
      </c>
      <c r="U35" s="7">
        <v>250003</v>
      </c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7">
        <v>26</v>
      </c>
      <c r="C36" s="7" t="s">
        <v>546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v>2600010001</v>
      </c>
      <c r="N36" s="7">
        <v>2600010002</v>
      </c>
      <c r="O36" s="7">
        <v>2600010003</v>
      </c>
      <c r="P36" s="7">
        <v>260001</v>
      </c>
      <c r="Q36" s="7">
        <v>260002</v>
      </c>
      <c r="R36" s="7">
        <v>260003</v>
      </c>
      <c r="S36" s="7">
        <v>260001</v>
      </c>
      <c r="T36" s="7">
        <v>260002</v>
      </c>
      <c r="U36" s="7">
        <v>260003</v>
      </c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>
        <v>27</v>
      </c>
      <c r="C37" s="7" t="s">
        <v>547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v>2700010001</v>
      </c>
      <c r="N37" s="7">
        <v>2700010002</v>
      </c>
      <c r="O37" s="7">
        <v>2700010003</v>
      </c>
      <c r="P37" s="7">
        <v>270001</v>
      </c>
      <c r="Q37" s="7">
        <v>270002</v>
      </c>
      <c r="R37" s="7">
        <v>270003</v>
      </c>
      <c r="S37" s="7">
        <v>270001</v>
      </c>
      <c r="T37" s="7">
        <v>270002</v>
      </c>
      <c r="U37" s="7">
        <v>270003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7">
        <v>28</v>
      </c>
      <c r="C38" s="7" t="s">
        <v>548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v>2800010001</v>
      </c>
      <c r="N38" s="7">
        <v>2800010002</v>
      </c>
      <c r="O38" s="7">
        <v>2800010003</v>
      </c>
      <c r="P38" s="7">
        <v>280001</v>
      </c>
      <c r="Q38" s="7">
        <v>280002</v>
      </c>
      <c r="R38" s="7">
        <v>280003</v>
      </c>
      <c r="S38" s="7">
        <v>280001</v>
      </c>
      <c r="T38" s="7">
        <v>280002</v>
      </c>
      <c r="U38" s="7">
        <v>280003</v>
      </c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>
        <v>29</v>
      </c>
      <c r="C39" s="7" t="s">
        <v>549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v>2900010001</v>
      </c>
      <c r="N39" s="7">
        <v>2900010002</v>
      </c>
      <c r="O39" s="7">
        <v>2900010003</v>
      </c>
      <c r="P39" s="7">
        <v>290001</v>
      </c>
      <c r="Q39" s="7">
        <v>290002</v>
      </c>
      <c r="R39" s="7">
        <v>290003</v>
      </c>
      <c r="S39" s="7">
        <v>290001</v>
      </c>
      <c r="T39" s="7">
        <v>290002</v>
      </c>
      <c r="U39" s="7">
        <v>290003</v>
      </c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7">
        <v>30</v>
      </c>
      <c r="C40" s="7" t="s">
        <v>550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v>3000010001</v>
      </c>
      <c r="N40" s="7">
        <v>3000010002</v>
      </c>
      <c r="O40" s="7">
        <v>3000010003</v>
      </c>
      <c r="P40" s="7">
        <v>300001</v>
      </c>
      <c r="Q40" s="7">
        <v>300002</v>
      </c>
      <c r="R40" s="7">
        <v>300003</v>
      </c>
      <c r="S40" s="7">
        <v>300001</v>
      </c>
      <c r="T40" s="7">
        <v>300002</v>
      </c>
      <c r="U40" s="7">
        <v>300003</v>
      </c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>
        <v>31</v>
      </c>
      <c r="C41" s="7" t="s">
        <v>1955</v>
      </c>
      <c r="D41" s="7">
        <v>1</v>
      </c>
      <c r="E41" s="7">
        <v>4</v>
      </c>
      <c r="F41" s="7" t="b">
        <v>0</v>
      </c>
      <c r="G41" s="7"/>
      <c r="H41" s="7"/>
      <c r="I41" s="7">
        <v>70</v>
      </c>
      <c r="J41" s="7">
        <v>100</v>
      </c>
      <c r="K41" s="7">
        <v>65</v>
      </c>
      <c r="L41" s="7">
        <v>120</v>
      </c>
      <c r="M41" s="7">
        <v>3100010001</v>
      </c>
      <c r="N41" s="7">
        <v>3100010002</v>
      </c>
      <c r="O41" s="7">
        <v>3100010003</v>
      </c>
      <c r="P41" s="7">
        <v>310001</v>
      </c>
      <c r="Q41" s="7">
        <v>310002</v>
      </c>
      <c r="R41" s="7">
        <v>310003</v>
      </c>
      <c r="S41" s="7">
        <v>310001</v>
      </c>
      <c r="T41" s="7">
        <v>310002</v>
      </c>
      <c r="U41" s="7">
        <v>310003</v>
      </c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7">
        <v>32</v>
      </c>
      <c r="C42" s="7" t="s">
        <v>1956</v>
      </c>
      <c r="D42" s="7">
        <v>2</v>
      </c>
      <c r="E42" s="7">
        <v>4</v>
      </c>
      <c r="F42" s="7" t="b">
        <v>0</v>
      </c>
      <c r="G42" s="7"/>
      <c r="H42" s="7"/>
      <c r="I42" s="7">
        <v>50</v>
      </c>
      <c r="J42" s="7">
        <v>90</v>
      </c>
      <c r="K42" s="7">
        <v>110</v>
      </c>
      <c r="L42" s="7">
        <v>70</v>
      </c>
      <c r="M42" s="7">
        <v>3200010001</v>
      </c>
      <c r="N42" s="7">
        <v>3200010002</v>
      </c>
      <c r="O42" s="7">
        <v>3200010003</v>
      </c>
      <c r="P42" s="7">
        <v>320001</v>
      </c>
      <c r="Q42" s="7">
        <v>320002</v>
      </c>
      <c r="R42" s="7">
        <v>320003</v>
      </c>
      <c r="S42" s="7">
        <v>320001</v>
      </c>
      <c r="T42" s="7">
        <v>320002</v>
      </c>
      <c r="U42" s="7">
        <v>320003</v>
      </c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33</v>
      </c>
      <c r="C43" s="7" t="s">
        <v>1957</v>
      </c>
      <c r="D43" s="7">
        <v>3</v>
      </c>
      <c r="E43" s="7">
        <v>4</v>
      </c>
      <c r="F43" s="7" t="b">
        <v>0</v>
      </c>
      <c r="G43" s="7"/>
      <c r="H43" s="7"/>
      <c r="I43" s="7">
        <v>100</v>
      </c>
      <c r="J43" s="7">
        <v>92</v>
      </c>
      <c r="K43" s="7">
        <v>80</v>
      </c>
      <c r="L43" s="7">
        <v>85</v>
      </c>
      <c r="M43" s="7">
        <v>3300010001</v>
      </c>
      <c r="N43" s="7">
        <v>3300010002</v>
      </c>
      <c r="O43" s="7">
        <v>3300010003</v>
      </c>
      <c r="P43" s="7">
        <v>330001</v>
      </c>
      <c r="Q43" s="7">
        <v>330002</v>
      </c>
      <c r="R43" s="7">
        <v>330003</v>
      </c>
      <c r="S43" s="7">
        <v>330001</v>
      </c>
      <c r="T43" s="7">
        <v>330002</v>
      </c>
      <c r="U43" s="7">
        <v>330003</v>
      </c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7">
        <v>34</v>
      </c>
      <c r="C44" s="7" t="s">
        <v>577</v>
      </c>
      <c r="D44" s="7">
        <v>4</v>
      </c>
      <c r="E44" s="7">
        <v>4</v>
      </c>
      <c r="F44" s="7" t="b">
        <v>0</v>
      </c>
      <c r="G44" s="7"/>
      <c r="H44" s="7"/>
      <c r="I44" s="7">
        <v>80</v>
      </c>
      <c r="J44" s="7">
        <v>90</v>
      </c>
      <c r="K44" s="7">
        <v>75</v>
      </c>
      <c r="L44" s="7">
        <v>119</v>
      </c>
      <c r="M44" s="7">
        <v>3400010001</v>
      </c>
      <c r="N44" s="7">
        <v>3400010002</v>
      </c>
      <c r="O44" s="7">
        <v>3400010003</v>
      </c>
      <c r="P44" s="7">
        <v>340001</v>
      </c>
      <c r="Q44" s="7">
        <v>340002</v>
      </c>
      <c r="R44" s="7">
        <v>340003</v>
      </c>
      <c r="S44" s="7">
        <v>340001</v>
      </c>
      <c r="T44" s="7">
        <v>340002</v>
      </c>
      <c r="U44" s="7">
        <v>340003</v>
      </c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35</v>
      </c>
      <c r="C45" s="7" t="s">
        <v>578</v>
      </c>
      <c r="D45" s="7">
        <v>5</v>
      </c>
      <c r="E45" s="7">
        <v>4</v>
      </c>
      <c r="F45" s="7" t="b">
        <v>0</v>
      </c>
      <c r="G45" s="7"/>
      <c r="H45" s="7"/>
      <c r="I45" s="7">
        <v>75</v>
      </c>
      <c r="J45" s="7">
        <v>90</v>
      </c>
      <c r="K45" s="7">
        <v>115</v>
      </c>
      <c r="L45" s="7">
        <v>40</v>
      </c>
      <c r="M45" s="7">
        <v>3500010001</v>
      </c>
      <c r="N45" s="7">
        <v>3500010002</v>
      </c>
      <c r="O45" s="7">
        <v>3500010003</v>
      </c>
      <c r="P45" s="7">
        <v>350001</v>
      </c>
      <c r="Q45" s="7">
        <v>350002</v>
      </c>
      <c r="R45" s="7">
        <v>350003</v>
      </c>
      <c r="S45" s="7">
        <v>350001</v>
      </c>
      <c r="T45" s="7">
        <v>350002</v>
      </c>
      <c r="U45" s="7">
        <v>350003</v>
      </c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36</v>
      </c>
      <c r="C46" s="7" t="s">
        <v>551</v>
      </c>
      <c r="D46" s="7">
        <v>1</v>
      </c>
      <c r="E46" s="7">
        <v>4</v>
      </c>
      <c r="F46" s="7" t="b">
        <v>0</v>
      </c>
      <c r="G46" s="7"/>
      <c r="H46" s="7"/>
      <c r="I46" s="7">
        <v>95</v>
      </c>
      <c r="J46" s="7">
        <v>100</v>
      </c>
      <c r="K46" s="7">
        <v>90</v>
      </c>
      <c r="L46" s="7">
        <v>60</v>
      </c>
      <c r="M46" s="7">
        <v>3600010001</v>
      </c>
      <c r="N46" s="7">
        <v>3600010002</v>
      </c>
      <c r="O46" s="7">
        <v>3600010003</v>
      </c>
      <c r="P46" s="7">
        <v>360001</v>
      </c>
      <c r="Q46" s="7">
        <v>360002</v>
      </c>
      <c r="R46" s="7">
        <v>360003</v>
      </c>
      <c r="S46" s="7">
        <v>360001</v>
      </c>
      <c r="T46" s="7">
        <v>360002</v>
      </c>
      <c r="U46" s="7">
        <v>360003</v>
      </c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>
        <v>37</v>
      </c>
      <c r="C47" s="7" t="s">
        <v>552</v>
      </c>
      <c r="D47" s="7">
        <v>2</v>
      </c>
      <c r="E47" s="7">
        <v>4</v>
      </c>
      <c r="F47" s="7" t="b">
        <v>0</v>
      </c>
      <c r="G47" s="7"/>
      <c r="H47" s="7"/>
      <c r="I47" s="7">
        <v>78</v>
      </c>
      <c r="J47" s="7">
        <v>13</v>
      </c>
      <c r="K47" s="7">
        <v>87</v>
      </c>
      <c r="L47" s="7">
        <v>70</v>
      </c>
      <c r="M47" s="7">
        <v>3700010001</v>
      </c>
      <c r="N47" s="7">
        <v>3700010002</v>
      </c>
      <c r="O47" s="7">
        <v>3700010003</v>
      </c>
      <c r="P47" s="7">
        <v>370001</v>
      </c>
      <c r="Q47" s="7">
        <v>370002</v>
      </c>
      <c r="R47" s="7">
        <v>370003</v>
      </c>
      <c r="S47" s="7">
        <v>370001</v>
      </c>
      <c r="T47" s="7">
        <v>370002</v>
      </c>
      <c r="U47" s="7">
        <v>370003</v>
      </c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38</v>
      </c>
      <c r="C48" s="7" t="s">
        <v>553</v>
      </c>
      <c r="D48" s="7">
        <v>3</v>
      </c>
      <c r="E48" s="7">
        <v>4</v>
      </c>
      <c r="F48" s="7" t="b">
        <v>0</v>
      </c>
      <c r="G48" s="7"/>
      <c r="H48" s="7"/>
      <c r="I48" s="7">
        <v>100</v>
      </c>
      <c r="J48" s="7">
        <v>100</v>
      </c>
      <c r="K48" s="7">
        <v>90</v>
      </c>
      <c r="L48" s="7">
        <v>60</v>
      </c>
      <c r="M48" s="7">
        <v>3800010001</v>
      </c>
      <c r="N48" s="7">
        <v>3800010002</v>
      </c>
      <c r="O48" s="7">
        <v>3800010003</v>
      </c>
      <c r="P48" s="7">
        <v>380001</v>
      </c>
      <c r="Q48" s="7">
        <v>380002</v>
      </c>
      <c r="R48" s="7">
        <v>380003</v>
      </c>
      <c r="S48" s="7">
        <v>380001</v>
      </c>
      <c r="T48" s="7">
        <v>380002</v>
      </c>
      <c r="U48" s="7">
        <v>380003</v>
      </c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>
        <v>39</v>
      </c>
      <c r="C49" s="7" t="s">
        <v>554</v>
      </c>
      <c r="D49" s="7">
        <v>4</v>
      </c>
      <c r="E49" s="7">
        <v>4</v>
      </c>
      <c r="F49" s="7" t="b">
        <v>0</v>
      </c>
      <c r="G49" s="7"/>
      <c r="H49" s="7"/>
      <c r="I49" s="7">
        <v>70</v>
      </c>
      <c r="J49" s="7">
        <v>85</v>
      </c>
      <c r="K49" s="7">
        <v>120</v>
      </c>
      <c r="L49" s="7">
        <v>50</v>
      </c>
      <c r="M49" s="7">
        <v>3900010001</v>
      </c>
      <c r="N49" s="7">
        <v>3900010002</v>
      </c>
      <c r="O49" s="7">
        <v>3900010003</v>
      </c>
      <c r="P49" s="7">
        <v>390001</v>
      </c>
      <c r="Q49" s="7">
        <v>390002</v>
      </c>
      <c r="R49" s="7">
        <v>390003</v>
      </c>
      <c r="S49" s="7">
        <v>390001</v>
      </c>
      <c r="T49" s="7">
        <v>390002</v>
      </c>
      <c r="U49" s="7">
        <v>390003</v>
      </c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B50" s="7">
        <v>40</v>
      </c>
      <c r="C50" s="7" t="s">
        <v>555</v>
      </c>
      <c r="D50" s="7">
        <v>5</v>
      </c>
      <c r="E50" s="7">
        <v>4</v>
      </c>
      <c r="F50" s="7" t="b">
        <v>0</v>
      </c>
      <c r="G50" s="7"/>
      <c r="H50" s="7"/>
      <c r="I50" s="7">
        <v>100</v>
      </c>
      <c r="J50" s="7">
        <v>135</v>
      </c>
      <c r="K50" s="7">
        <v>85</v>
      </c>
      <c r="L50" s="7">
        <v>50</v>
      </c>
      <c r="M50" s="7">
        <v>4000010001</v>
      </c>
      <c r="N50" s="7">
        <v>4000010002</v>
      </c>
      <c r="O50" s="7">
        <v>4000010003</v>
      </c>
      <c r="P50" s="7">
        <v>400001</v>
      </c>
      <c r="Q50" s="7">
        <v>400002</v>
      </c>
      <c r="R50" s="7">
        <v>400003</v>
      </c>
      <c r="S50" s="7">
        <v>400001</v>
      </c>
      <c r="T50" s="7">
        <v>400002</v>
      </c>
      <c r="U50" s="7">
        <v>400003</v>
      </c>
    </row>
    <row r="51" spans="1:42" ht="18.75" customHeight="1">
      <c r="B51" s="7">
        <v>41</v>
      </c>
      <c r="C51" s="7" t="s">
        <v>556</v>
      </c>
      <c r="D51" s="7">
        <v>1</v>
      </c>
      <c r="E51" s="7">
        <v>4</v>
      </c>
      <c r="F51" s="7" t="b">
        <v>0</v>
      </c>
      <c r="G51" s="7"/>
      <c r="H51" s="7"/>
      <c r="I51" s="7">
        <v>130</v>
      </c>
      <c r="J51" s="7">
        <v>85</v>
      </c>
      <c r="K51" s="7">
        <v>90</v>
      </c>
      <c r="L51" s="7">
        <v>60</v>
      </c>
      <c r="M51" s="7">
        <v>4100010001</v>
      </c>
      <c r="N51" s="7">
        <v>4100010002</v>
      </c>
      <c r="O51" s="7">
        <v>4100010003</v>
      </c>
      <c r="P51" s="7">
        <v>410001</v>
      </c>
      <c r="Q51" s="7">
        <v>410002</v>
      </c>
      <c r="R51" s="7">
        <v>410003</v>
      </c>
      <c r="S51" s="7">
        <v>410001</v>
      </c>
      <c r="T51" s="7">
        <v>410002</v>
      </c>
      <c r="U51" s="7">
        <v>410003</v>
      </c>
    </row>
    <row r="52" spans="1:42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0</v>
      </c>
      <c r="G52" s="7"/>
      <c r="H52" s="7"/>
      <c r="I52" s="7">
        <v>65</v>
      </c>
      <c r="J52" s="7">
        <v>85</v>
      </c>
      <c r="K52" s="7">
        <v>75</v>
      </c>
      <c r="L52" s="7">
        <v>130</v>
      </c>
      <c r="M52" s="7">
        <v>4200010001</v>
      </c>
      <c r="N52" s="7">
        <v>4200010002</v>
      </c>
      <c r="O52" s="7">
        <v>4200010003</v>
      </c>
      <c r="P52" s="7">
        <v>420001</v>
      </c>
      <c r="Q52" s="7">
        <v>420002</v>
      </c>
      <c r="R52" s="7">
        <v>420003</v>
      </c>
      <c r="S52" s="7">
        <v>420001</v>
      </c>
      <c r="T52" s="7">
        <v>420002</v>
      </c>
      <c r="U52" s="7">
        <v>420003</v>
      </c>
    </row>
    <row r="53" spans="1:42" ht="18.75" customHeight="1">
      <c r="B53" s="7">
        <v>43</v>
      </c>
      <c r="C53" s="7" t="s">
        <v>557</v>
      </c>
      <c r="D53" s="7">
        <v>3</v>
      </c>
      <c r="E53" s="7">
        <v>4</v>
      </c>
      <c r="F53" s="7" t="b">
        <v>0</v>
      </c>
      <c r="G53" s="7"/>
      <c r="H53" s="7"/>
      <c r="I53" s="7">
        <v>79</v>
      </c>
      <c r="J53" s="7">
        <v>84</v>
      </c>
      <c r="K53" s="7">
        <v>103</v>
      </c>
      <c r="L53" s="7">
        <v>78</v>
      </c>
      <c r="M53" s="7">
        <v>4300010001</v>
      </c>
      <c r="N53" s="7">
        <v>4300010002</v>
      </c>
      <c r="O53" s="7">
        <v>4300010003</v>
      </c>
      <c r="P53" s="7">
        <v>430001</v>
      </c>
      <c r="Q53" s="7">
        <v>430002</v>
      </c>
      <c r="R53" s="7">
        <v>430003</v>
      </c>
      <c r="S53" s="7">
        <v>430001</v>
      </c>
      <c r="T53" s="7">
        <v>430002</v>
      </c>
      <c r="U53" s="7">
        <v>430003</v>
      </c>
    </row>
    <row r="54" spans="1:42" ht="18.75" customHeight="1">
      <c r="B54" s="7">
        <v>44</v>
      </c>
      <c r="C54" s="7" t="s">
        <v>558</v>
      </c>
      <c r="D54" s="7">
        <v>4</v>
      </c>
      <c r="E54" s="7">
        <v>4</v>
      </c>
      <c r="F54" s="7" t="b">
        <v>0</v>
      </c>
      <c r="G54" s="7"/>
      <c r="H54" s="7"/>
      <c r="I54" s="7">
        <v>85</v>
      </c>
      <c r="J54" s="7">
        <v>105</v>
      </c>
      <c r="K54" s="7">
        <v>73</v>
      </c>
      <c r="L54" s="7">
        <v>90</v>
      </c>
      <c r="M54" s="7">
        <v>4400010001</v>
      </c>
      <c r="N54" s="7">
        <v>4400010002</v>
      </c>
      <c r="O54" s="7">
        <v>4400010003</v>
      </c>
      <c r="P54" s="7">
        <v>440001</v>
      </c>
      <c r="Q54" s="7">
        <v>440002</v>
      </c>
      <c r="R54" s="7">
        <v>440003</v>
      </c>
      <c r="S54" s="7">
        <v>440001</v>
      </c>
      <c r="T54" s="7">
        <v>440002</v>
      </c>
      <c r="U54" s="7">
        <v>440003</v>
      </c>
    </row>
    <row r="55" spans="1:42" ht="18.75" customHeight="1">
      <c r="B55" s="7">
        <v>45</v>
      </c>
      <c r="C55" s="7" t="s">
        <v>559</v>
      </c>
      <c r="D55" s="7">
        <v>5</v>
      </c>
      <c r="E55" s="7">
        <v>4</v>
      </c>
      <c r="F55" s="7" t="b">
        <v>0</v>
      </c>
      <c r="G55" s="7"/>
      <c r="H55" s="7"/>
      <c r="I55" s="7">
        <v>78</v>
      </c>
      <c r="J55" s="7">
        <v>100</v>
      </c>
      <c r="K55" s="7">
        <v>80</v>
      </c>
      <c r="L55" s="7">
        <v>100</v>
      </c>
      <c r="M55" s="7">
        <v>4500010001</v>
      </c>
      <c r="N55" s="7">
        <v>4500010002</v>
      </c>
      <c r="O55" s="7">
        <v>4500010003</v>
      </c>
      <c r="P55" s="7">
        <v>450001</v>
      </c>
      <c r="Q55" s="7">
        <v>450002</v>
      </c>
      <c r="R55" s="7">
        <v>450003</v>
      </c>
      <c r="S55" s="7">
        <v>450001</v>
      </c>
      <c r="T55" s="7">
        <v>450002</v>
      </c>
      <c r="U55" s="7">
        <v>450003</v>
      </c>
    </row>
    <row r="56" spans="1:42" ht="18.75" customHeight="1">
      <c r="B56" s="7">
        <v>46</v>
      </c>
      <c r="C56" s="7" t="s">
        <v>560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200</v>
      </c>
      <c r="J56" s="7">
        <v>100</v>
      </c>
      <c r="K56" s="7">
        <v>50</v>
      </c>
      <c r="L56" s="7">
        <v>80</v>
      </c>
      <c r="M56" s="7">
        <v>4600010001</v>
      </c>
      <c r="N56" s="7">
        <v>4600010002</v>
      </c>
      <c r="O56" s="7">
        <v>4600010003</v>
      </c>
      <c r="P56" s="7">
        <v>460001</v>
      </c>
      <c r="Q56" s="7">
        <v>460002</v>
      </c>
      <c r="R56" s="7">
        <v>460003</v>
      </c>
      <c r="S56" s="7">
        <v>460001</v>
      </c>
      <c r="T56" s="7">
        <v>460002</v>
      </c>
      <c r="U56" s="7">
        <v>460003</v>
      </c>
    </row>
    <row r="57" spans="1:42" ht="18.75" customHeight="1">
      <c r="B57" s="7">
        <v>47</v>
      </c>
      <c r="C57" s="7" t="s">
        <v>561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79</v>
      </c>
      <c r="J57" s="7">
        <v>120</v>
      </c>
      <c r="K57" s="7">
        <v>75</v>
      </c>
      <c r="L57" s="7">
        <v>105</v>
      </c>
      <c r="M57" s="7">
        <v>4700010001</v>
      </c>
      <c r="N57" s="7">
        <v>4700010002</v>
      </c>
      <c r="O57" s="7">
        <v>4700010003</v>
      </c>
      <c r="P57" s="7">
        <v>470001</v>
      </c>
      <c r="Q57" s="7">
        <v>470002</v>
      </c>
      <c r="R57" s="7">
        <v>470003</v>
      </c>
      <c r="S57" s="7">
        <v>470001</v>
      </c>
      <c r="T57" s="7">
        <v>470002</v>
      </c>
      <c r="U57" s="7">
        <v>470003</v>
      </c>
    </row>
    <row r="58" spans="1:42" ht="18.75" customHeight="1">
      <c r="B58" s="7">
        <v>48</v>
      </c>
      <c r="C58" s="7" t="s">
        <v>562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79</v>
      </c>
      <c r="J58" s="7">
        <v>120</v>
      </c>
      <c r="K58" s="7">
        <v>75</v>
      </c>
      <c r="L58" s="7">
        <v>111</v>
      </c>
      <c r="M58" s="7">
        <v>4800010001</v>
      </c>
      <c r="N58" s="7">
        <v>4800010002</v>
      </c>
      <c r="O58" s="7">
        <v>4800010003</v>
      </c>
      <c r="P58" s="7">
        <v>480001</v>
      </c>
      <c r="Q58" s="7">
        <v>480002</v>
      </c>
      <c r="R58" s="7">
        <v>480003</v>
      </c>
      <c r="S58" s="7">
        <v>480001</v>
      </c>
      <c r="T58" s="7">
        <v>480002</v>
      </c>
      <c r="U58" s="7">
        <v>480003</v>
      </c>
    </row>
    <row r="59" spans="1:42" ht="18.75" customHeight="1">
      <c r="B59" s="7">
        <v>49</v>
      </c>
      <c r="C59" s="7" t="s">
        <v>563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v>4900010001</v>
      </c>
      <c r="N59" s="7">
        <v>4900010002</v>
      </c>
      <c r="O59" s="7">
        <v>4900010003</v>
      </c>
      <c r="P59" s="7">
        <v>490001</v>
      </c>
      <c r="Q59" s="7">
        <v>490002</v>
      </c>
      <c r="R59" s="7">
        <v>490003</v>
      </c>
      <c r="S59" s="7">
        <v>490001</v>
      </c>
      <c r="T59" s="7">
        <v>490002</v>
      </c>
      <c r="U59" s="7">
        <v>490003</v>
      </c>
    </row>
    <row r="60" spans="1:42" ht="18.75" customHeight="1">
      <c r="B60" s="7">
        <v>50</v>
      </c>
      <c r="C60" s="7" t="s">
        <v>564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82</v>
      </c>
      <c r="K60" s="7">
        <v>115</v>
      </c>
      <c r="L60" s="7">
        <v>85</v>
      </c>
      <c r="M60" s="7">
        <v>5000010001</v>
      </c>
      <c r="N60" s="7">
        <v>5000010002</v>
      </c>
      <c r="O60" s="7">
        <v>5000010003</v>
      </c>
      <c r="P60" s="7">
        <v>500001</v>
      </c>
      <c r="Q60" s="7">
        <v>500002</v>
      </c>
      <c r="R60" s="7">
        <v>500003</v>
      </c>
      <c r="S60" s="7">
        <v>500001</v>
      </c>
      <c r="T60" s="7">
        <v>500002</v>
      </c>
      <c r="U60" s="7">
        <v>500003</v>
      </c>
    </row>
    <row r="61" spans="1:42" ht="18.75" customHeight="1">
      <c r="B61" s="7">
        <v>51</v>
      </c>
      <c r="C61" s="7" t="s">
        <v>565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v>5100010001</v>
      </c>
      <c r="N61" s="7">
        <v>5100010002</v>
      </c>
      <c r="O61" s="7">
        <v>5100010003</v>
      </c>
      <c r="P61" s="7">
        <v>510001</v>
      </c>
      <c r="Q61" s="7">
        <v>510002</v>
      </c>
      <c r="R61" s="7">
        <v>510003</v>
      </c>
      <c r="S61" s="7">
        <v>510001</v>
      </c>
      <c r="T61" s="7">
        <v>510002</v>
      </c>
      <c r="U61" s="7">
        <v>510003</v>
      </c>
    </row>
    <row r="62" spans="1:42" ht="18.75" customHeight="1">
      <c r="B62" s="7">
        <v>52</v>
      </c>
      <c r="C62" s="7" t="s">
        <v>566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v>5200010001</v>
      </c>
      <c r="N62" s="7">
        <v>5200010002</v>
      </c>
      <c r="O62" s="7">
        <v>5200010003</v>
      </c>
      <c r="P62" s="7">
        <v>520001</v>
      </c>
      <c r="Q62" s="7">
        <v>520002</v>
      </c>
      <c r="R62" s="7">
        <v>520003</v>
      </c>
      <c r="S62" s="7">
        <v>520001</v>
      </c>
      <c r="T62" s="7">
        <v>520002</v>
      </c>
      <c r="U62" s="7">
        <v>520003</v>
      </c>
    </row>
    <row r="63" spans="1:42" ht="18.75" customHeight="1">
      <c r="B63" s="7">
        <v>53</v>
      </c>
      <c r="C63" s="7" t="s">
        <v>567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v>5300010001</v>
      </c>
      <c r="N63" s="7">
        <v>5300010002</v>
      </c>
      <c r="O63" s="7">
        <v>5300010003</v>
      </c>
      <c r="P63" s="7">
        <v>530001</v>
      </c>
      <c r="Q63" s="7">
        <v>530002</v>
      </c>
      <c r="R63" s="7">
        <v>530003</v>
      </c>
      <c r="S63" s="7">
        <v>530001</v>
      </c>
      <c r="T63" s="7">
        <v>530002</v>
      </c>
      <c r="U63" s="7">
        <v>530003</v>
      </c>
    </row>
    <row r="64" spans="1:42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v>5400010001</v>
      </c>
      <c r="N64" s="7">
        <v>5400010002</v>
      </c>
      <c r="O64" s="7">
        <v>5400010003</v>
      </c>
      <c r="P64" s="7">
        <v>540001</v>
      </c>
      <c r="Q64" s="7">
        <v>540002</v>
      </c>
      <c r="R64" s="7">
        <v>540003</v>
      </c>
      <c r="S64" s="7">
        <v>540001</v>
      </c>
      <c r="T64" s="7">
        <v>540002</v>
      </c>
      <c r="U64" s="7">
        <v>540003</v>
      </c>
    </row>
    <row r="65" spans="2:21" ht="18.75" customHeight="1">
      <c r="B65" s="7">
        <v>55</v>
      </c>
      <c r="C65" s="7" t="s">
        <v>568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80</v>
      </c>
      <c r="J65" s="7">
        <v>115</v>
      </c>
      <c r="K65" s="7">
        <v>110</v>
      </c>
      <c r="L65" s="7">
        <v>70</v>
      </c>
      <c r="M65" s="7">
        <v>5500010001</v>
      </c>
      <c r="N65" s="7">
        <v>5500010002</v>
      </c>
      <c r="O65" s="7">
        <v>5500010003</v>
      </c>
      <c r="P65" s="7">
        <v>550001</v>
      </c>
      <c r="Q65" s="7">
        <v>550002</v>
      </c>
      <c r="R65" s="7">
        <v>550003</v>
      </c>
      <c r="S65" s="7">
        <v>550001</v>
      </c>
      <c r="T65" s="7">
        <v>550002</v>
      </c>
      <c r="U65" s="7">
        <v>550003</v>
      </c>
    </row>
    <row r="66" spans="2:21" ht="18.75" customHeight="1">
      <c r="B66" s="7">
        <v>56</v>
      </c>
      <c r="C66" s="7" t="s">
        <v>569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v>5600010001</v>
      </c>
      <c r="N66" s="7">
        <v>5600010002</v>
      </c>
      <c r="O66" s="7">
        <v>5600010003</v>
      </c>
      <c r="P66" s="7">
        <v>560001</v>
      </c>
      <c r="Q66" s="7">
        <v>560002</v>
      </c>
      <c r="R66" s="7">
        <v>560003</v>
      </c>
      <c r="S66" s="7">
        <v>560001</v>
      </c>
      <c r="T66" s="7">
        <v>560002</v>
      </c>
      <c r="U66" s="7">
        <v>560003</v>
      </c>
    </row>
    <row r="67" spans="2:21" ht="18.75" customHeight="1">
      <c r="B67" s="7">
        <v>57</v>
      </c>
      <c r="C67" s="7" t="s">
        <v>570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v>5700010001</v>
      </c>
      <c r="N67" s="7">
        <v>5700010002</v>
      </c>
      <c r="O67" s="7">
        <v>5700010003</v>
      </c>
      <c r="P67" s="7">
        <v>570001</v>
      </c>
      <c r="Q67" s="7">
        <v>570002</v>
      </c>
      <c r="R67" s="7">
        <v>570003</v>
      </c>
      <c r="S67" s="7">
        <v>570001</v>
      </c>
      <c r="T67" s="7">
        <v>570002</v>
      </c>
      <c r="U67" s="7">
        <v>570003</v>
      </c>
    </row>
    <row r="68" spans="2:21" ht="18.75" customHeight="1">
      <c r="B68" s="7">
        <v>58</v>
      </c>
      <c r="C68" s="7" t="s">
        <v>571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v>5800010001</v>
      </c>
      <c r="N68" s="7">
        <v>5800010002</v>
      </c>
      <c r="O68" s="7">
        <v>5800010003</v>
      </c>
      <c r="P68" s="7">
        <v>580001</v>
      </c>
      <c r="Q68" s="7">
        <v>580002</v>
      </c>
      <c r="R68" s="7">
        <v>580003</v>
      </c>
      <c r="S68" s="7">
        <v>580001</v>
      </c>
      <c r="T68" s="7">
        <v>580002</v>
      </c>
      <c r="U68" s="7">
        <v>580003</v>
      </c>
    </row>
    <row r="69" spans="2:21" ht="18.75" customHeight="1">
      <c r="B69" s="7">
        <v>59</v>
      </c>
      <c r="C69" s="7" t="s">
        <v>572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v>5900010001</v>
      </c>
      <c r="N69" s="7">
        <v>5900010002</v>
      </c>
      <c r="O69" s="7">
        <v>5900010003</v>
      </c>
      <c r="P69" s="7">
        <v>590001</v>
      </c>
      <c r="Q69" s="7">
        <v>590002</v>
      </c>
      <c r="R69" s="7">
        <v>590003</v>
      </c>
      <c r="S69" s="7">
        <v>590001</v>
      </c>
      <c r="T69" s="7">
        <v>590002</v>
      </c>
      <c r="U69" s="7">
        <v>590003</v>
      </c>
    </row>
    <row r="70" spans="2:21" ht="18.75" customHeight="1">
      <c r="B70" s="7">
        <v>60</v>
      </c>
      <c r="C70" s="7" t="s">
        <v>573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v>6000010001</v>
      </c>
      <c r="N70" s="7">
        <v>6000010002</v>
      </c>
      <c r="O70" s="7">
        <v>6000010003</v>
      </c>
      <c r="P70" s="7">
        <v>600001</v>
      </c>
      <c r="Q70" s="7">
        <v>600002</v>
      </c>
      <c r="R70" s="7">
        <v>600003</v>
      </c>
      <c r="S70" s="7">
        <v>600001</v>
      </c>
      <c r="T70" s="7">
        <v>600002</v>
      </c>
      <c r="U70" s="7">
        <v>600003</v>
      </c>
    </row>
    <row r="71" spans="2:21" ht="18.75" customHeight="1">
      <c r="B71" s="7">
        <v>61</v>
      </c>
      <c r="C71" s="7" t="s">
        <v>574</v>
      </c>
      <c r="D71" s="7">
        <v>1</v>
      </c>
      <c r="E71" s="7">
        <v>4</v>
      </c>
      <c r="F71" s="7" t="b">
        <v>1</v>
      </c>
      <c r="G71" s="7">
        <v>2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v>6100010001</v>
      </c>
      <c r="N71" s="7">
        <v>6100010002</v>
      </c>
      <c r="O71" s="7">
        <v>6100010003</v>
      </c>
      <c r="P71" s="7">
        <v>610001</v>
      </c>
      <c r="Q71" s="7">
        <v>610002</v>
      </c>
      <c r="R71" s="7">
        <v>610003</v>
      </c>
      <c r="S71" s="7">
        <v>610001</v>
      </c>
      <c r="T71" s="7">
        <v>610002</v>
      </c>
      <c r="U71" s="7">
        <v>610003</v>
      </c>
    </row>
    <row r="72" spans="2:21" ht="18.75" customHeight="1">
      <c r="B72" s="7">
        <v>62</v>
      </c>
      <c r="C72" s="7" t="s">
        <v>575</v>
      </c>
      <c r="D72" s="7">
        <v>2</v>
      </c>
      <c r="E72" s="7">
        <v>4</v>
      </c>
      <c r="F72" s="7" t="b">
        <v>1</v>
      </c>
      <c r="G72" s="7">
        <v>2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v>6200010001</v>
      </c>
      <c r="N72" s="7">
        <v>6200010002</v>
      </c>
      <c r="O72" s="7">
        <v>6200010003</v>
      </c>
      <c r="P72" s="7">
        <v>620001</v>
      </c>
      <c r="Q72" s="7">
        <v>620002</v>
      </c>
      <c r="R72" s="7">
        <v>620003</v>
      </c>
      <c r="S72" s="7">
        <v>620001</v>
      </c>
      <c r="T72" s="7">
        <v>620002</v>
      </c>
      <c r="U72" s="7">
        <v>620003</v>
      </c>
    </row>
    <row r="73" spans="2:21" ht="18.75" customHeight="1">
      <c r="B73" s="7">
        <v>63</v>
      </c>
      <c r="C73" s="7" t="s">
        <v>576</v>
      </c>
      <c r="D73" s="7">
        <v>3</v>
      </c>
      <c r="E73" s="7">
        <v>4</v>
      </c>
      <c r="F73" s="7" t="b">
        <v>1</v>
      </c>
      <c r="G73" s="7">
        <v>2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v>6300010001</v>
      </c>
      <c r="N73" s="7">
        <v>6300010002</v>
      </c>
      <c r="O73" s="7">
        <v>6300010003</v>
      </c>
      <c r="P73" s="7">
        <v>630001</v>
      </c>
      <c r="Q73" s="7">
        <v>630002</v>
      </c>
      <c r="R73" s="7">
        <v>630003</v>
      </c>
      <c r="S73" s="7">
        <v>630001</v>
      </c>
      <c r="T73" s="7">
        <v>630002</v>
      </c>
      <c r="U73" s="7">
        <v>630003</v>
      </c>
    </row>
    <row r="74" spans="2:21" ht="18.75" customHeight="1">
      <c r="B74" s="7">
        <v>64</v>
      </c>
      <c r="C74" s="7" t="s">
        <v>577</v>
      </c>
      <c r="D74" s="7">
        <v>4</v>
      </c>
      <c r="E74" s="7">
        <v>4</v>
      </c>
      <c r="F74" s="7" t="b">
        <v>1</v>
      </c>
      <c r="G74" s="7">
        <v>2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v>6400010001</v>
      </c>
      <c r="N74" s="7">
        <v>6400010002</v>
      </c>
      <c r="O74" s="7">
        <v>6400010003</v>
      </c>
      <c r="P74" s="7">
        <v>640001</v>
      </c>
      <c r="Q74" s="7">
        <v>640002</v>
      </c>
      <c r="R74" s="7">
        <v>640003</v>
      </c>
      <c r="S74" s="7">
        <v>640001</v>
      </c>
      <c r="T74" s="7">
        <v>640002</v>
      </c>
      <c r="U74" s="7">
        <v>640003</v>
      </c>
    </row>
    <row r="75" spans="2:21" ht="18.75" customHeight="1">
      <c r="B75" s="7">
        <v>65</v>
      </c>
      <c r="C75" s="7" t="s">
        <v>578</v>
      </c>
      <c r="D75" s="7">
        <v>5</v>
      </c>
      <c r="E75" s="7">
        <v>4</v>
      </c>
      <c r="F75" s="7" t="b">
        <v>1</v>
      </c>
      <c r="G75" s="7">
        <v>2</v>
      </c>
      <c r="H75" s="7"/>
      <c r="I75" s="7">
        <v>90</v>
      </c>
      <c r="J75" s="7">
        <v>18</v>
      </c>
      <c r="K75" s="7">
        <v>87</v>
      </c>
      <c r="L75" s="7">
        <v>100</v>
      </c>
      <c r="M75" s="7">
        <v>6500010001</v>
      </c>
      <c r="N75" s="7">
        <v>6500010002</v>
      </c>
      <c r="O75" s="7">
        <v>6500010003</v>
      </c>
      <c r="P75" s="7">
        <v>650001</v>
      </c>
      <c r="Q75" s="7">
        <v>650002</v>
      </c>
      <c r="R75" s="7">
        <v>650003</v>
      </c>
      <c r="S75" s="7">
        <v>650001</v>
      </c>
      <c r="T75" s="7">
        <v>650002</v>
      </c>
      <c r="U75" s="7">
        <v>650003</v>
      </c>
    </row>
    <row r="76" spans="2:21" ht="18.75" customHeight="1">
      <c r="B76" s="7">
        <v>66</v>
      </c>
      <c r="C76" s="7" t="s">
        <v>579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v>6600010001</v>
      </c>
      <c r="N76" s="7">
        <v>6600010002</v>
      </c>
      <c r="O76" s="7">
        <v>6600010003</v>
      </c>
      <c r="P76" s="7">
        <v>660001</v>
      </c>
      <c r="Q76" s="7">
        <v>660002</v>
      </c>
      <c r="R76" s="7">
        <v>660003</v>
      </c>
      <c r="S76" s="7">
        <v>660001</v>
      </c>
      <c r="T76" s="7">
        <v>660002</v>
      </c>
      <c r="U76" s="7">
        <v>660003</v>
      </c>
    </row>
    <row r="77" spans="2:21" ht="18.75" customHeight="1">
      <c r="B77" s="7">
        <v>67</v>
      </c>
      <c r="C77" s="7" t="s">
        <v>580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80</v>
      </c>
      <c r="J77" s="7">
        <v>120</v>
      </c>
      <c r="K77" s="7">
        <v>105</v>
      </c>
      <c r="L77" s="7">
        <v>70</v>
      </c>
      <c r="M77" s="7">
        <v>6700010001</v>
      </c>
      <c r="N77" s="7">
        <v>6700010002</v>
      </c>
      <c r="O77" s="7">
        <v>6700010003</v>
      </c>
      <c r="P77" s="7">
        <v>670001</v>
      </c>
      <c r="Q77" s="7">
        <v>670002</v>
      </c>
      <c r="R77" s="7">
        <v>670003</v>
      </c>
      <c r="S77" s="7">
        <v>670001</v>
      </c>
      <c r="T77" s="7">
        <v>670002</v>
      </c>
      <c r="U77" s="7">
        <v>670003</v>
      </c>
    </row>
    <row r="78" spans="2:21" ht="18.75" customHeight="1">
      <c r="B78" s="7">
        <v>68</v>
      </c>
      <c r="C78" s="7" t="s">
        <v>581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71</v>
      </c>
      <c r="J78" s="7">
        <v>120</v>
      </c>
      <c r="K78" s="7">
        <v>95</v>
      </c>
      <c r="L78" s="7">
        <v>99</v>
      </c>
      <c r="M78" s="7">
        <v>6800010001</v>
      </c>
      <c r="N78" s="7">
        <v>6800010002</v>
      </c>
      <c r="O78" s="7">
        <v>6800010003</v>
      </c>
      <c r="P78" s="7">
        <v>680001</v>
      </c>
      <c r="Q78" s="7">
        <v>680002</v>
      </c>
      <c r="R78" s="7">
        <v>680003</v>
      </c>
      <c r="S78" s="7">
        <v>680001</v>
      </c>
      <c r="T78" s="7">
        <v>680002</v>
      </c>
      <c r="U78" s="7">
        <v>680003</v>
      </c>
    </row>
    <row r="79" spans="2:21" ht="18.75" customHeight="1">
      <c r="B79" s="7">
        <v>69</v>
      </c>
      <c r="C79" s="7" t="s">
        <v>582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100</v>
      </c>
      <c r="J79" s="7">
        <v>85</v>
      </c>
      <c r="K79" s="7">
        <v>105</v>
      </c>
      <c r="L79" s="7">
        <v>60</v>
      </c>
      <c r="M79" s="7">
        <v>6900010001</v>
      </c>
      <c r="N79" s="7">
        <v>6900010002</v>
      </c>
      <c r="O79" s="7">
        <v>6900010003</v>
      </c>
      <c r="P79" s="7">
        <v>690001</v>
      </c>
      <c r="Q79" s="7">
        <v>690002</v>
      </c>
      <c r="R79" s="7">
        <v>690003</v>
      </c>
      <c r="S79" s="7">
        <v>690001</v>
      </c>
      <c r="T79" s="7">
        <v>690002</v>
      </c>
      <c r="U79" s="7">
        <v>690003</v>
      </c>
    </row>
    <row r="80" spans="2:21" ht="18.75" customHeight="1">
      <c r="B80" s="7">
        <v>70</v>
      </c>
      <c r="C80" s="7" t="s">
        <v>583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80</v>
      </c>
      <c r="J80" s="7">
        <v>125</v>
      </c>
      <c r="K80" s="7">
        <v>85</v>
      </c>
      <c r="L80" s="7">
        <v>80</v>
      </c>
      <c r="M80" s="7">
        <v>7000010001</v>
      </c>
      <c r="N80" s="7">
        <v>7000010002</v>
      </c>
      <c r="O80" s="7">
        <v>7000010003</v>
      </c>
      <c r="P80" s="7">
        <v>700001</v>
      </c>
      <c r="Q80" s="7">
        <v>700002</v>
      </c>
      <c r="R80" s="7">
        <v>700003</v>
      </c>
      <c r="S80" s="7">
        <v>700001</v>
      </c>
      <c r="T80" s="7">
        <v>700002</v>
      </c>
      <c r="U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P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T1001"/>
  <sheetViews>
    <sheetView workbookViewId="0">
      <selection activeCell="Q14" sqref="Q14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75" style="36" customWidth="1"/>
    <col min="4" max="5" width="13.75" style="36" customWidth="1"/>
    <col min="6" max="19" width="12.625" style="36" customWidth="1"/>
    <col min="20" max="16384" width="12.625" style="36"/>
  </cols>
  <sheetData>
    <row r="1" spans="1:20" ht="12" customHeight="1"/>
    <row r="2" spans="1:20" ht="40.5" customHeight="1">
      <c r="A2" s="55" t="s">
        <v>0</v>
      </c>
      <c r="B2" s="7" t="s">
        <v>17</v>
      </c>
    </row>
    <row r="3" spans="1:2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18.75" customHeight="1">
      <c r="A4" s="55" t="s">
        <v>2</v>
      </c>
      <c r="B4" s="3" t="s">
        <v>3</v>
      </c>
      <c r="C4" s="3" t="s">
        <v>18</v>
      </c>
      <c r="D4" s="3" t="s">
        <v>22</v>
      </c>
      <c r="E4" s="3"/>
      <c r="F4" s="3" t="s">
        <v>1990</v>
      </c>
      <c r="G4" s="3"/>
      <c r="H4" s="3" t="s">
        <v>1991</v>
      </c>
      <c r="I4" s="3"/>
      <c r="J4" s="3"/>
      <c r="K4" s="3"/>
      <c r="L4" s="3" t="s">
        <v>1999</v>
      </c>
      <c r="M4" s="3"/>
      <c r="N4" s="3"/>
      <c r="O4" s="3"/>
      <c r="P4" s="3" t="s">
        <v>2000</v>
      </c>
      <c r="Q4" s="3"/>
      <c r="R4" s="3"/>
      <c r="S4" s="3"/>
      <c r="T4" s="3" t="s">
        <v>2003</v>
      </c>
    </row>
    <row r="5" spans="1:20" ht="18.75" customHeight="1">
      <c r="A5" s="55" t="s">
        <v>4</v>
      </c>
      <c r="B5" s="3"/>
      <c r="C5" s="3"/>
      <c r="D5" s="3">
        <v>1</v>
      </c>
      <c r="E5" s="3">
        <v>2</v>
      </c>
      <c r="F5" s="3">
        <v>1</v>
      </c>
      <c r="G5" s="3">
        <v>2</v>
      </c>
      <c r="H5" s="3" t="s">
        <v>1995</v>
      </c>
      <c r="I5" s="3" t="s">
        <v>1994</v>
      </c>
      <c r="J5" s="3" t="s">
        <v>1993</v>
      </c>
      <c r="K5" s="3" t="s">
        <v>1992</v>
      </c>
      <c r="L5" s="3" t="s">
        <v>1995</v>
      </c>
      <c r="M5" s="3" t="s">
        <v>1994</v>
      </c>
      <c r="N5" s="3" t="s">
        <v>1993</v>
      </c>
      <c r="O5" s="3" t="s">
        <v>1992</v>
      </c>
      <c r="P5" s="3" t="s">
        <v>1995</v>
      </c>
      <c r="Q5" s="3" t="s">
        <v>1994</v>
      </c>
      <c r="R5" s="3" t="s">
        <v>1993</v>
      </c>
      <c r="S5" s="3" t="s">
        <v>1992</v>
      </c>
      <c r="T5" s="3"/>
    </row>
    <row r="6" spans="1:20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0" ht="18.75" customHeight="1">
      <c r="A7" s="55" t="s">
        <v>1922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1:20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20</v>
      </c>
      <c r="F8" s="4" t="s">
        <v>20</v>
      </c>
      <c r="G8" s="4" t="s">
        <v>20</v>
      </c>
      <c r="H8" s="4" t="s">
        <v>1952</v>
      </c>
      <c r="I8" s="4" t="s">
        <v>1952</v>
      </c>
      <c r="J8" s="4" t="s">
        <v>1952</v>
      </c>
      <c r="K8" s="4" t="s">
        <v>1952</v>
      </c>
      <c r="L8" s="4" t="s">
        <v>1952</v>
      </c>
      <c r="M8" s="4" t="s">
        <v>1952</v>
      </c>
      <c r="N8" s="4" t="s">
        <v>1952</v>
      </c>
      <c r="O8" s="4" t="s">
        <v>1952</v>
      </c>
      <c r="P8" s="4" t="s">
        <v>1952</v>
      </c>
      <c r="Q8" s="4" t="s">
        <v>1952</v>
      </c>
      <c r="R8" s="4" t="s">
        <v>1952</v>
      </c>
      <c r="S8" s="4" t="s">
        <v>1952</v>
      </c>
      <c r="T8" s="4" t="s">
        <v>20</v>
      </c>
    </row>
    <row r="9" spans="1:20" ht="76.5" customHeight="1">
      <c r="A9" s="55" t="s">
        <v>10</v>
      </c>
      <c r="B9" s="6" t="s">
        <v>11</v>
      </c>
      <c r="C9" s="6" t="s">
        <v>19</v>
      </c>
      <c r="D9" s="6" t="s">
        <v>1997</v>
      </c>
      <c r="E9" s="6" t="s">
        <v>1997</v>
      </c>
      <c r="F9" s="6" t="s">
        <v>1996</v>
      </c>
      <c r="G9" s="6" t="s">
        <v>1996</v>
      </c>
      <c r="H9" s="6" t="s">
        <v>2023</v>
      </c>
      <c r="I9" s="6" t="s">
        <v>2024</v>
      </c>
      <c r="J9" s="6" t="s">
        <v>2025</v>
      </c>
      <c r="K9" s="6" t="s">
        <v>2026</v>
      </c>
      <c r="L9" s="6" t="s">
        <v>2027</v>
      </c>
      <c r="M9" s="6" t="s">
        <v>2028</v>
      </c>
      <c r="N9" s="6" t="s">
        <v>2029</v>
      </c>
      <c r="O9" s="6" t="s">
        <v>2030</v>
      </c>
      <c r="P9" s="6" t="s">
        <v>2031</v>
      </c>
      <c r="Q9" s="6" t="s">
        <v>2032</v>
      </c>
      <c r="R9" s="6" t="s">
        <v>2033</v>
      </c>
      <c r="S9" s="6" t="s">
        <v>2034</v>
      </c>
      <c r="T9" s="6" t="s">
        <v>2003</v>
      </c>
    </row>
    <row r="10" spans="1:20" ht="132" customHeight="1">
      <c r="A10" s="55" t="s">
        <v>12</v>
      </c>
      <c r="B10" s="5"/>
      <c r="C10" s="6"/>
      <c r="D10" s="6" t="s">
        <v>1998</v>
      </c>
      <c r="E10" s="6" t="s">
        <v>1998</v>
      </c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</row>
    <row r="11" spans="1:20" ht="18.75" customHeight="1">
      <c r="A11" s="56" t="s">
        <v>13</v>
      </c>
      <c r="B11" s="7">
        <v>1</v>
      </c>
      <c r="C11" s="7" t="s">
        <v>21</v>
      </c>
      <c r="D11" s="7">
        <v>1</v>
      </c>
      <c r="E11" s="7"/>
      <c r="F11" s="7">
        <v>46</v>
      </c>
      <c r="G11" s="7">
        <v>51</v>
      </c>
      <c r="H11" s="7">
        <v>1.4</v>
      </c>
      <c r="I11" s="7">
        <v>10</v>
      </c>
      <c r="J11" s="7">
        <v>20</v>
      </c>
      <c r="K11" s="7">
        <v>70</v>
      </c>
      <c r="L11" s="7">
        <v>1.4</v>
      </c>
      <c r="M11" s="7">
        <v>10</v>
      </c>
      <c r="N11" s="7">
        <v>90</v>
      </c>
      <c r="O11" s="7">
        <v>0</v>
      </c>
      <c r="P11" s="7">
        <v>14</v>
      </c>
      <c r="Q11" s="7">
        <v>100</v>
      </c>
      <c r="R11" s="7">
        <v>0</v>
      </c>
      <c r="S11" s="7">
        <v>0</v>
      </c>
      <c r="T11" s="7">
        <v>0</v>
      </c>
    </row>
    <row r="12" spans="1:20" ht="18.75" customHeight="1">
      <c r="A12" s="8"/>
      <c r="B12" s="7">
        <v>2</v>
      </c>
      <c r="C12" s="7" t="s">
        <v>2035</v>
      </c>
      <c r="D12" s="7">
        <v>1</v>
      </c>
      <c r="E12" s="7">
        <v>2</v>
      </c>
      <c r="F12" s="7">
        <v>69</v>
      </c>
      <c r="G12" s="7">
        <v>70</v>
      </c>
      <c r="H12" s="7">
        <v>1.4</v>
      </c>
      <c r="I12" s="7">
        <v>10</v>
      </c>
      <c r="J12" s="7">
        <v>20</v>
      </c>
      <c r="K12" s="7">
        <v>70</v>
      </c>
      <c r="L12" s="7">
        <v>1.4</v>
      </c>
      <c r="M12" s="7">
        <v>10</v>
      </c>
      <c r="N12" s="7">
        <v>90</v>
      </c>
      <c r="O12" s="7">
        <v>0</v>
      </c>
      <c r="P12" s="7">
        <v>14</v>
      </c>
      <c r="Q12" s="7">
        <v>100</v>
      </c>
      <c r="R12" s="7">
        <v>0</v>
      </c>
      <c r="S12" s="7">
        <v>0</v>
      </c>
      <c r="T12" s="7">
        <v>0</v>
      </c>
    </row>
    <row r="13" spans="1:20" ht="18.75" customHeight="1">
      <c r="A13" s="8"/>
      <c r="B13" s="7">
        <v>3</v>
      </c>
      <c r="C13" s="7" t="s">
        <v>2036</v>
      </c>
      <c r="D13" s="7">
        <v>1</v>
      </c>
      <c r="E13" s="7">
        <v>2</v>
      </c>
      <c r="F13" s="7"/>
      <c r="G13" s="7"/>
      <c r="H13" s="7">
        <v>0</v>
      </c>
      <c r="I13" s="7">
        <v>10</v>
      </c>
      <c r="J13" s="7">
        <v>20</v>
      </c>
      <c r="K13" s="7">
        <v>70</v>
      </c>
      <c r="L13" s="7">
        <v>0</v>
      </c>
      <c r="M13" s="7">
        <v>10</v>
      </c>
      <c r="N13" s="7">
        <v>90</v>
      </c>
      <c r="O13" s="7">
        <v>0</v>
      </c>
      <c r="P13" s="7">
        <v>0</v>
      </c>
      <c r="Q13" s="7">
        <v>100</v>
      </c>
      <c r="R13" s="7">
        <v>0</v>
      </c>
      <c r="S13" s="7">
        <v>0</v>
      </c>
      <c r="T13" s="7">
        <v>0</v>
      </c>
    </row>
    <row r="14" spans="1:20" ht="18.75" customHeight="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0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0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20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20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20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20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</row>
    <row r="21" spans="1:20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</row>
    <row r="22" spans="1:20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</row>
    <row r="23" spans="1:20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</row>
    <row r="24" spans="1:20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</row>
    <row r="25" spans="1:20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</row>
    <row r="26" spans="1:20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</row>
    <row r="27" spans="1:20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</row>
    <row r="28" spans="1:20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</row>
    <row r="29" spans="1:20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</row>
    <row r="30" spans="1:20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</row>
    <row r="31" spans="1:20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</row>
    <row r="32" spans="1:20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</row>
    <row r="33" spans="1:20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</row>
    <row r="34" spans="1:20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</row>
    <row r="35" spans="1:20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</row>
    <row r="36" spans="1:20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</row>
    <row r="37" spans="1:20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</row>
    <row r="38" spans="1:20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</row>
    <row r="39" spans="1:20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</row>
    <row r="40" spans="1:20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</row>
    <row r="41" spans="1:20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</row>
    <row r="42" spans="1:20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</row>
    <row r="43" spans="1:20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</row>
    <row r="44" spans="1:20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</row>
    <row r="45" spans="1:20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</row>
    <row r="46" spans="1:20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</row>
    <row r="47" spans="1:20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</row>
    <row r="48" spans="1:20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</row>
    <row r="49" spans="1:20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</row>
    <row r="50" spans="1:20" ht="18.75" customHeight="1"/>
    <row r="51" spans="1:20" ht="18.75" customHeight="1"/>
    <row r="52" spans="1:20" ht="18.75" customHeight="1"/>
    <row r="53" spans="1:20" ht="18.75" customHeight="1"/>
    <row r="54" spans="1:20" ht="18.75" customHeight="1"/>
    <row r="55" spans="1:20" ht="18.75" customHeight="1"/>
    <row r="56" spans="1:20" ht="18.75" customHeight="1"/>
    <row r="57" spans="1:20" ht="18.75" customHeight="1"/>
    <row r="58" spans="1:20" ht="18.75" customHeight="1"/>
    <row r="59" spans="1:20" ht="18.75" customHeight="1"/>
    <row r="60" spans="1:20" ht="18.75" customHeight="1"/>
    <row r="61" spans="1:20" ht="18.75" customHeight="1"/>
    <row r="62" spans="1:20" ht="18.75" customHeight="1"/>
    <row r="63" spans="1:20" ht="18.75" customHeight="1"/>
    <row r="64" spans="1:20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T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1"/>
  <sheetViews>
    <sheetView tabSelected="1" topLeftCell="A5" workbookViewId="0">
      <selection activeCell="I10" sqref="I10"/>
    </sheetView>
  </sheetViews>
  <sheetFormatPr defaultColWidth="12.625" defaultRowHeight="15" customHeight="1"/>
  <cols>
    <col min="1" max="1" width="7.625" style="36" customWidth="1"/>
    <col min="2" max="3" width="17" style="36" customWidth="1"/>
    <col min="4" max="4" width="20" style="36" customWidth="1"/>
    <col min="5" max="7" width="12.625" style="36" customWidth="1"/>
    <col min="8" max="8" width="15.375" style="36" customWidth="1"/>
    <col min="9" max="9" width="19.125" style="36" customWidth="1"/>
    <col min="10" max="10" width="12.625" style="36" customWidth="1"/>
    <col min="11" max="11" width="22.75" style="36" customWidth="1"/>
    <col min="12" max="12" width="19" style="36" customWidth="1"/>
    <col min="13" max="13" width="12.625" style="36" customWidth="1"/>
    <col min="14" max="14" width="27.25" style="36" customWidth="1"/>
    <col min="15" max="34" width="12.625" style="36" customWidth="1"/>
    <col min="35" max="16384" width="12.625" style="36"/>
  </cols>
  <sheetData>
    <row r="1" spans="1:38" ht="12" customHeight="1"/>
    <row r="2" spans="1:38" ht="40.5" customHeight="1">
      <c r="A2" s="55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55" t="s">
        <v>2</v>
      </c>
      <c r="B4" s="3" t="s">
        <v>3</v>
      </c>
      <c r="C4" s="3" t="s">
        <v>25</v>
      </c>
      <c r="D4" s="3" t="s">
        <v>18</v>
      </c>
      <c r="E4" s="3" t="s">
        <v>2001</v>
      </c>
      <c r="F4" s="3"/>
      <c r="G4" s="3"/>
      <c r="H4" s="3" t="s">
        <v>223</v>
      </c>
      <c r="I4" s="3" t="s">
        <v>178</v>
      </c>
      <c r="J4" s="3"/>
      <c r="K4" s="3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55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55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3" t="s">
        <v>220</v>
      </c>
      <c r="L6" s="3" t="s">
        <v>179</v>
      </c>
      <c r="M6" s="3" t="s">
        <v>180</v>
      </c>
      <c r="N6" s="3" t="s">
        <v>220</v>
      </c>
      <c r="O6" s="3" t="s">
        <v>179</v>
      </c>
      <c r="P6" s="3" t="s">
        <v>180</v>
      </c>
      <c r="Q6" s="3" t="s">
        <v>220</v>
      </c>
      <c r="R6" s="3" t="s">
        <v>179</v>
      </c>
      <c r="S6" s="3" t="s">
        <v>180</v>
      </c>
      <c r="T6" s="3" t="s">
        <v>220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55" t="s">
        <v>1922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55" t="s">
        <v>6</v>
      </c>
      <c r="B8" s="4" t="s">
        <v>7</v>
      </c>
      <c r="C8" s="4" t="s">
        <v>7</v>
      </c>
      <c r="D8" s="4" t="s">
        <v>8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55" t="s">
        <v>10</v>
      </c>
      <c r="B9" s="5" t="s">
        <v>11</v>
      </c>
      <c r="C9" s="5" t="s">
        <v>26</v>
      </c>
      <c r="D9" s="5" t="s">
        <v>174</v>
      </c>
      <c r="E9" s="6" t="s">
        <v>123</v>
      </c>
      <c r="F9" s="6" t="s">
        <v>30</v>
      </c>
      <c r="G9" s="6" t="s">
        <v>32</v>
      </c>
      <c r="H9" s="6" t="s">
        <v>2002</v>
      </c>
      <c r="I9" s="6" t="s">
        <v>182</v>
      </c>
      <c r="J9" s="6" t="s">
        <v>183</v>
      </c>
      <c r="K9" s="6" t="s">
        <v>221</v>
      </c>
      <c r="L9" s="6" t="s">
        <v>182</v>
      </c>
      <c r="M9" s="6" t="s">
        <v>183</v>
      </c>
      <c r="N9" s="6" t="s">
        <v>221</v>
      </c>
      <c r="O9" s="6" t="s">
        <v>182</v>
      </c>
      <c r="P9" s="6" t="s">
        <v>183</v>
      </c>
      <c r="Q9" s="6" t="s">
        <v>221</v>
      </c>
      <c r="R9" s="6" t="s">
        <v>182</v>
      </c>
      <c r="S9" s="6" t="s">
        <v>183</v>
      </c>
      <c r="T9" s="6" t="s">
        <v>221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132" customHeight="1">
      <c r="A10" s="55" t="s">
        <v>12</v>
      </c>
      <c r="B10" s="5"/>
      <c r="C10" s="6"/>
      <c r="D10" s="6"/>
      <c r="E10" s="6"/>
      <c r="F10" s="6"/>
      <c r="G10" s="5"/>
      <c r="H10" s="18"/>
      <c r="I10" s="19" t="s">
        <v>222</v>
      </c>
      <c r="J10" s="19"/>
      <c r="K10" s="19"/>
      <c r="L10" s="19" t="s">
        <v>222</v>
      </c>
      <c r="M10" s="19"/>
      <c r="N10" s="19"/>
      <c r="O10" s="19" t="s">
        <v>222</v>
      </c>
      <c r="P10" s="18"/>
      <c r="Q10" s="19"/>
      <c r="R10" s="19" t="s">
        <v>222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56" t="s">
        <v>13</v>
      </c>
      <c r="B11" s="7">
        <v>1001001</v>
      </c>
      <c r="C11" s="7">
        <v>1</v>
      </c>
      <c r="D11" s="5" t="s">
        <v>175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25"/>
      <c r="L11" s="7"/>
      <c r="M11" s="7"/>
      <c r="N11" s="25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56"/>
      <c r="B12" s="7">
        <v>1001002</v>
      </c>
      <c r="C12" s="7">
        <v>1</v>
      </c>
      <c r="D12" s="7" t="s">
        <v>176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25"/>
      <c r="L12" s="7"/>
      <c r="M12" s="7"/>
      <c r="N12" s="25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8"/>
      <c r="B13" s="7">
        <v>1002001</v>
      </c>
      <c r="C13" s="7">
        <v>2</v>
      </c>
      <c r="D13" s="5" t="s">
        <v>175</v>
      </c>
      <c r="E13" s="7">
        <v>1</v>
      </c>
      <c r="F13" s="7">
        <v>1</v>
      </c>
      <c r="G13" s="7">
        <v>5</v>
      </c>
      <c r="H13" s="7">
        <v>1</v>
      </c>
      <c r="I13" s="7"/>
      <c r="J13" s="7"/>
      <c r="K13" s="25"/>
      <c r="L13" s="7"/>
      <c r="M13" s="7"/>
      <c r="N13" s="25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8"/>
      <c r="B14" s="7">
        <v>1002002</v>
      </c>
      <c r="C14" s="7">
        <v>2</v>
      </c>
      <c r="D14" s="7" t="s">
        <v>176</v>
      </c>
      <c r="E14" s="7">
        <v>1</v>
      </c>
      <c r="F14" s="7">
        <v>1</v>
      </c>
      <c r="G14" s="7">
        <v>50</v>
      </c>
      <c r="H14" s="7">
        <v>3</v>
      </c>
      <c r="I14" s="7"/>
      <c r="J14" s="7"/>
      <c r="K14" s="25"/>
      <c r="L14" s="7"/>
      <c r="M14" s="7"/>
      <c r="N14" s="25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1003001</v>
      </c>
      <c r="C15" s="7">
        <v>3</v>
      </c>
      <c r="D15" s="7" t="s">
        <v>2037</v>
      </c>
      <c r="E15" s="7">
        <v>1</v>
      </c>
      <c r="F15" s="7">
        <v>1</v>
      </c>
      <c r="G15" s="7">
        <v>5</v>
      </c>
      <c r="H15" s="7">
        <v>5</v>
      </c>
      <c r="I15" s="7"/>
      <c r="J15" s="7"/>
      <c r="K15" s="25"/>
      <c r="L15" s="7"/>
      <c r="M15" s="7"/>
      <c r="N15" s="25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25"/>
      <c r="L16" s="7"/>
      <c r="M16" s="7"/>
      <c r="N16" s="25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25"/>
      <c r="L17" s="7"/>
      <c r="M17" s="7"/>
      <c r="N17" s="25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25"/>
      <c r="L18" s="7"/>
      <c r="M18" s="7"/>
      <c r="N18" s="25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25"/>
      <c r="L19" s="7"/>
      <c r="M19" s="7"/>
      <c r="N19" s="25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25"/>
      <c r="L20" s="7"/>
      <c r="M20" s="7"/>
      <c r="N20" s="25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25"/>
      <c r="L21" s="7"/>
      <c r="M21" s="7"/>
      <c r="N21" s="25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25"/>
      <c r="L22" s="7"/>
      <c r="M22" s="7"/>
      <c r="N22" s="25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25"/>
      <c r="L23" s="7"/>
      <c r="M23" s="7"/>
      <c r="N23" s="25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25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25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25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25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25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25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25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25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5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25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5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25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25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25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25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25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25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25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25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/>
    <row r="51" spans="1:34" ht="18.75" customHeight="1"/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2.625" style="36" customWidth="1"/>
    <col min="4" max="4" width="20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1922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22" workbookViewId="0">
      <selection activeCell="P30" sqref="P3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1922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</v>
      </c>
      <c r="C11" s="7" t="s">
        <v>1747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1748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1749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1750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1751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1752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1753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1754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1755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1756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1757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1758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1759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1760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1761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1762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1763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1764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1765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1766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1767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1953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1988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10" workbookViewId="0">
      <selection activeCell="K26" sqref="K26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1922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7">
        <v>10</v>
      </c>
      <c r="E12" s="7">
        <f>SUM(D12)</f>
        <v>10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>B12 + D12</f>
        <v>12</v>
      </c>
      <c r="E13" s="7">
        <f>E12+D13</f>
        <v>22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>B13 + D13</f>
        <v>15</v>
      </c>
      <c r="E14" s="7">
        <f>E13+D14</f>
        <v>37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ref="D15:D78" si="0">B14 + D14</f>
        <v>19</v>
      </c>
      <c r="E15" s="7">
        <f t="shared" ref="E15:E78" si="1">E14+D15</f>
        <v>56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24</v>
      </c>
      <c r="E16" s="7">
        <f t="shared" si="1"/>
        <v>80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30</v>
      </c>
      <c r="E17" s="7">
        <f t="shared" si="1"/>
        <v>110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37</v>
      </c>
      <c r="E18" s="7">
        <f t="shared" si="1"/>
        <v>147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45</v>
      </c>
      <c r="E19" s="7">
        <f t="shared" si="1"/>
        <v>192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54</v>
      </c>
      <c r="E20" s="7">
        <f t="shared" si="1"/>
        <v>246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64</v>
      </c>
      <c r="E21" s="7">
        <f t="shared" si="1"/>
        <v>310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75</v>
      </c>
      <c r="E22" s="7">
        <f t="shared" si="1"/>
        <v>385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87</v>
      </c>
      <c r="E23" s="7">
        <f t="shared" si="1"/>
        <v>472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100</v>
      </c>
      <c r="E24" s="7">
        <f t="shared" si="1"/>
        <v>572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114</v>
      </c>
      <c r="E25" s="7">
        <f t="shared" si="1"/>
        <v>686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129</v>
      </c>
      <c r="E26" s="7">
        <f t="shared" si="1"/>
        <v>815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145</v>
      </c>
      <c r="E27" s="7">
        <f t="shared" si="1"/>
        <v>960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162</v>
      </c>
      <c r="E28" s="7">
        <f t="shared" si="1"/>
        <v>1122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180</v>
      </c>
      <c r="E29" s="7">
        <f t="shared" si="1"/>
        <v>1302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199</v>
      </c>
      <c r="E30" s="7">
        <f t="shared" si="1"/>
        <v>1501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219</v>
      </c>
      <c r="E31" s="7">
        <f t="shared" si="1"/>
        <v>1720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240</v>
      </c>
      <c r="E32" s="7">
        <f t="shared" si="1"/>
        <v>1960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262</v>
      </c>
      <c r="E33" s="7">
        <f t="shared" si="1"/>
        <v>2222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285</v>
      </c>
      <c r="E34" s="7">
        <f t="shared" si="1"/>
        <v>2507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309</v>
      </c>
      <c r="E35" s="7">
        <f t="shared" si="1"/>
        <v>2816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334</v>
      </c>
      <c r="E36" s="7">
        <f t="shared" si="1"/>
        <v>3150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360</v>
      </c>
      <c r="E37" s="7">
        <f t="shared" si="1"/>
        <v>3510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387</v>
      </c>
      <c r="E38" s="7">
        <f t="shared" si="1"/>
        <v>3897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415</v>
      </c>
      <c r="E39" s="7">
        <f t="shared" si="1"/>
        <v>4312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444</v>
      </c>
      <c r="E40" s="7">
        <f t="shared" si="1"/>
        <v>4756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474</v>
      </c>
      <c r="E41" s="7">
        <f t="shared" si="1"/>
        <v>5230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505</v>
      </c>
      <c r="E42" s="7">
        <f t="shared" si="1"/>
        <v>5735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537</v>
      </c>
      <c r="E43" s="7">
        <f t="shared" si="1"/>
        <v>6272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570</v>
      </c>
      <c r="E44" s="7">
        <f t="shared" si="1"/>
        <v>6842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604</v>
      </c>
      <c r="E45" s="7">
        <f t="shared" si="1"/>
        <v>7446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639</v>
      </c>
      <c r="E46" s="7">
        <f t="shared" si="1"/>
        <v>8085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675</v>
      </c>
      <c r="E47" s="7">
        <f t="shared" si="1"/>
        <v>8760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712</v>
      </c>
      <c r="E48" s="7">
        <f t="shared" si="1"/>
        <v>9472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750</v>
      </c>
      <c r="E49" s="7">
        <f t="shared" si="1"/>
        <v>10222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789</v>
      </c>
      <c r="E50" s="7">
        <f t="shared" si="1"/>
        <v>11011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829</v>
      </c>
      <c r="E51" s="7">
        <f t="shared" si="1"/>
        <v>11840</v>
      </c>
    </row>
    <row r="52" spans="1:38" ht="18.75" customHeight="1">
      <c r="B52" s="7">
        <v>42</v>
      </c>
      <c r="C52" s="7">
        <v>42</v>
      </c>
      <c r="D52" s="7">
        <f t="shared" si="0"/>
        <v>870</v>
      </c>
      <c r="E52" s="7">
        <f t="shared" si="1"/>
        <v>12710</v>
      </c>
    </row>
    <row r="53" spans="1:38" ht="18.75" customHeight="1">
      <c r="B53" s="5">
        <v>43</v>
      </c>
      <c r="C53" s="7">
        <v>43</v>
      </c>
      <c r="D53" s="7">
        <f t="shared" si="0"/>
        <v>912</v>
      </c>
      <c r="E53" s="7">
        <f t="shared" si="1"/>
        <v>13622</v>
      </c>
    </row>
    <row r="54" spans="1:38" ht="18.75" customHeight="1">
      <c r="B54" s="7">
        <v>44</v>
      </c>
      <c r="C54" s="7">
        <v>44</v>
      </c>
      <c r="D54" s="7">
        <f t="shared" si="0"/>
        <v>955</v>
      </c>
      <c r="E54" s="7">
        <f t="shared" si="1"/>
        <v>14577</v>
      </c>
    </row>
    <row r="55" spans="1:38" ht="18.75" customHeight="1">
      <c r="B55" s="5">
        <v>45</v>
      </c>
      <c r="C55" s="7">
        <v>45</v>
      </c>
      <c r="D55" s="7">
        <f t="shared" si="0"/>
        <v>999</v>
      </c>
      <c r="E55" s="7">
        <f t="shared" si="1"/>
        <v>15576</v>
      </c>
    </row>
    <row r="56" spans="1:38" ht="18.75" customHeight="1">
      <c r="B56" s="7">
        <v>46</v>
      </c>
      <c r="C56" s="7">
        <v>46</v>
      </c>
      <c r="D56" s="7">
        <f t="shared" si="0"/>
        <v>1044</v>
      </c>
      <c r="E56" s="7">
        <f t="shared" si="1"/>
        <v>16620</v>
      </c>
    </row>
    <row r="57" spans="1:38" ht="18.75" customHeight="1">
      <c r="B57" s="5">
        <v>47</v>
      </c>
      <c r="C57" s="7">
        <v>47</v>
      </c>
      <c r="D57" s="7">
        <f t="shared" si="0"/>
        <v>1090</v>
      </c>
      <c r="E57" s="7">
        <f t="shared" si="1"/>
        <v>17710</v>
      </c>
    </row>
    <row r="58" spans="1:38" ht="18.75" customHeight="1">
      <c r="B58" s="7">
        <v>48</v>
      </c>
      <c r="C58" s="7">
        <v>48</v>
      </c>
      <c r="D58" s="7">
        <f t="shared" si="0"/>
        <v>1137</v>
      </c>
      <c r="E58" s="7">
        <f t="shared" si="1"/>
        <v>18847</v>
      </c>
    </row>
    <row r="59" spans="1:38" ht="18.75" customHeight="1">
      <c r="B59" s="5">
        <v>49</v>
      </c>
      <c r="C59" s="7">
        <v>49</v>
      </c>
      <c r="D59" s="7">
        <f t="shared" si="0"/>
        <v>1185</v>
      </c>
      <c r="E59" s="7">
        <f t="shared" si="1"/>
        <v>20032</v>
      </c>
    </row>
    <row r="60" spans="1:38" ht="18.75" customHeight="1">
      <c r="B60" s="7">
        <v>50</v>
      </c>
      <c r="C60" s="7">
        <v>50</v>
      </c>
      <c r="D60" s="7">
        <f t="shared" si="0"/>
        <v>1234</v>
      </c>
      <c r="E60" s="7">
        <f t="shared" si="1"/>
        <v>21266</v>
      </c>
    </row>
    <row r="61" spans="1:38" ht="18.75" customHeight="1">
      <c r="B61" s="5">
        <v>51</v>
      </c>
      <c r="C61" s="7">
        <v>51</v>
      </c>
      <c r="D61" s="7">
        <f t="shared" si="0"/>
        <v>1284</v>
      </c>
      <c r="E61" s="7">
        <f t="shared" si="1"/>
        <v>22550</v>
      </c>
    </row>
    <row r="62" spans="1:38" ht="18.75" customHeight="1">
      <c r="B62" s="7">
        <v>52</v>
      </c>
      <c r="C62" s="7">
        <v>52</v>
      </c>
      <c r="D62" s="7">
        <f t="shared" si="0"/>
        <v>1335</v>
      </c>
      <c r="E62" s="7">
        <f t="shared" si="1"/>
        <v>23885</v>
      </c>
    </row>
    <row r="63" spans="1:38" ht="18.75" customHeight="1">
      <c r="B63" s="5">
        <v>53</v>
      </c>
      <c r="C63" s="7">
        <v>53</v>
      </c>
      <c r="D63" s="7">
        <f t="shared" si="0"/>
        <v>1387</v>
      </c>
      <c r="E63" s="7">
        <f t="shared" si="1"/>
        <v>25272</v>
      </c>
    </row>
    <row r="64" spans="1:38" ht="18.75" customHeight="1">
      <c r="B64" s="7">
        <v>54</v>
      </c>
      <c r="C64" s="7">
        <v>54</v>
      </c>
      <c r="D64" s="7">
        <f t="shared" si="0"/>
        <v>1440</v>
      </c>
      <c r="E64" s="7">
        <f t="shared" si="1"/>
        <v>26712</v>
      </c>
    </row>
    <row r="65" spans="2:5" ht="18.75" customHeight="1">
      <c r="B65" s="5">
        <v>55</v>
      </c>
      <c r="C65" s="7">
        <v>55</v>
      </c>
      <c r="D65" s="7">
        <f t="shared" si="0"/>
        <v>1494</v>
      </c>
      <c r="E65" s="7">
        <f t="shared" si="1"/>
        <v>28206</v>
      </c>
    </row>
    <row r="66" spans="2:5" ht="18.75" customHeight="1">
      <c r="B66" s="7">
        <v>56</v>
      </c>
      <c r="C66" s="7">
        <v>56</v>
      </c>
      <c r="D66" s="7">
        <f t="shared" si="0"/>
        <v>1549</v>
      </c>
      <c r="E66" s="7">
        <f t="shared" si="1"/>
        <v>29755</v>
      </c>
    </row>
    <row r="67" spans="2:5" ht="18.75" customHeight="1">
      <c r="B67" s="5">
        <v>57</v>
      </c>
      <c r="C67" s="7">
        <v>57</v>
      </c>
      <c r="D67" s="7">
        <f t="shared" si="0"/>
        <v>1605</v>
      </c>
      <c r="E67" s="7">
        <f t="shared" si="1"/>
        <v>31360</v>
      </c>
    </row>
    <row r="68" spans="2:5" ht="18.75" customHeight="1">
      <c r="B68" s="7">
        <v>58</v>
      </c>
      <c r="C68" s="7">
        <v>58</v>
      </c>
      <c r="D68" s="7">
        <f t="shared" si="0"/>
        <v>1662</v>
      </c>
      <c r="E68" s="7">
        <f t="shared" si="1"/>
        <v>33022</v>
      </c>
    </row>
    <row r="69" spans="2:5" ht="18.75" customHeight="1">
      <c r="B69" s="5">
        <v>59</v>
      </c>
      <c r="C69" s="7">
        <v>59</v>
      </c>
      <c r="D69" s="7">
        <f t="shared" si="0"/>
        <v>1720</v>
      </c>
      <c r="E69" s="7">
        <f t="shared" si="1"/>
        <v>34742</v>
      </c>
    </row>
    <row r="70" spans="2:5" ht="18.75" customHeight="1">
      <c r="B70" s="7">
        <v>60</v>
      </c>
      <c r="C70" s="7">
        <v>60</v>
      </c>
      <c r="D70" s="7">
        <f t="shared" si="0"/>
        <v>1779</v>
      </c>
      <c r="E70" s="7">
        <f t="shared" si="1"/>
        <v>36521</v>
      </c>
    </row>
    <row r="71" spans="2:5" ht="18.75" customHeight="1">
      <c r="B71" s="5">
        <v>61</v>
      </c>
      <c r="C71" s="7">
        <v>61</v>
      </c>
      <c r="D71" s="7">
        <f t="shared" si="0"/>
        <v>1839</v>
      </c>
      <c r="E71" s="7">
        <f t="shared" si="1"/>
        <v>38360</v>
      </c>
    </row>
    <row r="72" spans="2:5" ht="18.75" customHeight="1">
      <c r="B72" s="7">
        <v>62</v>
      </c>
      <c r="C72" s="7">
        <v>62</v>
      </c>
      <c r="D72" s="7">
        <f t="shared" si="0"/>
        <v>1900</v>
      </c>
      <c r="E72" s="7">
        <f t="shared" si="1"/>
        <v>40260</v>
      </c>
    </row>
    <row r="73" spans="2:5" ht="18.75" customHeight="1">
      <c r="B73" s="5">
        <v>63</v>
      </c>
      <c r="C73" s="7">
        <v>63</v>
      </c>
      <c r="D73" s="7">
        <f t="shared" si="0"/>
        <v>1962</v>
      </c>
      <c r="E73" s="7">
        <f t="shared" si="1"/>
        <v>42222</v>
      </c>
    </row>
    <row r="74" spans="2:5" ht="18.75" customHeight="1">
      <c r="B74" s="7">
        <v>64</v>
      </c>
      <c r="C74" s="7">
        <v>64</v>
      </c>
      <c r="D74" s="7">
        <f t="shared" si="0"/>
        <v>2025</v>
      </c>
      <c r="E74" s="7">
        <f t="shared" si="1"/>
        <v>44247</v>
      </c>
    </row>
    <row r="75" spans="2:5" ht="18.75" customHeight="1">
      <c r="B75" s="5">
        <v>65</v>
      </c>
      <c r="C75" s="7">
        <v>65</v>
      </c>
      <c r="D75" s="7">
        <f t="shared" si="0"/>
        <v>2089</v>
      </c>
      <c r="E75" s="7">
        <f t="shared" si="1"/>
        <v>46336</v>
      </c>
    </row>
    <row r="76" spans="2:5" ht="18.75" customHeight="1">
      <c r="B76" s="7">
        <v>66</v>
      </c>
      <c r="C76" s="7">
        <v>66</v>
      </c>
      <c r="D76" s="7">
        <f t="shared" si="0"/>
        <v>2154</v>
      </c>
      <c r="E76" s="7">
        <f t="shared" si="1"/>
        <v>48490</v>
      </c>
    </row>
    <row r="77" spans="2:5" ht="18.75" customHeight="1">
      <c r="B77" s="5">
        <v>67</v>
      </c>
      <c r="C77" s="7">
        <v>67</v>
      </c>
      <c r="D77" s="7">
        <f t="shared" si="0"/>
        <v>2220</v>
      </c>
      <c r="E77" s="7">
        <f t="shared" si="1"/>
        <v>50710</v>
      </c>
    </row>
    <row r="78" spans="2:5" ht="18.75" customHeight="1">
      <c r="B78" s="7">
        <v>68</v>
      </c>
      <c r="C78" s="7">
        <v>68</v>
      </c>
      <c r="D78" s="7">
        <f t="shared" si="0"/>
        <v>2287</v>
      </c>
      <c r="E78" s="7">
        <f t="shared" si="1"/>
        <v>52997</v>
      </c>
    </row>
    <row r="79" spans="2:5" ht="18.75" customHeight="1">
      <c r="B79" s="5">
        <v>69</v>
      </c>
      <c r="C79" s="7">
        <v>69</v>
      </c>
      <c r="D79" s="7">
        <f t="shared" ref="D79:D110" si="2">B78 + D78</f>
        <v>2355</v>
      </c>
      <c r="E79" s="7">
        <f t="shared" ref="E79:E110" si="3">E78+D79</f>
        <v>55352</v>
      </c>
    </row>
    <row r="80" spans="2:5" ht="18.75" customHeight="1">
      <c r="B80" s="7">
        <v>70</v>
      </c>
      <c r="C80" s="7">
        <v>70</v>
      </c>
      <c r="D80" s="7">
        <f t="shared" si="2"/>
        <v>2424</v>
      </c>
      <c r="E80" s="7">
        <f t="shared" si="3"/>
        <v>57776</v>
      </c>
    </row>
    <row r="81" spans="2:5" ht="18.75" customHeight="1">
      <c r="B81" s="5">
        <v>71</v>
      </c>
      <c r="C81" s="7">
        <v>71</v>
      </c>
      <c r="D81" s="7">
        <f t="shared" si="2"/>
        <v>2494</v>
      </c>
      <c r="E81" s="7">
        <f t="shared" si="3"/>
        <v>60270</v>
      </c>
    </row>
    <row r="82" spans="2:5" ht="18.75" customHeight="1">
      <c r="B82" s="7">
        <v>72</v>
      </c>
      <c r="C82" s="7">
        <v>72</v>
      </c>
      <c r="D82" s="7">
        <f t="shared" si="2"/>
        <v>2565</v>
      </c>
      <c r="E82" s="7">
        <f t="shared" si="3"/>
        <v>62835</v>
      </c>
    </row>
    <row r="83" spans="2:5" ht="18.75" customHeight="1">
      <c r="B83" s="5">
        <v>73</v>
      </c>
      <c r="C83" s="7">
        <v>73</v>
      </c>
      <c r="D83" s="7">
        <f t="shared" si="2"/>
        <v>2637</v>
      </c>
      <c r="E83" s="7">
        <f t="shared" si="3"/>
        <v>65472</v>
      </c>
    </row>
    <row r="84" spans="2:5" ht="18.75" customHeight="1">
      <c r="B84" s="7">
        <v>74</v>
      </c>
      <c r="C84" s="7">
        <v>74</v>
      </c>
      <c r="D84" s="7">
        <f t="shared" si="2"/>
        <v>2710</v>
      </c>
      <c r="E84" s="7">
        <f t="shared" si="3"/>
        <v>68182</v>
      </c>
    </row>
    <row r="85" spans="2:5" ht="18.75" customHeight="1">
      <c r="B85" s="5">
        <v>75</v>
      </c>
      <c r="C85" s="7">
        <v>75</v>
      </c>
      <c r="D85" s="7">
        <f t="shared" si="2"/>
        <v>2784</v>
      </c>
      <c r="E85" s="7">
        <f t="shared" si="3"/>
        <v>70966</v>
      </c>
    </row>
    <row r="86" spans="2:5" ht="18.75" customHeight="1">
      <c r="B86" s="7">
        <v>76</v>
      </c>
      <c r="C86" s="7">
        <v>76</v>
      </c>
      <c r="D86" s="7">
        <f t="shared" si="2"/>
        <v>2859</v>
      </c>
      <c r="E86" s="7">
        <f t="shared" si="3"/>
        <v>73825</v>
      </c>
    </row>
    <row r="87" spans="2:5" ht="18.75" customHeight="1">
      <c r="B87" s="5">
        <v>77</v>
      </c>
      <c r="C87" s="7">
        <v>77</v>
      </c>
      <c r="D87" s="7">
        <f t="shared" si="2"/>
        <v>2935</v>
      </c>
      <c r="E87" s="7">
        <f t="shared" si="3"/>
        <v>76760</v>
      </c>
    </row>
    <row r="88" spans="2:5" ht="18.75" customHeight="1">
      <c r="B88" s="7">
        <v>78</v>
      </c>
      <c r="C88" s="7">
        <v>78</v>
      </c>
      <c r="D88" s="7">
        <f t="shared" si="2"/>
        <v>3012</v>
      </c>
      <c r="E88" s="7">
        <f t="shared" si="3"/>
        <v>79772</v>
      </c>
    </row>
    <row r="89" spans="2:5" ht="18.75" customHeight="1">
      <c r="B89" s="5">
        <v>79</v>
      </c>
      <c r="C89" s="7">
        <v>79</v>
      </c>
      <c r="D89" s="7">
        <f t="shared" si="2"/>
        <v>3090</v>
      </c>
      <c r="E89" s="7">
        <f t="shared" si="3"/>
        <v>82862</v>
      </c>
    </row>
    <row r="90" spans="2:5" ht="18.75" customHeight="1">
      <c r="B90" s="7">
        <v>80</v>
      </c>
      <c r="C90" s="7">
        <v>80</v>
      </c>
      <c r="D90" s="7">
        <f t="shared" si="2"/>
        <v>3169</v>
      </c>
      <c r="E90" s="7">
        <f t="shared" si="3"/>
        <v>86031</v>
      </c>
    </row>
    <row r="91" spans="2:5" ht="18.75" customHeight="1">
      <c r="B91" s="5">
        <v>81</v>
      </c>
      <c r="C91" s="7">
        <v>81</v>
      </c>
      <c r="D91" s="7">
        <f t="shared" si="2"/>
        <v>3249</v>
      </c>
      <c r="E91" s="7">
        <f t="shared" si="3"/>
        <v>89280</v>
      </c>
    </row>
    <row r="92" spans="2:5" ht="18.75" customHeight="1">
      <c r="B92" s="7">
        <v>82</v>
      </c>
      <c r="C92" s="7">
        <v>82</v>
      </c>
      <c r="D92" s="7">
        <f t="shared" si="2"/>
        <v>3330</v>
      </c>
      <c r="E92" s="7">
        <f t="shared" si="3"/>
        <v>92610</v>
      </c>
    </row>
    <row r="93" spans="2:5" ht="18.75" customHeight="1">
      <c r="B93" s="5">
        <v>83</v>
      </c>
      <c r="C93" s="7">
        <v>83</v>
      </c>
      <c r="D93" s="7">
        <f t="shared" si="2"/>
        <v>3412</v>
      </c>
      <c r="E93" s="7">
        <f t="shared" si="3"/>
        <v>96022</v>
      </c>
    </row>
    <row r="94" spans="2:5" ht="18.75" customHeight="1">
      <c r="B94" s="7">
        <v>84</v>
      </c>
      <c r="C94" s="7">
        <v>84</v>
      </c>
      <c r="D94" s="7">
        <f t="shared" si="2"/>
        <v>3495</v>
      </c>
      <c r="E94" s="7">
        <f t="shared" si="3"/>
        <v>99517</v>
      </c>
    </row>
    <row r="95" spans="2:5" ht="18.75" customHeight="1">
      <c r="B95" s="5">
        <v>85</v>
      </c>
      <c r="C95" s="7">
        <v>85</v>
      </c>
      <c r="D95" s="7">
        <f t="shared" si="2"/>
        <v>3579</v>
      </c>
      <c r="E95" s="7">
        <f t="shared" si="3"/>
        <v>103096</v>
      </c>
    </row>
    <row r="96" spans="2:5" ht="18.75" customHeight="1">
      <c r="B96" s="7">
        <v>86</v>
      </c>
      <c r="C96" s="7">
        <v>86</v>
      </c>
      <c r="D96" s="7">
        <f t="shared" si="2"/>
        <v>3664</v>
      </c>
      <c r="E96" s="7">
        <f t="shared" si="3"/>
        <v>106760</v>
      </c>
    </row>
    <row r="97" spans="2:5" ht="18.75" customHeight="1">
      <c r="B97" s="5">
        <v>87</v>
      </c>
      <c r="C97" s="7">
        <v>87</v>
      </c>
      <c r="D97" s="7">
        <f t="shared" si="2"/>
        <v>3750</v>
      </c>
      <c r="E97" s="7">
        <f t="shared" si="3"/>
        <v>110510</v>
      </c>
    </row>
    <row r="98" spans="2:5" ht="18.75" customHeight="1">
      <c r="B98" s="7">
        <v>88</v>
      </c>
      <c r="C98" s="7">
        <v>88</v>
      </c>
      <c r="D98" s="7">
        <f t="shared" si="2"/>
        <v>3837</v>
      </c>
      <c r="E98" s="7">
        <f t="shared" si="3"/>
        <v>114347</v>
      </c>
    </row>
    <row r="99" spans="2:5" ht="18.75" customHeight="1">
      <c r="B99" s="5">
        <v>89</v>
      </c>
      <c r="C99" s="7">
        <v>89</v>
      </c>
      <c r="D99" s="7">
        <f t="shared" si="2"/>
        <v>3925</v>
      </c>
      <c r="E99" s="7">
        <f t="shared" si="3"/>
        <v>118272</v>
      </c>
    </row>
    <row r="100" spans="2:5" ht="18.75" customHeight="1">
      <c r="B100" s="7">
        <v>90</v>
      </c>
      <c r="C100" s="7">
        <v>90</v>
      </c>
      <c r="D100" s="7">
        <f t="shared" si="2"/>
        <v>4014</v>
      </c>
      <c r="E100" s="7">
        <f t="shared" si="3"/>
        <v>122286</v>
      </c>
    </row>
    <row r="101" spans="2:5" ht="18.75" customHeight="1">
      <c r="B101" s="5">
        <v>91</v>
      </c>
      <c r="C101" s="7">
        <v>91</v>
      </c>
      <c r="D101" s="7">
        <f t="shared" si="2"/>
        <v>4104</v>
      </c>
      <c r="E101" s="7">
        <f t="shared" si="3"/>
        <v>126390</v>
      </c>
    </row>
    <row r="102" spans="2:5" ht="18.75" customHeight="1">
      <c r="B102" s="7">
        <v>92</v>
      </c>
      <c r="C102" s="7">
        <v>92</v>
      </c>
      <c r="D102" s="7">
        <f t="shared" si="2"/>
        <v>4195</v>
      </c>
      <c r="E102" s="7">
        <f t="shared" si="3"/>
        <v>130585</v>
      </c>
    </row>
    <row r="103" spans="2:5" ht="18.75" customHeight="1">
      <c r="B103" s="5">
        <v>93</v>
      </c>
      <c r="C103" s="7">
        <v>93</v>
      </c>
      <c r="D103" s="7">
        <f t="shared" si="2"/>
        <v>4287</v>
      </c>
      <c r="E103" s="7">
        <f t="shared" si="3"/>
        <v>134872</v>
      </c>
    </row>
    <row r="104" spans="2:5" ht="18.75" customHeight="1">
      <c r="B104" s="7">
        <v>94</v>
      </c>
      <c r="C104" s="7">
        <v>94</v>
      </c>
      <c r="D104" s="7">
        <f t="shared" si="2"/>
        <v>4380</v>
      </c>
      <c r="E104" s="7">
        <f t="shared" si="3"/>
        <v>139252</v>
      </c>
    </row>
    <row r="105" spans="2:5" ht="18.75" customHeight="1">
      <c r="B105" s="5">
        <v>95</v>
      </c>
      <c r="C105" s="7">
        <v>95</v>
      </c>
      <c r="D105" s="7">
        <f t="shared" si="2"/>
        <v>4474</v>
      </c>
      <c r="E105" s="7">
        <f t="shared" si="3"/>
        <v>143726</v>
      </c>
    </row>
    <row r="106" spans="2:5" ht="18.75" customHeight="1">
      <c r="B106" s="7">
        <v>96</v>
      </c>
      <c r="C106" s="7">
        <v>96</v>
      </c>
      <c r="D106" s="7">
        <f t="shared" si="2"/>
        <v>4569</v>
      </c>
      <c r="E106" s="7">
        <f t="shared" si="3"/>
        <v>148295</v>
      </c>
    </row>
    <row r="107" spans="2:5" ht="18.75" customHeight="1">
      <c r="B107" s="5">
        <v>97</v>
      </c>
      <c r="C107" s="7">
        <v>97</v>
      </c>
      <c r="D107" s="7">
        <f t="shared" si="2"/>
        <v>4665</v>
      </c>
      <c r="E107" s="7">
        <f t="shared" si="3"/>
        <v>152960</v>
      </c>
    </row>
    <row r="108" spans="2:5" ht="18.75" customHeight="1">
      <c r="B108" s="7">
        <v>98</v>
      </c>
      <c r="C108" s="7">
        <v>98</v>
      </c>
      <c r="D108" s="7">
        <f t="shared" si="2"/>
        <v>4762</v>
      </c>
      <c r="E108" s="7">
        <f t="shared" si="3"/>
        <v>157722</v>
      </c>
    </row>
    <row r="109" spans="2:5" ht="18.75" customHeight="1">
      <c r="B109" s="5">
        <v>99</v>
      </c>
      <c r="C109" s="7">
        <v>99</v>
      </c>
      <c r="D109" s="7">
        <f t="shared" si="2"/>
        <v>4860</v>
      </c>
      <c r="E109" s="7">
        <f t="shared" si="3"/>
        <v>162582</v>
      </c>
    </row>
    <row r="110" spans="2:5" ht="18.75" customHeight="1">
      <c r="B110" s="7">
        <v>100</v>
      </c>
      <c r="C110" s="7">
        <v>100</v>
      </c>
      <c r="D110" s="7">
        <f t="shared" si="2"/>
        <v>4959</v>
      </c>
      <c r="E110" s="7">
        <f t="shared" si="3"/>
        <v>167541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25" workbookViewId="0">
      <selection activeCell="E110" sqref="E11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1922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7">
        <v>10</v>
      </c>
      <c r="E12" s="7">
        <f>SUM(D12)</f>
        <v>10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>D12+(7*C11)</f>
        <v>17</v>
      </c>
      <c r="E13" s="7">
        <f>E12+D13</f>
        <v>27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ref="D14:D77" si="0">D13+(7*C12)</f>
        <v>31</v>
      </c>
      <c r="E14" s="7">
        <f>E13+D14</f>
        <v>58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52</v>
      </c>
      <c r="E15" s="7">
        <f t="shared" ref="E15:E78" si="1">E14+D15</f>
        <v>110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80</v>
      </c>
      <c r="E16" s="7">
        <f t="shared" si="1"/>
        <v>190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115</v>
      </c>
      <c r="E17" s="7">
        <f t="shared" si="1"/>
        <v>305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157</v>
      </c>
      <c r="E18" s="7">
        <f t="shared" si="1"/>
        <v>462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206</v>
      </c>
      <c r="E19" s="7">
        <f t="shared" si="1"/>
        <v>668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262</v>
      </c>
      <c r="E20" s="7">
        <f t="shared" si="1"/>
        <v>930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325</v>
      </c>
      <c r="E21" s="7">
        <f t="shared" si="1"/>
        <v>1255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395</v>
      </c>
      <c r="E22" s="7">
        <f t="shared" si="1"/>
        <v>1650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472</v>
      </c>
      <c r="E23" s="7">
        <f t="shared" si="1"/>
        <v>2122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556</v>
      </c>
      <c r="E24" s="7">
        <f t="shared" si="1"/>
        <v>2678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647</v>
      </c>
      <c r="E25" s="7">
        <f t="shared" si="1"/>
        <v>3325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745</v>
      </c>
      <c r="E26" s="7">
        <f t="shared" si="1"/>
        <v>4070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850</v>
      </c>
      <c r="E27" s="7">
        <f t="shared" si="1"/>
        <v>4920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962</v>
      </c>
      <c r="E28" s="7">
        <f t="shared" si="1"/>
        <v>5882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1081</v>
      </c>
      <c r="E29" s="7">
        <f t="shared" si="1"/>
        <v>6963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1207</v>
      </c>
      <c r="E30" s="7">
        <f t="shared" si="1"/>
        <v>8170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1340</v>
      </c>
      <c r="E31" s="7">
        <f t="shared" si="1"/>
        <v>9510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1480</v>
      </c>
      <c r="E32" s="7">
        <f t="shared" si="1"/>
        <v>10990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1627</v>
      </c>
      <c r="E33" s="7">
        <f t="shared" si="1"/>
        <v>12617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1781</v>
      </c>
      <c r="E34" s="7">
        <f t="shared" si="1"/>
        <v>14398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1942</v>
      </c>
      <c r="E35" s="7">
        <f t="shared" si="1"/>
        <v>16340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2110</v>
      </c>
      <c r="E36" s="7">
        <f t="shared" si="1"/>
        <v>18450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2285</v>
      </c>
      <c r="E37" s="7">
        <f t="shared" si="1"/>
        <v>20735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2467</v>
      </c>
      <c r="E38" s="7">
        <f t="shared" si="1"/>
        <v>23202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2656</v>
      </c>
      <c r="E39" s="7">
        <f t="shared" si="1"/>
        <v>25858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2852</v>
      </c>
      <c r="E40" s="7">
        <f t="shared" si="1"/>
        <v>28710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3055</v>
      </c>
      <c r="E41" s="7">
        <f t="shared" si="1"/>
        <v>31765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3265</v>
      </c>
      <c r="E42" s="7">
        <f t="shared" si="1"/>
        <v>35030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3482</v>
      </c>
      <c r="E43" s="7">
        <f t="shared" si="1"/>
        <v>38512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3706</v>
      </c>
      <c r="E44" s="7">
        <f t="shared" si="1"/>
        <v>42218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3937</v>
      </c>
      <c r="E45" s="7">
        <f t="shared" si="1"/>
        <v>46155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4175</v>
      </c>
      <c r="E46" s="7">
        <f t="shared" si="1"/>
        <v>50330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4420</v>
      </c>
      <c r="E47" s="7">
        <f t="shared" si="1"/>
        <v>54750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4672</v>
      </c>
      <c r="E48" s="7">
        <f t="shared" si="1"/>
        <v>59422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4931</v>
      </c>
      <c r="E49" s="7">
        <f t="shared" si="1"/>
        <v>64353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5197</v>
      </c>
      <c r="E50" s="7">
        <f t="shared" si="1"/>
        <v>69550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5470</v>
      </c>
      <c r="E51" s="7">
        <f t="shared" si="1"/>
        <v>75020</v>
      </c>
    </row>
    <row r="52" spans="1:38" ht="18.75" customHeight="1">
      <c r="B52" s="7">
        <v>42</v>
      </c>
      <c r="C52" s="7">
        <v>42</v>
      </c>
      <c r="D52" s="7">
        <f t="shared" si="0"/>
        <v>5750</v>
      </c>
      <c r="E52" s="7">
        <f t="shared" si="1"/>
        <v>80770</v>
      </c>
    </row>
    <row r="53" spans="1:38" ht="18.75" customHeight="1">
      <c r="B53" s="5">
        <v>43</v>
      </c>
      <c r="C53" s="7">
        <v>43</v>
      </c>
      <c r="D53" s="7">
        <f t="shared" si="0"/>
        <v>6037</v>
      </c>
      <c r="E53" s="7">
        <f t="shared" si="1"/>
        <v>86807</v>
      </c>
    </row>
    <row r="54" spans="1:38" ht="18.75" customHeight="1">
      <c r="B54" s="7">
        <v>44</v>
      </c>
      <c r="C54" s="7">
        <v>44</v>
      </c>
      <c r="D54" s="7">
        <f t="shared" si="0"/>
        <v>6331</v>
      </c>
      <c r="E54" s="7">
        <f t="shared" si="1"/>
        <v>93138</v>
      </c>
    </row>
    <row r="55" spans="1:38" ht="18.75" customHeight="1">
      <c r="B55" s="5">
        <v>45</v>
      </c>
      <c r="C55" s="7">
        <v>45</v>
      </c>
      <c r="D55" s="7">
        <f t="shared" si="0"/>
        <v>6632</v>
      </c>
      <c r="E55" s="7">
        <f t="shared" si="1"/>
        <v>99770</v>
      </c>
    </row>
    <row r="56" spans="1:38" ht="18.75" customHeight="1">
      <c r="B56" s="7">
        <v>46</v>
      </c>
      <c r="C56" s="7">
        <v>46</v>
      </c>
      <c r="D56" s="7">
        <f t="shared" si="0"/>
        <v>6940</v>
      </c>
      <c r="E56" s="7">
        <f t="shared" si="1"/>
        <v>106710</v>
      </c>
    </row>
    <row r="57" spans="1:38" ht="18.75" customHeight="1">
      <c r="B57" s="5">
        <v>47</v>
      </c>
      <c r="C57" s="7">
        <v>47</v>
      </c>
      <c r="D57" s="7">
        <f t="shared" si="0"/>
        <v>7255</v>
      </c>
      <c r="E57" s="7">
        <f t="shared" si="1"/>
        <v>113965</v>
      </c>
    </row>
    <row r="58" spans="1:38" ht="18.75" customHeight="1">
      <c r="B58" s="7">
        <v>48</v>
      </c>
      <c r="C58" s="7">
        <v>48</v>
      </c>
      <c r="D58" s="7">
        <f t="shared" si="0"/>
        <v>7577</v>
      </c>
      <c r="E58" s="7">
        <f t="shared" si="1"/>
        <v>121542</v>
      </c>
    </row>
    <row r="59" spans="1:38" ht="18.75" customHeight="1">
      <c r="B59" s="5">
        <v>49</v>
      </c>
      <c r="C59" s="7">
        <v>49</v>
      </c>
      <c r="D59" s="7">
        <f t="shared" si="0"/>
        <v>7906</v>
      </c>
      <c r="E59" s="7">
        <f t="shared" si="1"/>
        <v>129448</v>
      </c>
    </row>
    <row r="60" spans="1:38" ht="18.75" customHeight="1">
      <c r="B60" s="7">
        <v>50</v>
      </c>
      <c r="C60" s="7">
        <v>50</v>
      </c>
      <c r="D60" s="7">
        <f t="shared" si="0"/>
        <v>8242</v>
      </c>
      <c r="E60" s="7">
        <f t="shared" si="1"/>
        <v>137690</v>
      </c>
    </row>
    <row r="61" spans="1:38" ht="18.75" customHeight="1">
      <c r="B61" s="5">
        <v>51</v>
      </c>
      <c r="C61" s="7">
        <v>51</v>
      </c>
      <c r="D61" s="7">
        <f t="shared" si="0"/>
        <v>8585</v>
      </c>
      <c r="E61" s="7">
        <f t="shared" si="1"/>
        <v>146275</v>
      </c>
    </row>
    <row r="62" spans="1:38" ht="18.75" customHeight="1">
      <c r="B62" s="7">
        <v>52</v>
      </c>
      <c r="C62" s="7">
        <v>52</v>
      </c>
      <c r="D62" s="7">
        <f t="shared" si="0"/>
        <v>8935</v>
      </c>
      <c r="E62" s="7">
        <f t="shared" si="1"/>
        <v>155210</v>
      </c>
    </row>
    <row r="63" spans="1:38" ht="18.75" customHeight="1">
      <c r="B63" s="5">
        <v>53</v>
      </c>
      <c r="C63" s="7">
        <v>53</v>
      </c>
      <c r="D63" s="7">
        <f t="shared" si="0"/>
        <v>9292</v>
      </c>
      <c r="E63" s="7">
        <f t="shared" si="1"/>
        <v>164502</v>
      </c>
    </row>
    <row r="64" spans="1:38" ht="18.75" customHeight="1">
      <c r="B64" s="7">
        <v>54</v>
      </c>
      <c r="C64" s="7">
        <v>54</v>
      </c>
      <c r="D64" s="7">
        <f t="shared" si="0"/>
        <v>9656</v>
      </c>
      <c r="E64" s="7">
        <f t="shared" si="1"/>
        <v>174158</v>
      </c>
    </row>
    <row r="65" spans="2:5" ht="18.75" customHeight="1">
      <c r="B65" s="5">
        <v>55</v>
      </c>
      <c r="C65" s="7">
        <v>55</v>
      </c>
      <c r="D65" s="7">
        <f t="shared" si="0"/>
        <v>10027</v>
      </c>
      <c r="E65" s="7">
        <f t="shared" si="1"/>
        <v>184185</v>
      </c>
    </row>
    <row r="66" spans="2:5" ht="18.75" customHeight="1">
      <c r="B66" s="7">
        <v>56</v>
      </c>
      <c r="C66" s="7">
        <v>56</v>
      </c>
      <c r="D66" s="7">
        <f t="shared" si="0"/>
        <v>10405</v>
      </c>
      <c r="E66" s="7">
        <f t="shared" si="1"/>
        <v>194590</v>
      </c>
    </row>
    <row r="67" spans="2:5" ht="18.75" customHeight="1">
      <c r="B67" s="5">
        <v>57</v>
      </c>
      <c r="C67" s="7">
        <v>57</v>
      </c>
      <c r="D67" s="7">
        <f t="shared" si="0"/>
        <v>10790</v>
      </c>
      <c r="E67" s="7">
        <f t="shared" si="1"/>
        <v>205380</v>
      </c>
    </row>
    <row r="68" spans="2:5" ht="18.75" customHeight="1">
      <c r="B68" s="7">
        <v>58</v>
      </c>
      <c r="C68" s="7">
        <v>58</v>
      </c>
      <c r="D68" s="7">
        <f t="shared" si="0"/>
        <v>11182</v>
      </c>
      <c r="E68" s="7">
        <f t="shared" si="1"/>
        <v>216562</v>
      </c>
    </row>
    <row r="69" spans="2:5" ht="18.75" customHeight="1">
      <c r="B69" s="5">
        <v>59</v>
      </c>
      <c r="C69" s="7">
        <v>59</v>
      </c>
      <c r="D69" s="7">
        <f t="shared" si="0"/>
        <v>11581</v>
      </c>
      <c r="E69" s="7">
        <f t="shared" si="1"/>
        <v>228143</v>
      </c>
    </row>
    <row r="70" spans="2:5" ht="18.75" customHeight="1">
      <c r="B70" s="7">
        <v>60</v>
      </c>
      <c r="C70" s="7">
        <v>60</v>
      </c>
      <c r="D70" s="7">
        <f t="shared" si="0"/>
        <v>11987</v>
      </c>
      <c r="E70" s="7">
        <f t="shared" si="1"/>
        <v>240130</v>
      </c>
    </row>
    <row r="71" spans="2:5" ht="18.75" customHeight="1">
      <c r="B71" s="5">
        <v>61</v>
      </c>
      <c r="C71" s="7">
        <v>61</v>
      </c>
      <c r="D71" s="7">
        <f t="shared" si="0"/>
        <v>12400</v>
      </c>
      <c r="E71" s="7">
        <f t="shared" si="1"/>
        <v>252530</v>
      </c>
    </row>
    <row r="72" spans="2:5" ht="18.75" customHeight="1">
      <c r="B72" s="7">
        <v>62</v>
      </c>
      <c r="C72" s="7">
        <v>62</v>
      </c>
      <c r="D72" s="7">
        <f t="shared" si="0"/>
        <v>12820</v>
      </c>
      <c r="E72" s="7">
        <f t="shared" si="1"/>
        <v>265350</v>
      </c>
    </row>
    <row r="73" spans="2:5" ht="18.75" customHeight="1">
      <c r="B73" s="5">
        <v>63</v>
      </c>
      <c r="C73" s="7">
        <v>63</v>
      </c>
      <c r="D73" s="7">
        <f t="shared" si="0"/>
        <v>13247</v>
      </c>
      <c r="E73" s="7">
        <f t="shared" si="1"/>
        <v>278597</v>
      </c>
    </row>
    <row r="74" spans="2:5" ht="18.75" customHeight="1">
      <c r="B74" s="7">
        <v>64</v>
      </c>
      <c r="C74" s="7">
        <v>64</v>
      </c>
      <c r="D74" s="7">
        <f t="shared" si="0"/>
        <v>13681</v>
      </c>
      <c r="E74" s="7">
        <f t="shared" si="1"/>
        <v>292278</v>
      </c>
    </row>
    <row r="75" spans="2:5" ht="18.75" customHeight="1">
      <c r="B75" s="5">
        <v>65</v>
      </c>
      <c r="C75" s="7">
        <v>65</v>
      </c>
      <c r="D75" s="7">
        <f t="shared" si="0"/>
        <v>14122</v>
      </c>
      <c r="E75" s="7">
        <f t="shared" si="1"/>
        <v>306400</v>
      </c>
    </row>
    <row r="76" spans="2:5" ht="18.75" customHeight="1">
      <c r="B76" s="7">
        <v>66</v>
      </c>
      <c r="C76" s="7">
        <v>66</v>
      </c>
      <c r="D76" s="7">
        <f t="shared" si="0"/>
        <v>14570</v>
      </c>
      <c r="E76" s="7">
        <f t="shared" si="1"/>
        <v>320970</v>
      </c>
    </row>
    <row r="77" spans="2:5" ht="18.75" customHeight="1">
      <c r="B77" s="5">
        <v>67</v>
      </c>
      <c r="C77" s="7">
        <v>67</v>
      </c>
      <c r="D77" s="7">
        <f t="shared" si="0"/>
        <v>15025</v>
      </c>
      <c r="E77" s="7">
        <f t="shared" si="1"/>
        <v>335995</v>
      </c>
    </row>
    <row r="78" spans="2:5" ht="18.75" customHeight="1">
      <c r="B78" s="7">
        <v>68</v>
      </c>
      <c r="C78" s="7">
        <v>68</v>
      </c>
      <c r="D78" s="7">
        <f t="shared" ref="D78:D110" si="2">D77+(7*C76)</f>
        <v>15487</v>
      </c>
      <c r="E78" s="7">
        <f t="shared" si="1"/>
        <v>351482</v>
      </c>
    </row>
    <row r="79" spans="2:5" ht="18.75" customHeight="1">
      <c r="B79" s="5">
        <v>69</v>
      </c>
      <c r="C79" s="7">
        <v>69</v>
      </c>
      <c r="D79" s="7">
        <f t="shared" si="2"/>
        <v>15956</v>
      </c>
      <c r="E79" s="7">
        <f t="shared" ref="E79:E110" si="3">E78+D79</f>
        <v>367438</v>
      </c>
    </row>
    <row r="80" spans="2:5" ht="18.75" customHeight="1">
      <c r="B80" s="7">
        <v>70</v>
      </c>
      <c r="C80" s="7">
        <v>70</v>
      </c>
      <c r="D80" s="7">
        <f t="shared" si="2"/>
        <v>16432</v>
      </c>
      <c r="E80" s="7">
        <f t="shared" si="3"/>
        <v>383870</v>
      </c>
    </row>
    <row r="81" spans="2:5" ht="18.75" customHeight="1">
      <c r="B81" s="5">
        <v>71</v>
      </c>
      <c r="C81" s="7">
        <v>71</v>
      </c>
      <c r="D81" s="7">
        <f t="shared" si="2"/>
        <v>16915</v>
      </c>
      <c r="E81" s="7">
        <f t="shared" si="3"/>
        <v>400785</v>
      </c>
    </row>
    <row r="82" spans="2:5" ht="18.75" customHeight="1">
      <c r="B82" s="7">
        <v>72</v>
      </c>
      <c r="C82" s="7">
        <v>72</v>
      </c>
      <c r="D82" s="7">
        <f t="shared" si="2"/>
        <v>17405</v>
      </c>
      <c r="E82" s="7">
        <f t="shared" si="3"/>
        <v>418190</v>
      </c>
    </row>
    <row r="83" spans="2:5" ht="18.75" customHeight="1">
      <c r="B83" s="5">
        <v>73</v>
      </c>
      <c r="C83" s="7">
        <v>73</v>
      </c>
      <c r="D83" s="7">
        <f t="shared" si="2"/>
        <v>17902</v>
      </c>
      <c r="E83" s="7">
        <f t="shared" si="3"/>
        <v>436092</v>
      </c>
    </row>
    <row r="84" spans="2:5" ht="18.75" customHeight="1">
      <c r="B84" s="7">
        <v>74</v>
      </c>
      <c r="C84" s="7">
        <v>74</v>
      </c>
      <c r="D84" s="7">
        <f t="shared" si="2"/>
        <v>18406</v>
      </c>
      <c r="E84" s="7">
        <f t="shared" si="3"/>
        <v>454498</v>
      </c>
    </row>
    <row r="85" spans="2:5" ht="18.75" customHeight="1">
      <c r="B85" s="5">
        <v>75</v>
      </c>
      <c r="C85" s="7">
        <v>75</v>
      </c>
      <c r="D85" s="7">
        <f t="shared" si="2"/>
        <v>18917</v>
      </c>
      <c r="E85" s="7">
        <f t="shared" si="3"/>
        <v>473415</v>
      </c>
    </row>
    <row r="86" spans="2:5" ht="18.75" customHeight="1">
      <c r="B86" s="7">
        <v>76</v>
      </c>
      <c r="C86" s="7">
        <v>76</v>
      </c>
      <c r="D86" s="7">
        <f t="shared" si="2"/>
        <v>19435</v>
      </c>
      <c r="E86" s="7">
        <f t="shared" si="3"/>
        <v>492850</v>
      </c>
    </row>
    <row r="87" spans="2:5" ht="18.75" customHeight="1">
      <c r="B87" s="5">
        <v>77</v>
      </c>
      <c r="C87" s="7">
        <v>77</v>
      </c>
      <c r="D87" s="7">
        <f t="shared" si="2"/>
        <v>19960</v>
      </c>
      <c r="E87" s="7">
        <f t="shared" si="3"/>
        <v>512810</v>
      </c>
    </row>
    <row r="88" spans="2:5" ht="18.75" customHeight="1">
      <c r="B88" s="7">
        <v>78</v>
      </c>
      <c r="C88" s="7">
        <v>78</v>
      </c>
      <c r="D88" s="7">
        <f t="shared" si="2"/>
        <v>20492</v>
      </c>
      <c r="E88" s="7">
        <f t="shared" si="3"/>
        <v>533302</v>
      </c>
    </row>
    <row r="89" spans="2:5" ht="18.75" customHeight="1">
      <c r="B89" s="5">
        <v>79</v>
      </c>
      <c r="C89" s="7">
        <v>79</v>
      </c>
      <c r="D89" s="7">
        <f t="shared" si="2"/>
        <v>21031</v>
      </c>
      <c r="E89" s="7">
        <f t="shared" si="3"/>
        <v>554333</v>
      </c>
    </row>
    <row r="90" spans="2:5" ht="18.75" customHeight="1">
      <c r="B90" s="7">
        <v>80</v>
      </c>
      <c r="C90" s="7">
        <v>80</v>
      </c>
      <c r="D90" s="7">
        <f t="shared" si="2"/>
        <v>21577</v>
      </c>
      <c r="E90" s="7">
        <f t="shared" si="3"/>
        <v>575910</v>
      </c>
    </row>
    <row r="91" spans="2:5" ht="18.75" customHeight="1">
      <c r="B91" s="5">
        <v>81</v>
      </c>
      <c r="C91" s="7">
        <v>81</v>
      </c>
      <c r="D91" s="7">
        <f t="shared" si="2"/>
        <v>22130</v>
      </c>
      <c r="E91" s="7">
        <f t="shared" si="3"/>
        <v>598040</v>
      </c>
    </row>
    <row r="92" spans="2:5" ht="18.75" customHeight="1">
      <c r="B92" s="7">
        <v>82</v>
      </c>
      <c r="C92" s="7">
        <v>82</v>
      </c>
      <c r="D92" s="7">
        <f t="shared" si="2"/>
        <v>22690</v>
      </c>
      <c r="E92" s="7">
        <f t="shared" si="3"/>
        <v>620730</v>
      </c>
    </row>
    <row r="93" spans="2:5" ht="18.75" customHeight="1">
      <c r="B93" s="5">
        <v>83</v>
      </c>
      <c r="C93" s="7">
        <v>83</v>
      </c>
      <c r="D93" s="7">
        <f t="shared" si="2"/>
        <v>23257</v>
      </c>
      <c r="E93" s="7">
        <f t="shared" si="3"/>
        <v>643987</v>
      </c>
    </row>
    <row r="94" spans="2:5" ht="18.75" customHeight="1">
      <c r="B94" s="7">
        <v>84</v>
      </c>
      <c r="C94" s="7">
        <v>84</v>
      </c>
      <c r="D94" s="7">
        <f t="shared" si="2"/>
        <v>23831</v>
      </c>
      <c r="E94" s="7">
        <f t="shared" si="3"/>
        <v>667818</v>
      </c>
    </row>
    <row r="95" spans="2:5" ht="18.75" customHeight="1">
      <c r="B95" s="5">
        <v>85</v>
      </c>
      <c r="C95" s="7">
        <v>85</v>
      </c>
      <c r="D95" s="7">
        <f t="shared" si="2"/>
        <v>24412</v>
      </c>
      <c r="E95" s="7">
        <f t="shared" si="3"/>
        <v>692230</v>
      </c>
    </row>
    <row r="96" spans="2:5" ht="18.75" customHeight="1">
      <c r="B96" s="7">
        <v>86</v>
      </c>
      <c r="C96" s="7">
        <v>86</v>
      </c>
      <c r="D96" s="7">
        <f t="shared" si="2"/>
        <v>25000</v>
      </c>
      <c r="E96" s="7">
        <f t="shared" si="3"/>
        <v>717230</v>
      </c>
    </row>
    <row r="97" spans="2:5" ht="18.75" customHeight="1">
      <c r="B97" s="5">
        <v>87</v>
      </c>
      <c r="C97" s="7">
        <v>87</v>
      </c>
      <c r="D97" s="7">
        <f t="shared" si="2"/>
        <v>25595</v>
      </c>
      <c r="E97" s="7">
        <f t="shared" si="3"/>
        <v>742825</v>
      </c>
    </row>
    <row r="98" spans="2:5" ht="18.75" customHeight="1">
      <c r="B98" s="7">
        <v>88</v>
      </c>
      <c r="C98" s="7">
        <v>88</v>
      </c>
      <c r="D98" s="7">
        <f t="shared" si="2"/>
        <v>26197</v>
      </c>
      <c r="E98" s="7">
        <f t="shared" si="3"/>
        <v>769022</v>
      </c>
    </row>
    <row r="99" spans="2:5" ht="18.75" customHeight="1">
      <c r="B99" s="5">
        <v>89</v>
      </c>
      <c r="C99" s="7">
        <v>89</v>
      </c>
      <c r="D99" s="7">
        <f t="shared" si="2"/>
        <v>26806</v>
      </c>
      <c r="E99" s="7">
        <f t="shared" si="3"/>
        <v>795828</v>
      </c>
    </row>
    <row r="100" spans="2:5" ht="18.75" customHeight="1">
      <c r="B100" s="7">
        <v>90</v>
      </c>
      <c r="C100" s="7">
        <v>90</v>
      </c>
      <c r="D100" s="7">
        <f t="shared" si="2"/>
        <v>27422</v>
      </c>
      <c r="E100" s="7">
        <f t="shared" si="3"/>
        <v>823250</v>
      </c>
    </row>
    <row r="101" spans="2:5" ht="18.75" customHeight="1">
      <c r="B101" s="5">
        <v>91</v>
      </c>
      <c r="C101" s="7">
        <v>91</v>
      </c>
      <c r="D101" s="7">
        <f t="shared" si="2"/>
        <v>28045</v>
      </c>
      <c r="E101" s="7">
        <f t="shared" si="3"/>
        <v>851295</v>
      </c>
    </row>
    <row r="102" spans="2:5" ht="18.75" customHeight="1">
      <c r="B102" s="7">
        <v>92</v>
      </c>
      <c r="C102" s="7">
        <v>92</v>
      </c>
      <c r="D102" s="7">
        <f t="shared" si="2"/>
        <v>28675</v>
      </c>
      <c r="E102" s="7">
        <f t="shared" si="3"/>
        <v>879970</v>
      </c>
    </row>
    <row r="103" spans="2:5" ht="18.75" customHeight="1">
      <c r="B103" s="5">
        <v>93</v>
      </c>
      <c r="C103" s="7">
        <v>93</v>
      </c>
      <c r="D103" s="7">
        <f t="shared" si="2"/>
        <v>29312</v>
      </c>
      <c r="E103" s="7">
        <f t="shared" si="3"/>
        <v>909282</v>
      </c>
    </row>
    <row r="104" spans="2:5" ht="18.75" customHeight="1">
      <c r="B104" s="7">
        <v>94</v>
      </c>
      <c r="C104" s="7">
        <v>94</v>
      </c>
      <c r="D104" s="7">
        <f t="shared" si="2"/>
        <v>29956</v>
      </c>
      <c r="E104" s="7">
        <f t="shared" si="3"/>
        <v>939238</v>
      </c>
    </row>
    <row r="105" spans="2:5" ht="18.75" customHeight="1">
      <c r="B105" s="5">
        <v>95</v>
      </c>
      <c r="C105" s="7">
        <v>95</v>
      </c>
      <c r="D105" s="7">
        <f t="shared" si="2"/>
        <v>30607</v>
      </c>
      <c r="E105" s="7">
        <f t="shared" si="3"/>
        <v>969845</v>
      </c>
    </row>
    <row r="106" spans="2:5" ht="18.75" customHeight="1">
      <c r="B106" s="7">
        <v>96</v>
      </c>
      <c r="C106" s="7">
        <v>96</v>
      </c>
      <c r="D106" s="7">
        <f t="shared" si="2"/>
        <v>31265</v>
      </c>
      <c r="E106" s="7">
        <f t="shared" si="3"/>
        <v>1001110</v>
      </c>
    </row>
    <row r="107" spans="2:5" ht="18.75" customHeight="1">
      <c r="B107" s="5">
        <v>97</v>
      </c>
      <c r="C107" s="7">
        <v>97</v>
      </c>
      <c r="D107" s="7">
        <f t="shared" si="2"/>
        <v>31930</v>
      </c>
      <c r="E107" s="7">
        <f t="shared" si="3"/>
        <v>1033040</v>
      </c>
    </row>
    <row r="108" spans="2:5" ht="18.75" customHeight="1">
      <c r="B108" s="7">
        <v>98</v>
      </c>
      <c r="C108" s="7">
        <v>98</v>
      </c>
      <c r="D108" s="7">
        <f t="shared" si="2"/>
        <v>32602</v>
      </c>
      <c r="E108" s="7">
        <f t="shared" si="3"/>
        <v>1065642</v>
      </c>
    </row>
    <row r="109" spans="2:5" ht="18.75" customHeight="1">
      <c r="B109" s="5">
        <v>99</v>
      </c>
      <c r="C109" s="7">
        <v>99</v>
      </c>
      <c r="D109" s="7">
        <f t="shared" si="2"/>
        <v>33281</v>
      </c>
      <c r="E109" s="7">
        <f t="shared" si="3"/>
        <v>1098923</v>
      </c>
    </row>
    <row r="110" spans="2:5" ht="18.75" customHeight="1">
      <c r="B110" s="7">
        <v>100</v>
      </c>
      <c r="C110" s="7">
        <v>100</v>
      </c>
      <c r="D110" s="7">
        <f t="shared" si="2"/>
        <v>33967</v>
      </c>
      <c r="E110" s="7">
        <f t="shared" si="3"/>
        <v>1132890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topLeftCell="A25" workbookViewId="0">
      <selection activeCell="D21" sqref="D21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1922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>
        <v>1</v>
      </c>
      <c r="D11" s="6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7">
        <v>32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6">
        <v>34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v>36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6">
        <v>38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v>40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6">
        <v>42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v>44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6">
        <v>46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v>48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6">
        <v>50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v>52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6">
        <v>54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v>56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6">
        <v>58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v>60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6">
        <v>62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v>64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6">
        <v>66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v>68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6">
        <v>70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v>72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6">
        <v>74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v>76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6">
        <v>78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v>80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6">
        <v>82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v>84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6">
        <v>86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v>88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6">
        <v>90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v>92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6">
        <v>94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v>96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6">
        <v>98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v>100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6">
        <v>102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v>104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6">
        <v>106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v>108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6">
        <v>110</v>
      </c>
      <c r="E51" s="7"/>
    </row>
    <row r="52" spans="1:38" ht="18.75" customHeight="1">
      <c r="B52" s="7">
        <v>42</v>
      </c>
      <c r="C52" s="7">
        <v>42</v>
      </c>
      <c r="D52" s="7">
        <v>112</v>
      </c>
      <c r="E52" s="7"/>
    </row>
    <row r="53" spans="1:38" ht="18.75" customHeight="1">
      <c r="B53" s="5">
        <v>43</v>
      </c>
      <c r="C53" s="7">
        <v>43</v>
      </c>
      <c r="D53" s="6">
        <v>114</v>
      </c>
      <c r="E53" s="7"/>
    </row>
    <row r="54" spans="1:38" ht="18.75" customHeight="1">
      <c r="B54" s="7">
        <v>44</v>
      </c>
      <c r="C54" s="7">
        <v>44</v>
      </c>
      <c r="D54" s="7">
        <v>116</v>
      </c>
      <c r="E54" s="7"/>
    </row>
    <row r="55" spans="1:38" ht="18.75" customHeight="1">
      <c r="B55" s="5">
        <v>45</v>
      </c>
      <c r="C55" s="7">
        <v>45</v>
      </c>
      <c r="D55" s="6">
        <v>118</v>
      </c>
      <c r="E55" s="7"/>
    </row>
    <row r="56" spans="1:38" ht="18.75" customHeight="1">
      <c r="B56" s="7">
        <v>46</v>
      </c>
      <c r="C56" s="7">
        <v>46</v>
      </c>
      <c r="D56" s="7">
        <v>120</v>
      </c>
      <c r="E56" s="7"/>
    </row>
    <row r="57" spans="1:38" ht="18.75" customHeight="1">
      <c r="B57" s="5">
        <v>47</v>
      </c>
      <c r="C57" s="7">
        <v>47</v>
      </c>
      <c r="D57" s="6">
        <v>122</v>
      </c>
      <c r="E57" s="7"/>
    </row>
    <row r="58" spans="1:38" ht="18.75" customHeight="1">
      <c r="B58" s="7">
        <v>48</v>
      </c>
      <c r="C58" s="7">
        <v>48</v>
      </c>
      <c r="D58" s="7">
        <v>124</v>
      </c>
      <c r="E58" s="7"/>
    </row>
    <row r="59" spans="1:38" ht="18.75" customHeight="1">
      <c r="B59" s="5">
        <v>49</v>
      </c>
      <c r="C59" s="7">
        <v>49</v>
      </c>
      <c r="D59" s="6">
        <v>126</v>
      </c>
      <c r="E59" s="7"/>
    </row>
    <row r="60" spans="1:38" ht="18.75" customHeight="1">
      <c r="B60" s="7">
        <v>50</v>
      </c>
      <c r="C60" s="7">
        <v>50</v>
      </c>
      <c r="D60" s="7">
        <v>128</v>
      </c>
      <c r="E60" s="7"/>
    </row>
    <row r="61" spans="1:38" ht="18.75" customHeight="1">
      <c r="B61" s="5">
        <v>51</v>
      </c>
      <c r="C61" s="7">
        <v>51</v>
      </c>
      <c r="D61" s="6">
        <v>130</v>
      </c>
      <c r="E61" s="7"/>
    </row>
    <row r="62" spans="1:38" ht="18.75" customHeight="1">
      <c r="B62" s="7">
        <v>52</v>
      </c>
      <c r="C62" s="7">
        <v>52</v>
      </c>
      <c r="D62" s="7">
        <v>132</v>
      </c>
      <c r="E62" s="7"/>
    </row>
    <row r="63" spans="1:38" ht="18.75" customHeight="1">
      <c r="B63" s="5">
        <v>53</v>
      </c>
      <c r="C63" s="7">
        <v>53</v>
      </c>
      <c r="D63" s="6">
        <v>134</v>
      </c>
      <c r="E63" s="7"/>
    </row>
    <row r="64" spans="1:38" ht="18.75" customHeight="1">
      <c r="B64" s="7">
        <v>54</v>
      </c>
      <c r="C64" s="7">
        <v>54</v>
      </c>
      <c r="D64" s="7">
        <v>136</v>
      </c>
      <c r="E64" s="7"/>
    </row>
    <row r="65" spans="2:5" ht="18.75" customHeight="1">
      <c r="B65" s="5">
        <v>55</v>
      </c>
      <c r="C65" s="7">
        <v>55</v>
      </c>
      <c r="D65" s="6">
        <v>138</v>
      </c>
      <c r="E65" s="7"/>
    </row>
    <row r="66" spans="2:5" ht="18.75" customHeight="1">
      <c r="B66" s="7">
        <v>56</v>
      </c>
      <c r="C66" s="7">
        <v>56</v>
      </c>
      <c r="D66" s="7">
        <v>140</v>
      </c>
      <c r="E66" s="7"/>
    </row>
    <row r="67" spans="2:5" ht="18.75" customHeight="1">
      <c r="B67" s="5">
        <v>57</v>
      </c>
      <c r="C67" s="7">
        <v>57</v>
      </c>
      <c r="D67" s="6">
        <v>142</v>
      </c>
      <c r="E67" s="7"/>
    </row>
    <row r="68" spans="2:5" ht="18.75" customHeight="1">
      <c r="B68" s="7">
        <v>58</v>
      </c>
      <c r="C68" s="7">
        <v>58</v>
      </c>
      <c r="D68" s="7">
        <v>144</v>
      </c>
      <c r="E68" s="7"/>
    </row>
    <row r="69" spans="2:5" ht="18.75" customHeight="1">
      <c r="B69" s="5">
        <v>59</v>
      </c>
      <c r="C69" s="7">
        <v>59</v>
      </c>
      <c r="D69" s="6">
        <v>146</v>
      </c>
      <c r="E69" s="7"/>
    </row>
    <row r="70" spans="2:5" ht="18.75" customHeight="1">
      <c r="B70" s="7">
        <v>60</v>
      </c>
      <c r="C70" s="7">
        <v>60</v>
      </c>
      <c r="D70" s="7">
        <v>148</v>
      </c>
      <c r="E70" s="7"/>
    </row>
    <row r="71" spans="2:5" ht="18.75" customHeight="1">
      <c r="B71" s="5">
        <v>61</v>
      </c>
      <c r="C71" s="7">
        <v>61</v>
      </c>
      <c r="D71" s="6">
        <v>150</v>
      </c>
      <c r="E71" s="7"/>
    </row>
    <row r="72" spans="2:5" ht="18.75" customHeight="1">
      <c r="B72" s="7">
        <v>62</v>
      </c>
      <c r="C72" s="7">
        <v>62</v>
      </c>
      <c r="D72" s="7">
        <v>152</v>
      </c>
      <c r="E72" s="7"/>
    </row>
    <row r="73" spans="2:5" ht="18.75" customHeight="1">
      <c r="B73" s="5">
        <v>63</v>
      </c>
      <c r="C73" s="7">
        <v>63</v>
      </c>
      <c r="D73" s="6">
        <v>154</v>
      </c>
      <c r="E73" s="7"/>
    </row>
    <row r="74" spans="2:5" ht="18.75" customHeight="1">
      <c r="B74" s="7">
        <v>64</v>
      </c>
      <c r="C74" s="7">
        <v>64</v>
      </c>
      <c r="D74" s="7">
        <v>156</v>
      </c>
      <c r="E74" s="7"/>
    </row>
    <row r="75" spans="2:5" ht="18.75" customHeight="1">
      <c r="B75" s="5">
        <v>65</v>
      </c>
      <c r="C75" s="7">
        <v>65</v>
      </c>
      <c r="D75" s="6">
        <v>158</v>
      </c>
      <c r="E75" s="7"/>
    </row>
    <row r="76" spans="2:5" ht="18.75" customHeight="1">
      <c r="B76" s="7">
        <v>66</v>
      </c>
      <c r="C76" s="7">
        <v>66</v>
      </c>
      <c r="D76" s="7">
        <v>160</v>
      </c>
      <c r="E76" s="7"/>
    </row>
    <row r="77" spans="2:5" ht="18.75" customHeight="1">
      <c r="B77" s="5">
        <v>67</v>
      </c>
      <c r="C77" s="7">
        <v>67</v>
      </c>
      <c r="D77" s="6">
        <v>162</v>
      </c>
      <c r="E77" s="7"/>
    </row>
    <row r="78" spans="2:5" ht="18.75" customHeight="1">
      <c r="B78" s="7">
        <v>68</v>
      </c>
      <c r="C78" s="7">
        <v>68</v>
      </c>
      <c r="D78" s="7">
        <v>164</v>
      </c>
      <c r="E78" s="7"/>
    </row>
    <row r="79" spans="2:5" ht="18.75" customHeight="1">
      <c r="B79" s="5">
        <v>69</v>
      </c>
      <c r="C79" s="7">
        <v>69</v>
      </c>
      <c r="D79" s="6">
        <v>166</v>
      </c>
      <c r="E79" s="7"/>
    </row>
    <row r="80" spans="2:5" ht="18.75" customHeight="1">
      <c r="B80" s="7">
        <v>70</v>
      </c>
      <c r="C80" s="7">
        <v>70</v>
      </c>
      <c r="D80" s="7">
        <v>168</v>
      </c>
      <c r="E80" s="7"/>
    </row>
    <row r="81" spans="2:5" ht="18.75" customHeight="1">
      <c r="B81" s="5">
        <v>71</v>
      </c>
      <c r="C81" s="7">
        <v>71</v>
      </c>
      <c r="D81" s="6">
        <v>170</v>
      </c>
      <c r="E81" s="7"/>
    </row>
    <row r="82" spans="2:5" ht="18.75" customHeight="1">
      <c r="B82" s="7">
        <v>72</v>
      </c>
      <c r="C82" s="7">
        <v>72</v>
      </c>
      <c r="D82" s="7">
        <v>172</v>
      </c>
      <c r="E82" s="7"/>
    </row>
    <row r="83" spans="2:5" ht="18.75" customHeight="1">
      <c r="B83" s="5">
        <v>73</v>
      </c>
      <c r="C83" s="7">
        <v>73</v>
      </c>
      <c r="D83" s="6">
        <v>174</v>
      </c>
      <c r="E83" s="7"/>
    </row>
    <row r="84" spans="2:5" ht="18.75" customHeight="1">
      <c r="B84" s="7">
        <v>74</v>
      </c>
      <c r="C84" s="7">
        <v>74</v>
      </c>
      <c r="D84" s="7">
        <v>176</v>
      </c>
      <c r="E84" s="7"/>
    </row>
    <row r="85" spans="2:5" ht="18.75" customHeight="1">
      <c r="B85" s="5">
        <v>75</v>
      </c>
      <c r="C85" s="7">
        <v>75</v>
      </c>
      <c r="D85" s="6">
        <v>178</v>
      </c>
      <c r="E85" s="7"/>
    </row>
    <row r="86" spans="2:5" ht="18.75" customHeight="1">
      <c r="B86" s="7">
        <v>76</v>
      </c>
      <c r="C86" s="7">
        <v>76</v>
      </c>
      <c r="D86" s="7">
        <v>180</v>
      </c>
      <c r="E86" s="7"/>
    </row>
    <row r="87" spans="2:5" ht="18.75" customHeight="1">
      <c r="B87" s="5">
        <v>77</v>
      </c>
      <c r="C87" s="7">
        <v>77</v>
      </c>
      <c r="D87" s="6">
        <v>182</v>
      </c>
      <c r="E87" s="7"/>
    </row>
    <row r="88" spans="2:5" ht="18.75" customHeight="1">
      <c r="B88" s="7">
        <v>78</v>
      </c>
      <c r="C88" s="7">
        <v>78</v>
      </c>
      <c r="D88" s="7">
        <v>184</v>
      </c>
      <c r="E88" s="7"/>
    </row>
    <row r="89" spans="2:5" ht="18.75" customHeight="1">
      <c r="B89" s="5">
        <v>79</v>
      </c>
      <c r="C89" s="7">
        <v>79</v>
      </c>
      <c r="D89" s="6">
        <v>186</v>
      </c>
      <c r="E89" s="7"/>
    </row>
    <row r="90" spans="2:5" ht="18.75" customHeight="1">
      <c r="B90" s="7">
        <v>80</v>
      </c>
      <c r="C90" s="7">
        <v>80</v>
      </c>
      <c r="D90" s="7">
        <v>188</v>
      </c>
      <c r="E90" s="7"/>
    </row>
    <row r="91" spans="2:5" ht="18.75" customHeight="1">
      <c r="B91" s="5">
        <v>81</v>
      </c>
      <c r="C91" s="7">
        <v>81</v>
      </c>
      <c r="D91" s="6">
        <v>190</v>
      </c>
      <c r="E91" s="7"/>
    </row>
    <row r="92" spans="2:5" ht="18.75" customHeight="1">
      <c r="B92" s="7">
        <v>82</v>
      </c>
      <c r="C92" s="7">
        <v>82</v>
      </c>
      <c r="D92" s="7">
        <v>192</v>
      </c>
      <c r="E92" s="7"/>
    </row>
    <row r="93" spans="2:5" ht="18.75" customHeight="1">
      <c r="B93" s="5">
        <v>83</v>
      </c>
      <c r="C93" s="7">
        <v>83</v>
      </c>
      <c r="D93" s="6">
        <v>194</v>
      </c>
      <c r="E93" s="7"/>
    </row>
    <row r="94" spans="2:5" ht="18.75" customHeight="1">
      <c r="B94" s="7">
        <v>84</v>
      </c>
      <c r="C94" s="7">
        <v>84</v>
      </c>
      <c r="D94" s="7">
        <v>196</v>
      </c>
      <c r="E94" s="7"/>
    </row>
    <row r="95" spans="2:5" ht="18.75" customHeight="1">
      <c r="B95" s="5">
        <v>85</v>
      </c>
      <c r="C95" s="7">
        <v>85</v>
      </c>
      <c r="D95" s="6">
        <v>198</v>
      </c>
      <c r="E95" s="7"/>
    </row>
    <row r="96" spans="2:5" ht="18.75" customHeight="1">
      <c r="B96" s="7">
        <v>86</v>
      </c>
      <c r="C96" s="7">
        <v>86</v>
      </c>
      <c r="D96" s="7">
        <v>200</v>
      </c>
      <c r="E96" s="7"/>
    </row>
    <row r="97" spans="2:5" ht="18.75" customHeight="1">
      <c r="B97" s="5">
        <v>87</v>
      </c>
      <c r="C97" s="7">
        <v>87</v>
      </c>
      <c r="D97" s="6">
        <v>202</v>
      </c>
      <c r="E97" s="7"/>
    </row>
    <row r="98" spans="2:5" ht="18.75" customHeight="1">
      <c r="B98" s="7">
        <v>88</v>
      </c>
      <c r="C98" s="7">
        <v>88</v>
      </c>
      <c r="D98" s="7">
        <v>204</v>
      </c>
      <c r="E98" s="7"/>
    </row>
    <row r="99" spans="2:5" ht="18.75" customHeight="1">
      <c r="B99" s="5">
        <v>89</v>
      </c>
      <c r="C99" s="7">
        <v>89</v>
      </c>
      <c r="D99" s="6">
        <v>206</v>
      </c>
      <c r="E99" s="7"/>
    </row>
    <row r="100" spans="2:5" ht="18.75" customHeight="1">
      <c r="B100" s="7">
        <v>90</v>
      </c>
      <c r="C100" s="7">
        <v>90</v>
      </c>
      <c r="D100" s="7">
        <v>208</v>
      </c>
      <c r="E100" s="7"/>
    </row>
    <row r="101" spans="2:5" ht="18.75" customHeight="1">
      <c r="B101" s="5">
        <v>91</v>
      </c>
      <c r="C101" s="7">
        <v>91</v>
      </c>
      <c r="D101" s="6">
        <v>210</v>
      </c>
      <c r="E101" s="7"/>
    </row>
    <row r="102" spans="2:5" ht="18.75" customHeight="1">
      <c r="B102" s="7">
        <v>92</v>
      </c>
      <c r="C102" s="7">
        <v>92</v>
      </c>
      <c r="D102" s="7">
        <v>212</v>
      </c>
      <c r="E102" s="7"/>
    </row>
    <row r="103" spans="2:5" ht="18.75" customHeight="1">
      <c r="B103" s="5">
        <v>93</v>
      </c>
      <c r="C103" s="7">
        <v>93</v>
      </c>
      <c r="D103" s="6">
        <v>214</v>
      </c>
      <c r="E103" s="7"/>
    </row>
    <row r="104" spans="2:5" ht="18.75" customHeight="1">
      <c r="B104" s="7">
        <v>94</v>
      </c>
      <c r="C104" s="7">
        <v>94</v>
      </c>
      <c r="D104" s="7">
        <v>216</v>
      </c>
      <c r="E104" s="7"/>
    </row>
    <row r="105" spans="2:5" ht="18.75" customHeight="1">
      <c r="B105" s="5">
        <v>95</v>
      </c>
      <c r="C105" s="7">
        <v>95</v>
      </c>
      <c r="D105" s="6">
        <v>218</v>
      </c>
      <c r="E105" s="7"/>
    </row>
    <row r="106" spans="2:5" ht="18.75" customHeight="1">
      <c r="B106" s="7">
        <v>96</v>
      </c>
      <c r="C106" s="7">
        <v>96</v>
      </c>
      <c r="D106" s="7">
        <v>220</v>
      </c>
      <c r="E106" s="7"/>
    </row>
    <row r="107" spans="2:5" ht="18.75" customHeight="1">
      <c r="B107" s="5">
        <v>97</v>
      </c>
      <c r="C107" s="7">
        <v>97</v>
      </c>
      <c r="D107" s="6">
        <v>222</v>
      </c>
      <c r="E107" s="7"/>
    </row>
    <row r="108" spans="2:5" ht="18.75" customHeight="1">
      <c r="B108" s="7">
        <v>98</v>
      </c>
      <c r="C108" s="7">
        <v>98</v>
      </c>
      <c r="D108" s="7">
        <v>224</v>
      </c>
      <c r="E108" s="7"/>
    </row>
    <row r="109" spans="2:5" ht="18.75" customHeight="1">
      <c r="B109" s="5">
        <v>99</v>
      </c>
      <c r="C109" s="7">
        <v>99</v>
      </c>
      <c r="D109" s="6">
        <v>226</v>
      </c>
      <c r="E109" s="7"/>
    </row>
    <row r="110" spans="2:5" ht="18.75" customHeight="1">
      <c r="B110" s="7">
        <v>100</v>
      </c>
      <c r="C110" s="7">
        <v>100</v>
      </c>
      <c r="D110" s="7">
        <v>228</v>
      </c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3" width="46.625" style="36" customWidth="1"/>
    <col min="4" max="15" width="10" style="36" customWidth="1"/>
    <col min="16" max="16" width="17.5" style="36" customWidth="1"/>
    <col min="17" max="18" width="10" style="36" customWidth="1"/>
    <col min="19" max="38" width="12.625" style="36" customWidth="1"/>
    <col min="39" max="16384" width="12.625" style="36"/>
  </cols>
  <sheetData>
    <row r="1" spans="1:240" ht="12" customHeight="1"/>
    <row r="2" spans="1:240" ht="40.5" customHeight="1">
      <c r="A2" s="55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55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55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55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55" t="s">
        <v>1922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55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772</v>
      </c>
      <c r="T9" s="6" t="s">
        <v>118</v>
      </c>
      <c r="U9" s="5" t="s">
        <v>32</v>
      </c>
      <c r="V9" s="6" t="s">
        <v>772</v>
      </c>
      <c r="W9" s="6" t="s">
        <v>118</v>
      </c>
      <c r="X9" s="5" t="s">
        <v>32</v>
      </c>
      <c r="Y9" s="6" t="s">
        <v>772</v>
      </c>
      <c r="Z9" s="6" t="s">
        <v>118</v>
      </c>
      <c r="AA9" s="5" t="s">
        <v>32</v>
      </c>
      <c r="AB9" s="6" t="s">
        <v>772</v>
      </c>
      <c r="AC9" s="6" t="s">
        <v>118</v>
      </c>
      <c r="AD9" s="5" t="s">
        <v>32</v>
      </c>
      <c r="AE9" s="6" t="s">
        <v>772</v>
      </c>
      <c r="AF9" s="6" t="s">
        <v>118</v>
      </c>
      <c r="AG9" s="5" t="s">
        <v>32</v>
      </c>
      <c r="AH9" s="6" t="s">
        <v>772</v>
      </c>
      <c r="AI9" s="6" t="s">
        <v>118</v>
      </c>
      <c r="AJ9" s="5" t="s">
        <v>32</v>
      </c>
      <c r="AK9" s="6" t="s">
        <v>773</v>
      </c>
      <c r="AL9" s="6" t="s">
        <v>118</v>
      </c>
      <c r="AM9" s="5" t="s">
        <v>32</v>
      </c>
      <c r="AN9" s="6" t="s">
        <v>773</v>
      </c>
      <c r="AO9" s="6" t="s">
        <v>118</v>
      </c>
      <c r="AP9" s="5" t="s">
        <v>32</v>
      </c>
      <c r="AQ9" s="6" t="s">
        <v>773</v>
      </c>
      <c r="AR9" s="6" t="s">
        <v>118</v>
      </c>
      <c r="AS9" s="5" t="s">
        <v>32</v>
      </c>
      <c r="AT9" s="6" t="s">
        <v>773</v>
      </c>
      <c r="AU9" s="6" t="s">
        <v>118</v>
      </c>
      <c r="AV9" s="5" t="s">
        <v>32</v>
      </c>
      <c r="AW9" s="6" t="s">
        <v>773</v>
      </c>
      <c r="AX9" s="6" t="s">
        <v>118</v>
      </c>
      <c r="AY9" s="5" t="s">
        <v>32</v>
      </c>
      <c r="AZ9" s="6" t="s">
        <v>773</v>
      </c>
      <c r="BA9" s="6" t="s">
        <v>118</v>
      </c>
      <c r="BB9" s="5" t="s">
        <v>32</v>
      </c>
      <c r="BC9" s="6" t="s">
        <v>774</v>
      </c>
      <c r="BD9" s="6" t="s">
        <v>118</v>
      </c>
      <c r="BE9" s="5" t="s">
        <v>32</v>
      </c>
      <c r="BF9" s="6" t="s">
        <v>774</v>
      </c>
      <c r="BG9" s="6" t="s">
        <v>118</v>
      </c>
      <c r="BH9" s="5" t="s">
        <v>32</v>
      </c>
      <c r="BI9" s="6" t="s">
        <v>774</v>
      </c>
      <c r="BJ9" s="6" t="s">
        <v>118</v>
      </c>
      <c r="BK9" s="5" t="s">
        <v>32</v>
      </c>
      <c r="BL9" s="6" t="s">
        <v>774</v>
      </c>
      <c r="BM9" s="6" t="s">
        <v>118</v>
      </c>
      <c r="BN9" s="5" t="s">
        <v>32</v>
      </c>
      <c r="BO9" s="6" t="s">
        <v>774</v>
      </c>
      <c r="BP9" s="6" t="s">
        <v>118</v>
      </c>
      <c r="BQ9" s="5" t="s">
        <v>32</v>
      </c>
      <c r="BR9" s="6" t="s">
        <v>774</v>
      </c>
      <c r="BS9" s="6" t="s">
        <v>118</v>
      </c>
      <c r="BT9" s="5" t="s">
        <v>32</v>
      </c>
      <c r="BU9" s="6" t="s">
        <v>775</v>
      </c>
      <c r="BV9" s="6" t="s">
        <v>118</v>
      </c>
      <c r="BW9" s="5" t="s">
        <v>32</v>
      </c>
      <c r="BX9" s="6" t="s">
        <v>775</v>
      </c>
      <c r="BY9" s="6" t="s">
        <v>118</v>
      </c>
      <c r="BZ9" s="5" t="s">
        <v>32</v>
      </c>
      <c r="CA9" s="6" t="s">
        <v>775</v>
      </c>
      <c r="CB9" s="6" t="s">
        <v>118</v>
      </c>
      <c r="CC9" s="5" t="s">
        <v>32</v>
      </c>
      <c r="CD9" s="6" t="s">
        <v>775</v>
      </c>
      <c r="CE9" s="6" t="s">
        <v>118</v>
      </c>
      <c r="CF9" s="5" t="s">
        <v>32</v>
      </c>
      <c r="CG9" s="6" t="s">
        <v>775</v>
      </c>
      <c r="CH9" s="6" t="s">
        <v>118</v>
      </c>
      <c r="CI9" s="5" t="s">
        <v>32</v>
      </c>
      <c r="CJ9" s="6" t="s">
        <v>775</v>
      </c>
      <c r="CK9" s="6" t="s">
        <v>118</v>
      </c>
      <c r="CL9" s="5" t="s">
        <v>32</v>
      </c>
      <c r="CM9" s="6" t="s">
        <v>776</v>
      </c>
      <c r="CN9" s="6" t="s">
        <v>118</v>
      </c>
      <c r="CO9" s="5" t="s">
        <v>32</v>
      </c>
      <c r="CP9" s="6" t="s">
        <v>776</v>
      </c>
      <c r="CQ9" s="6" t="s">
        <v>118</v>
      </c>
      <c r="CR9" s="5" t="s">
        <v>32</v>
      </c>
      <c r="CS9" s="6" t="s">
        <v>776</v>
      </c>
      <c r="CT9" s="6" t="s">
        <v>118</v>
      </c>
      <c r="CU9" s="5" t="s">
        <v>32</v>
      </c>
      <c r="CV9" s="6" t="s">
        <v>776</v>
      </c>
      <c r="CW9" s="6" t="s">
        <v>118</v>
      </c>
      <c r="CX9" s="5" t="s">
        <v>32</v>
      </c>
      <c r="CY9" s="6" t="s">
        <v>776</v>
      </c>
      <c r="CZ9" s="6" t="s">
        <v>118</v>
      </c>
      <c r="DA9" s="5" t="s">
        <v>32</v>
      </c>
      <c r="DB9" s="6" t="s">
        <v>776</v>
      </c>
      <c r="DC9" s="6" t="s">
        <v>118</v>
      </c>
      <c r="DD9" s="5" t="s">
        <v>32</v>
      </c>
      <c r="DE9" s="6" t="s">
        <v>777</v>
      </c>
      <c r="DF9" s="6" t="s">
        <v>118</v>
      </c>
      <c r="DG9" s="5" t="s">
        <v>32</v>
      </c>
      <c r="DH9" s="6" t="s">
        <v>777</v>
      </c>
      <c r="DI9" s="6" t="s">
        <v>118</v>
      </c>
      <c r="DJ9" s="5" t="s">
        <v>32</v>
      </c>
      <c r="DK9" s="6" t="s">
        <v>777</v>
      </c>
      <c r="DL9" s="6" t="s">
        <v>118</v>
      </c>
      <c r="DM9" s="5" t="s">
        <v>32</v>
      </c>
      <c r="DN9" s="6" t="s">
        <v>777</v>
      </c>
      <c r="DO9" s="6" t="s">
        <v>118</v>
      </c>
      <c r="DP9" s="5" t="s">
        <v>32</v>
      </c>
      <c r="DQ9" s="6" t="s">
        <v>777</v>
      </c>
      <c r="DR9" s="6" t="s">
        <v>118</v>
      </c>
      <c r="DS9" s="5" t="s">
        <v>32</v>
      </c>
      <c r="DT9" s="6" t="s">
        <v>777</v>
      </c>
      <c r="DU9" s="6" t="s">
        <v>118</v>
      </c>
      <c r="DV9" s="5" t="s">
        <v>32</v>
      </c>
      <c r="DW9" s="6" t="s">
        <v>778</v>
      </c>
      <c r="DX9" s="6" t="s">
        <v>118</v>
      </c>
      <c r="DY9" s="5" t="s">
        <v>32</v>
      </c>
      <c r="DZ9" s="6" t="s">
        <v>778</v>
      </c>
      <c r="EA9" s="6" t="s">
        <v>118</v>
      </c>
      <c r="EB9" s="5" t="s">
        <v>32</v>
      </c>
      <c r="EC9" s="6" t="s">
        <v>778</v>
      </c>
      <c r="ED9" s="6" t="s">
        <v>118</v>
      </c>
      <c r="EE9" s="5" t="s">
        <v>32</v>
      </c>
      <c r="EF9" s="6" t="s">
        <v>778</v>
      </c>
      <c r="EG9" s="6" t="s">
        <v>118</v>
      </c>
      <c r="EH9" s="5" t="s">
        <v>32</v>
      </c>
      <c r="EI9" s="6" t="s">
        <v>778</v>
      </c>
      <c r="EJ9" s="6" t="s">
        <v>118</v>
      </c>
      <c r="EK9" s="5" t="s">
        <v>32</v>
      </c>
      <c r="EL9" s="6" t="s">
        <v>778</v>
      </c>
      <c r="EM9" s="6" t="s">
        <v>118</v>
      </c>
      <c r="EN9" s="5" t="s">
        <v>32</v>
      </c>
      <c r="EO9" s="6" t="s">
        <v>779</v>
      </c>
      <c r="EP9" s="6" t="s">
        <v>118</v>
      </c>
      <c r="EQ9" s="5" t="s">
        <v>32</v>
      </c>
      <c r="ER9" s="6" t="s">
        <v>779</v>
      </c>
      <c r="ES9" s="6" t="s">
        <v>118</v>
      </c>
      <c r="ET9" s="5" t="s">
        <v>32</v>
      </c>
      <c r="EU9" s="6" t="s">
        <v>779</v>
      </c>
      <c r="EV9" s="6" t="s">
        <v>118</v>
      </c>
      <c r="EW9" s="5" t="s">
        <v>32</v>
      </c>
      <c r="EX9" s="6" t="s">
        <v>779</v>
      </c>
      <c r="EY9" s="6" t="s">
        <v>118</v>
      </c>
      <c r="EZ9" s="5" t="s">
        <v>32</v>
      </c>
      <c r="FA9" s="6" t="s">
        <v>779</v>
      </c>
      <c r="FB9" s="6" t="s">
        <v>118</v>
      </c>
      <c r="FC9" s="5" t="s">
        <v>32</v>
      </c>
      <c r="FD9" s="6" t="s">
        <v>779</v>
      </c>
      <c r="FE9" s="6" t="s">
        <v>118</v>
      </c>
      <c r="FF9" s="5" t="s">
        <v>32</v>
      </c>
      <c r="FG9" s="6" t="s">
        <v>780</v>
      </c>
      <c r="FH9" s="6" t="s">
        <v>118</v>
      </c>
      <c r="FI9" s="5" t="s">
        <v>32</v>
      </c>
      <c r="FJ9" s="6" t="s">
        <v>780</v>
      </c>
      <c r="FK9" s="6" t="s">
        <v>118</v>
      </c>
      <c r="FL9" s="5" t="s">
        <v>32</v>
      </c>
      <c r="FM9" s="6" t="s">
        <v>780</v>
      </c>
      <c r="FN9" s="6" t="s">
        <v>118</v>
      </c>
      <c r="FO9" s="5" t="s">
        <v>32</v>
      </c>
      <c r="FP9" s="6" t="s">
        <v>780</v>
      </c>
      <c r="FQ9" s="6" t="s">
        <v>118</v>
      </c>
      <c r="FR9" s="5" t="s">
        <v>32</v>
      </c>
      <c r="FS9" s="6" t="s">
        <v>780</v>
      </c>
      <c r="FT9" s="6" t="s">
        <v>118</v>
      </c>
      <c r="FU9" s="5" t="s">
        <v>32</v>
      </c>
      <c r="FV9" s="6" t="s">
        <v>780</v>
      </c>
      <c r="FW9" s="6" t="s">
        <v>118</v>
      </c>
      <c r="FX9" s="5" t="s">
        <v>32</v>
      </c>
      <c r="FY9" s="6" t="s">
        <v>781</v>
      </c>
      <c r="FZ9" s="6" t="s">
        <v>118</v>
      </c>
      <c r="GA9" s="5" t="s">
        <v>32</v>
      </c>
      <c r="GB9" s="6" t="s">
        <v>781</v>
      </c>
      <c r="GC9" s="6" t="s">
        <v>118</v>
      </c>
      <c r="GD9" s="5" t="s">
        <v>32</v>
      </c>
      <c r="GE9" s="6" t="s">
        <v>781</v>
      </c>
      <c r="GF9" s="6" t="s">
        <v>118</v>
      </c>
      <c r="GG9" s="5" t="s">
        <v>32</v>
      </c>
      <c r="GH9" s="6" t="s">
        <v>781</v>
      </c>
      <c r="GI9" s="6" t="s">
        <v>118</v>
      </c>
      <c r="GJ9" s="5" t="s">
        <v>32</v>
      </c>
      <c r="GK9" s="6" t="s">
        <v>781</v>
      </c>
      <c r="GL9" s="6" t="s">
        <v>118</v>
      </c>
      <c r="GM9" s="5" t="s">
        <v>32</v>
      </c>
      <c r="GN9" s="6" t="s">
        <v>781</v>
      </c>
      <c r="GO9" s="6" t="s">
        <v>118</v>
      </c>
      <c r="GP9" s="5" t="s">
        <v>32</v>
      </c>
      <c r="GQ9" s="6" t="s">
        <v>782</v>
      </c>
      <c r="GR9" s="6" t="s">
        <v>118</v>
      </c>
      <c r="GS9" s="5" t="s">
        <v>32</v>
      </c>
      <c r="GT9" s="6" t="s">
        <v>782</v>
      </c>
      <c r="GU9" s="6" t="s">
        <v>118</v>
      </c>
      <c r="GV9" s="5" t="s">
        <v>32</v>
      </c>
      <c r="GW9" s="6" t="s">
        <v>782</v>
      </c>
      <c r="GX9" s="6" t="s">
        <v>118</v>
      </c>
      <c r="GY9" s="5" t="s">
        <v>32</v>
      </c>
      <c r="GZ9" s="6" t="s">
        <v>782</v>
      </c>
      <c r="HA9" s="6" t="s">
        <v>118</v>
      </c>
      <c r="HB9" s="5" t="s">
        <v>32</v>
      </c>
      <c r="HC9" s="6" t="s">
        <v>782</v>
      </c>
      <c r="HD9" s="6" t="s">
        <v>118</v>
      </c>
      <c r="HE9" s="5" t="s">
        <v>32</v>
      </c>
      <c r="HF9" s="6" t="s">
        <v>782</v>
      </c>
      <c r="HG9" s="6" t="s">
        <v>118</v>
      </c>
      <c r="HH9" s="5" t="s">
        <v>32</v>
      </c>
      <c r="HI9" s="6" t="s">
        <v>783</v>
      </c>
      <c r="HJ9" s="6" t="s">
        <v>118</v>
      </c>
      <c r="HK9" s="5" t="s">
        <v>32</v>
      </c>
      <c r="HL9" s="6" t="s">
        <v>783</v>
      </c>
      <c r="HM9" s="6" t="s">
        <v>118</v>
      </c>
      <c r="HN9" s="5" t="s">
        <v>32</v>
      </c>
      <c r="HO9" s="6" t="s">
        <v>783</v>
      </c>
      <c r="HP9" s="6" t="s">
        <v>118</v>
      </c>
      <c r="HQ9" s="5" t="s">
        <v>32</v>
      </c>
      <c r="HR9" s="6" t="s">
        <v>783</v>
      </c>
      <c r="HS9" s="6" t="s">
        <v>118</v>
      </c>
      <c r="HT9" s="5" t="s">
        <v>32</v>
      </c>
      <c r="HU9" s="6" t="s">
        <v>783</v>
      </c>
      <c r="HV9" s="6" t="s">
        <v>118</v>
      </c>
      <c r="HW9" s="5" t="s">
        <v>32</v>
      </c>
      <c r="HX9" s="6" t="s">
        <v>783</v>
      </c>
      <c r="HY9" s="6" t="s">
        <v>118</v>
      </c>
      <c r="HZ9" s="5" t="s">
        <v>32</v>
      </c>
      <c r="IA9" s="6" t="s">
        <v>784</v>
      </c>
      <c r="IB9" s="6" t="s">
        <v>118</v>
      </c>
      <c r="IC9" s="5" t="s">
        <v>32</v>
      </c>
      <c r="ID9" s="6" t="s">
        <v>784</v>
      </c>
      <c r="IE9" s="6" t="s">
        <v>118</v>
      </c>
      <c r="IF9" s="5" t="s">
        <v>32</v>
      </c>
    </row>
    <row r="10" spans="1:240" ht="68.099999999999994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56" t="s">
        <v>107</v>
      </c>
      <c r="B11" s="37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31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5"/>
    </row>
    <row r="12" spans="1:240" ht="18.75" customHeight="1">
      <c r="A12" s="56"/>
      <c r="B12" s="37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5"/>
    </row>
    <row r="13" spans="1:240" ht="18.75" customHeight="1">
      <c r="A13" s="8"/>
      <c r="B13" s="50">
        <v>1002002</v>
      </c>
      <c r="C13" s="48" t="s">
        <v>168</v>
      </c>
      <c r="D13" s="48">
        <v>1</v>
      </c>
      <c r="E13" s="48">
        <v>2</v>
      </c>
      <c r="F13" s="48">
        <v>100</v>
      </c>
      <c r="G13" s="48">
        <v>2</v>
      </c>
      <c r="H13" s="48">
        <v>1</v>
      </c>
      <c r="I13" s="49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5"/>
    </row>
    <row r="14" spans="1:240" ht="18.75" customHeight="1">
      <c r="A14" s="8"/>
      <c r="B14" s="37">
        <v>1000300010001</v>
      </c>
      <c r="C14" s="6" t="s">
        <v>1779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5"/>
    </row>
    <row r="15" spans="1:240" ht="18.75" customHeight="1">
      <c r="A15" s="8"/>
      <c r="B15" s="37">
        <v>1000300010002</v>
      </c>
      <c r="C15" s="6" t="s">
        <v>1780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5"/>
    </row>
    <row r="16" spans="1:240" ht="18.75" customHeight="1">
      <c r="A16" s="8"/>
      <c r="B16" s="37">
        <v>1000300010003</v>
      </c>
      <c r="C16" s="6" t="s">
        <v>1781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5"/>
    </row>
    <row r="17" spans="1:64" ht="18.75" customHeight="1">
      <c r="A17" s="8"/>
      <c r="B17" s="37">
        <v>1000300010004</v>
      </c>
      <c r="C17" s="6" t="s">
        <v>1782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5"/>
    </row>
    <row r="18" spans="1:64" ht="18.75" customHeight="1">
      <c r="A18" s="8"/>
      <c r="B18" s="37">
        <v>1000300010005</v>
      </c>
      <c r="C18" s="6" t="s">
        <v>1783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5"/>
    </row>
    <row r="19" spans="1:64" ht="18.75" customHeight="1">
      <c r="A19" s="8"/>
      <c r="B19" s="37">
        <v>1000300020001</v>
      </c>
      <c r="C19" s="6" t="s">
        <v>1825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5"/>
    </row>
    <row r="20" spans="1:64" ht="18.75" customHeight="1">
      <c r="A20" s="8"/>
      <c r="B20" s="37">
        <v>1000300020002</v>
      </c>
      <c r="C20" s="6" t="s">
        <v>1826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5"/>
    </row>
    <row r="21" spans="1:64" ht="18.75" customHeight="1">
      <c r="A21" s="8"/>
      <c r="B21" s="37">
        <v>1000300020003</v>
      </c>
      <c r="C21" s="6" t="s">
        <v>1827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5"/>
    </row>
    <row r="22" spans="1:64" ht="18.75" customHeight="1">
      <c r="A22" s="8"/>
      <c r="B22" s="37">
        <v>1000300020004</v>
      </c>
      <c r="C22" s="6" t="s">
        <v>1828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5"/>
    </row>
    <row r="23" spans="1:64" ht="18.75" customHeight="1">
      <c r="A23" s="8"/>
      <c r="B23" s="37">
        <v>1000300020005</v>
      </c>
      <c r="C23" s="6" t="s">
        <v>1829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5"/>
    </row>
    <row r="24" spans="1:64" ht="18.75" customHeight="1">
      <c r="A24" s="8"/>
      <c r="B24" s="37">
        <v>1000300030001</v>
      </c>
      <c r="C24" s="6" t="s">
        <v>1830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5"/>
    </row>
    <row r="25" spans="1:64" ht="18.75" customHeight="1">
      <c r="A25" s="8"/>
      <c r="B25" s="37">
        <v>1000300030002</v>
      </c>
      <c r="C25" s="6" t="s">
        <v>1831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5"/>
    </row>
    <row r="26" spans="1:64" ht="18.75" customHeight="1">
      <c r="A26" s="8"/>
      <c r="B26" s="37">
        <v>1000300030003</v>
      </c>
      <c r="C26" s="6" t="s">
        <v>1832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5"/>
    </row>
    <row r="27" spans="1:64" ht="18.75" customHeight="1">
      <c r="A27" s="8"/>
      <c r="B27" s="37">
        <v>1000300030004</v>
      </c>
      <c r="C27" s="6" t="s">
        <v>1833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5"/>
    </row>
    <row r="28" spans="1:64" ht="18.75" customHeight="1">
      <c r="A28" s="8"/>
      <c r="B28" s="37">
        <v>1000300030005</v>
      </c>
      <c r="C28" s="6" t="s">
        <v>1834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5"/>
    </row>
    <row r="29" spans="1:64" ht="18.75" customHeight="1">
      <c r="A29" s="8"/>
      <c r="B29" s="37">
        <v>1000300040001</v>
      </c>
      <c r="C29" s="6" t="s">
        <v>1835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5"/>
    </row>
    <row r="30" spans="1:64" ht="18.75" customHeight="1">
      <c r="A30" s="8"/>
      <c r="B30" s="37">
        <v>1000300040002</v>
      </c>
      <c r="C30" s="6" t="s">
        <v>1836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5"/>
    </row>
    <row r="31" spans="1:64" ht="18.75" customHeight="1">
      <c r="A31" s="8"/>
      <c r="B31" s="37">
        <v>1000300040003</v>
      </c>
      <c r="C31" s="6" t="s">
        <v>1837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5"/>
    </row>
    <row r="32" spans="1:64" ht="18.75" customHeight="1">
      <c r="A32" s="8"/>
      <c r="B32" s="37">
        <v>1000300040004</v>
      </c>
      <c r="C32" s="6" t="s">
        <v>1838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5"/>
    </row>
    <row r="33" spans="1:64" ht="18.75" customHeight="1">
      <c r="A33" s="8"/>
      <c r="B33" s="37">
        <v>1000300040005</v>
      </c>
      <c r="C33" s="6" t="s">
        <v>1839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5"/>
    </row>
    <row r="34" spans="1:64" ht="18.75" customHeight="1">
      <c r="A34" s="8"/>
      <c r="B34" s="37">
        <v>1000300050001</v>
      </c>
      <c r="C34" s="6" t="s">
        <v>1840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5"/>
    </row>
    <row r="35" spans="1:64" ht="18.75" customHeight="1">
      <c r="A35" s="8"/>
      <c r="B35" s="37">
        <v>1000300050002</v>
      </c>
      <c r="C35" s="6" t="s">
        <v>1841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5"/>
    </row>
    <row r="36" spans="1:64" ht="18.75" customHeight="1">
      <c r="A36" s="8"/>
      <c r="B36" s="37">
        <v>1000300050003</v>
      </c>
      <c r="C36" s="6" t="s">
        <v>1842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5"/>
    </row>
    <row r="37" spans="1:64" ht="18.75" customHeight="1">
      <c r="A37" s="8"/>
      <c r="B37" s="37">
        <v>1000300050004</v>
      </c>
      <c r="C37" s="6" t="s">
        <v>1843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5"/>
    </row>
    <row r="38" spans="1:64" ht="18.75" customHeight="1">
      <c r="A38" s="8"/>
      <c r="B38" s="37">
        <v>1000300050005</v>
      </c>
      <c r="C38" s="6" t="s">
        <v>1844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5"/>
    </row>
    <row r="39" spans="1:64" ht="18.75" customHeight="1">
      <c r="A39" s="8"/>
      <c r="B39" s="37">
        <v>1000300060001</v>
      </c>
      <c r="C39" s="6" t="s">
        <v>1845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5"/>
    </row>
    <row r="40" spans="1:64" ht="18.75" customHeight="1">
      <c r="A40" s="8"/>
      <c r="B40" s="37">
        <v>1000300060002</v>
      </c>
      <c r="C40" s="6" t="s">
        <v>1846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5"/>
    </row>
    <row r="41" spans="1:64" ht="18.75" customHeight="1">
      <c r="A41" s="8"/>
      <c r="B41" s="37">
        <v>1000300060003</v>
      </c>
      <c r="C41" s="6" t="s">
        <v>1847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5"/>
    </row>
    <row r="42" spans="1:64" ht="18.75" customHeight="1">
      <c r="A42" s="8"/>
      <c r="B42" s="37">
        <v>1000300060004</v>
      </c>
      <c r="C42" s="6" t="s">
        <v>1848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5"/>
    </row>
    <row r="43" spans="1:64" ht="18.75" customHeight="1">
      <c r="A43" s="8"/>
      <c r="B43" s="37">
        <v>1000300060005</v>
      </c>
      <c r="C43" s="6" t="s">
        <v>1849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5"/>
    </row>
    <row r="44" spans="1:64" ht="18.75" customHeight="1">
      <c r="A44" s="8"/>
      <c r="B44" s="37">
        <v>1000300070001</v>
      </c>
      <c r="C44" s="6" t="s">
        <v>1850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5"/>
    </row>
    <row r="45" spans="1:64" ht="18.75" customHeight="1">
      <c r="A45" s="8"/>
      <c r="B45" s="37">
        <v>1000300070002</v>
      </c>
      <c r="C45" s="6" t="s">
        <v>1851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5"/>
    </row>
    <row r="46" spans="1:64" ht="18.75" customHeight="1">
      <c r="A46" s="8"/>
      <c r="B46" s="37">
        <v>1000300070003</v>
      </c>
      <c r="C46" s="6" t="s">
        <v>1852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5"/>
    </row>
    <row r="47" spans="1:64" ht="18.75" customHeight="1">
      <c r="A47" s="8"/>
      <c r="B47" s="37">
        <v>1000300070004</v>
      </c>
      <c r="C47" s="6" t="s">
        <v>1853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5"/>
    </row>
    <row r="48" spans="1:64" ht="18.75" customHeight="1">
      <c r="A48" s="8"/>
      <c r="B48" s="37">
        <v>1000300070005</v>
      </c>
      <c r="C48" s="6" t="s">
        <v>1854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5"/>
    </row>
    <row r="49" spans="1:64" ht="18.75" customHeight="1">
      <c r="A49" s="8"/>
      <c r="B49" s="37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5"/>
    </row>
    <row r="50" spans="1:64" ht="18.75" customHeight="1">
      <c r="A50" s="8"/>
      <c r="B50" s="37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5"/>
    </row>
    <row r="51" spans="1:64" ht="18.75" customHeight="1">
      <c r="A51" s="8"/>
      <c r="B51" s="37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5"/>
    </row>
    <row r="52" spans="1:64" ht="18.75" customHeight="1">
      <c r="A52" s="8"/>
      <c r="B52" s="37">
        <v>2000300010001</v>
      </c>
      <c r="C52" s="6" t="s">
        <v>1774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5"/>
    </row>
    <row r="53" spans="1:64" ht="18.75" customHeight="1">
      <c r="A53" s="8"/>
      <c r="B53" s="37">
        <v>2000300010002</v>
      </c>
      <c r="C53" s="6" t="s">
        <v>1775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5"/>
    </row>
    <row r="54" spans="1:64" ht="18.75" customHeight="1">
      <c r="A54" s="8"/>
      <c r="B54" s="37">
        <v>2000300010003</v>
      </c>
      <c r="C54" s="6" t="s">
        <v>1776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5"/>
    </row>
    <row r="55" spans="1:64" ht="18.75" customHeight="1">
      <c r="A55" s="8"/>
      <c r="B55" s="37">
        <v>2000300010004</v>
      </c>
      <c r="C55" s="6" t="s">
        <v>1777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5"/>
    </row>
    <row r="56" spans="1:64" ht="18.75" customHeight="1">
      <c r="A56" s="8"/>
      <c r="B56" s="37">
        <v>2000300010005</v>
      </c>
      <c r="C56" s="6" t="s">
        <v>1778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5"/>
    </row>
    <row r="57" spans="1:64" ht="18.75" customHeight="1">
      <c r="A57" s="8"/>
      <c r="B57" s="37">
        <v>2000300020001</v>
      </c>
      <c r="C57" s="6" t="s">
        <v>1795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5"/>
    </row>
    <row r="58" spans="1:64" ht="18.75" customHeight="1">
      <c r="A58" s="8"/>
      <c r="B58" s="37">
        <v>2000300020002</v>
      </c>
      <c r="C58" s="6" t="s">
        <v>1796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5"/>
    </row>
    <row r="59" spans="1:64" ht="18.75" customHeight="1">
      <c r="A59" s="8"/>
      <c r="B59" s="37">
        <v>2000300020003</v>
      </c>
      <c r="C59" s="6" t="s">
        <v>1797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5"/>
    </row>
    <row r="60" spans="1:64" ht="18.75" customHeight="1">
      <c r="A60" s="8"/>
      <c r="B60" s="37">
        <v>2000300020004</v>
      </c>
      <c r="C60" s="6" t="s">
        <v>1798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5"/>
    </row>
    <row r="61" spans="1:64" ht="18.75" customHeight="1">
      <c r="A61" s="8"/>
      <c r="B61" s="37">
        <v>2000300020005</v>
      </c>
      <c r="C61" s="6" t="s">
        <v>1799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5"/>
    </row>
    <row r="62" spans="1:64" ht="18.75" customHeight="1">
      <c r="A62" s="8"/>
      <c r="B62" s="37">
        <v>2000300030001</v>
      </c>
      <c r="C62" s="6" t="s">
        <v>1800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5"/>
    </row>
    <row r="63" spans="1:64" ht="18.75" customHeight="1">
      <c r="A63" s="8"/>
      <c r="B63" s="37">
        <v>2000300030002</v>
      </c>
      <c r="C63" s="6" t="s">
        <v>1801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5"/>
    </row>
    <row r="64" spans="1:64" ht="18.75" customHeight="1">
      <c r="A64" s="8"/>
      <c r="B64" s="37">
        <v>2000300030003</v>
      </c>
      <c r="C64" s="6" t="s">
        <v>1802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5"/>
    </row>
    <row r="65" spans="1:64" ht="18.75" customHeight="1">
      <c r="A65" s="8"/>
      <c r="B65" s="37">
        <v>2000300030004</v>
      </c>
      <c r="C65" s="6" t="s">
        <v>1803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5"/>
    </row>
    <row r="66" spans="1:64" ht="18.75" customHeight="1">
      <c r="A66" s="8"/>
      <c r="B66" s="37">
        <v>2000300030005</v>
      </c>
      <c r="C66" s="6" t="s">
        <v>1804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5"/>
    </row>
    <row r="67" spans="1:64" ht="18.75" customHeight="1">
      <c r="A67" s="8"/>
      <c r="B67" s="37">
        <v>2000300040001</v>
      </c>
      <c r="C67" s="6" t="s">
        <v>1805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5"/>
    </row>
    <row r="68" spans="1:64" ht="18.75" customHeight="1">
      <c r="A68" s="8"/>
      <c r="B68" s="37">
        <v>2000300040002</v>
      </c>
      <c r="C68" s="6" t="s">
        <v>1806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5"/>
    </row>
    <row r="69" spans="1:64" ht="18.75" customHeight="1">
      <c r="A69" s="8"/>
      <c r="B69" s="37">
        <v>2000300040003</v>
      </c>
      <c r="C69" s="6" t="s">
        <v>1807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5"/>
    </row>
    <row r="70" spans="1:64" ht="18.75" customHeight="1">
      <c r="A70" s="8"/>
      <c r="B70" s="37">
        <v>2000300040004</v>
      </c>
      <c r="C70" s="6" t="s">
        <v>1808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5"/>
    </row>
    <row r="71" spans="1:64" ht="18.75" customHeight="1">
      <c r="A71" s="8"/>
      <c r="B71" s="37">
        <v>2000300040005</v>
      </c>
      <c r="C71" s="6" t="s">
        <v>1809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5"/>
    </row>
    <row r="72" spans="1:64" ht="18.75" customHeight="1">
      <c r="A72" s="8"/>
      <c r="B72" s="37">
        <v>2000300050001</v>
      </c>
      <c r="C72" s="6" t="s">
        <v>1810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5"/>
    </row>
    <row r="73" spans="1:64" ht="18.75" customHeight="1">
      <c r="A73" s="8"/>
      <c r="B73" s="37">
        <v>2000300050002</v>
      </c>
      <c r="C73" s="6" t="s">
        <v>1811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5"/>
    </row>
    <row r="74" spans="1:64" ht="18.75" customHeight="1">
      <c r="A74" s="8"/>
      <c r="B74" s="37">
        <v>2000300050003</v>
      </c>
      <c r="C74" s="6" t="s">
        <v>1812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5"/>
    </row>
    <row r="75" spans="1:64" ht="18.75" customHeight="1">
      <c r="A75" s="8"/>
      <c r="B75" s="37">
        <v>2000300050004</v>
      </c>
      <c r="C75" s="6" t="s">
        <v>1813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5"/>
    </row>
    <row r="76" spans="1:64" ht="18.75" customHeight="1">
      <c r="A76" s="8"/>
      <c r="B76" s="37">
        <v>2000300050005</v>
      </c>
      <c r="C76" s="6" t="s">
        <v>1814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5"/>
    </row>
    <row r="77" spans="1:64" ht="18.75" customHeight="1">
      <c r="A77" s="8"/>
      <c r="B77" s="37">
        <v>2000300060001</v>
      </c>
      <c r="C77" s="6" t="s">
        <v>1815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5"/>
    </row>
    <row r="78" spans="1:64" ht="18.75" customHeight="1">
      <c r="A78" s="8"/>
      <c r="B78" s="37">
        <v>2000300060002</v>
      </c>
      <c r="C78" s="6" t="s">
        <v>1816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5"/>
    </row>
    <row r="79" spans="1:64" ht="18.75" customHeight="1">
      <c r="A79" s="8"/>
      <c r="B79" s="37">
        <v>2000300060003</v>
      </c>
      <c r="C79" s="6" t="s">
        <v>1817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5"/>
    </row>
    <row r="80" spans="1:64" ht="18.75" customHeight="1">
      <c r="A80" s="8"/>
      <c r="B80" s="37">
        <v>2000300060004</v>
      </c>
      <c r="C80" s="6" t="s">
        <v>1818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5"/>
    </row>
    <row r="81" spans="1:213" ht="18.75" customHeight="1">
      <c r="A81" s="8"/>
      <c r="B81" s="37">
        <v>2000300060005</v>
      </c>
      <c r="C81" s="6" t="s">
        <v>1819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5"/>
    </row>
    <row r="82" spans="1:213" ht="18.75" customHeight="1">
      <c r="A82" s="8"/>
      <c r="B82" s="37">
        <v>2000300070001</v>
      </c>
      <c r="C82" s="6" t="s">
        <v>1820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5"/>
    </row>
    <row r="83" spans="1:213" ht="18.75" customHeight="1">
      <c r="A83" s="8"/>
      <c r="B83" s="37">
        <v>2000300070002</v>
      </c>
      <c r="C83" s="6" t="s">
        <v>1821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5"/>
    </row>
    <row r="84" spans="1:213" ht="18.75" customHeight="1">
      <c r="A84" s="8"/>
      <c r="B84" s="37">
        <v>2000300070003</v>
      </c>
      <c r="C84" s="6" t="s">
        <v>1822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5"/>
    </row>
    <row r="85" spans="1:213" ht="18.75" customHeight="1">
      <c r="A85" s="8"/>
      <c r="B85" s="37">
        <v>2000300070004</v>
      </c>
      <c r="C85" s="6" t="s">
        <v>1823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5"/>
    </row>
    <row r="86" spans="1:213" ht="18.75" customHeight="1">
      <c r="A86" s="8"/>
      <c r="B86" s="37">
        <v>2000300070005</v>
      </c>
      <c r="C86" s="6" t="s">
        <v>1824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5"/>
    </row>
    <row r="87" spans="1:213" ht="18.75" customHeight="1">
      <c r="A87" s="8"/>
      <c r="B87" s="37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5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5"/>
    </row>
    <row r="89" spans="1:213" ht="18.75" customHeight="1">
      <c r="A89" s="8"/>
      <c r="B89" s="37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5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5"/>
    </row>
    <row r="91" spans="1:213" ht="18.75" customHeight="1">
      <c r="A91" s="8"/>
      <c r="B91" s="37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5"/>
    </row>
    <row r="92" spans="1:213" ht="18.75" customHeight="1">
      <c r="A92" s="8"/>
      <c r="B92" s="37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5"/>
    </row>
    <row r="93" spans="1:213" ht="18.75" customHeight="1">
      <c r="A93" s="8"/>
      <c r="B93" s="37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5"/>
    </row>
    <row r="94" spans="1:213" ht="18.75" customHeight="1">
      <c r="A94" s="8"/>
      <c r="B94" s="37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5"/>
    </row>
    <row r="95" spans="1:213" ht="18.75" customHeight="1">
      <c r="A95" s="8"/>
      <c r="B95" s="37">
        <v>9001005</v>
      </c>
      <c r="C95" s="7" t="s">
        <v>1738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7">
        <v>9001006</v>
      </c>
      <c r="C96" s="7" t="s">
        <v>1739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7">
        <v>9001007</v>
      </c>
      <c r="C97" s="7" t="s">
        <v>1740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7">
        <v>9001008</v>
      </c>
      <c r="C98" s="7" t="s">
        <v>1741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7">
        <v>4001001</v>
      </c>
      <c r="C99" s="7" t="s">
        <v>235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5"/>
    </row>
    <row r="100" spans="1:213" ht="18.75" customHeight="1">
      <c r="A100" s="8"/>
      <c r="B100" s="15">
        <v>4001002</v>
      </c>
      <c r="C100" s="7" t="s">
        <v>236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5"/>
    </row>
    <row r="101" spans="1:213" ht="18.75" customHeight="1">
      <c r="A101" s="8"/>
      <c r="B101" s="37">
        <v>4001003</v>
      </c>
      <c r="C101" s="7" t="s">
        <v>237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5"/>
    </row>
    <row r="102" spans="1:213" ht="18.75" customHeight="1">
      <c r="A102" s="8"/>
      <c r="B102" s="15">
        <v>5001001</v>
      </c>
      <c r="C102" s="7" t="s">
        <v>242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5"/>
    </row>
    <row r="103" spans="1:213" ht="18.75" customHeight="1">
      <c r="A103" s="8"/>
      <c r="B103" s="37">
        <v>5001002</v>
      </c>
      <c r="C103" s="7" t="s">
        <v>243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5"/>
    </row>
    <row r="104" spans="1:213" ht="18.75" customHeight="1">
      <c r="A104" s="8"/>
      <c r="B104" s="15">
        <v>5001003</v>
      </c>
      <c r="C104" s="7" t="s">
        <v>244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5"/>
    </row>
    <row r="105" spans="1:213" ht="18.75" customHeight="1">
      <c r="A105" s="8"/>
      <c r="B105" s="37">
        <v>6001001</v>
      </c>
      <c r="C105" s="7" t="s">
        <v>245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5"/>
    </row>
    <row r="106" spans="1:213" ht="18.75" customHeight="1">
      <c r="A106" s="8"/>
      <c r="B106" s="15">
        <v>6001002</v>
      </c>
      <c r="C106" s="7" t="s">
        <v>246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5"/>
    </row>
    <row r="107" spans="1:213" ht="18.75" customHeight="1">
      <c r="A107" s="8"/>
      <c r="B107" s="37">
        <v>6001003</v>
      </c>
      <c r="C107" s="7" t="s">
        <v>247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5"/>
    </row>
    <row r="108" spans="1:213" ht="18.75" customHeight="1">
      <c r="A108" s="8"/>
      <c r="B108" s="15">
        <v>6001004</v>
      </c>
      <c r="C108" s="7" t="s">
        <v>248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5"/>
    </row>
    <row r="109" spans="1:213" ht="18.75" customHeight="1">
      <c r="A109" s="8"/>
      <c r="B109" s="37">
        <v>6001005</v>
      </c>
      <c r="C109" s="7" t="s">
        <v>249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5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5"/>
    </row>
    <row r="111" spans="1:213" ht="18.75" customHeight="1">
      <c r="A111" s="8"/>
      <c r="B111" s="3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5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5"/>
    </row>
    <row r="113" spans="1:64" ht="18.75" customHeight="1">
      <c r="A113" s="8"/>
      <c r="B113" s="37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5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5"/>
    </row>
    <row r="115" spans="1:64" ht="18.75" customHeight="1">
      <c r="A115" s="8"/>
      <c r="B115" s="3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5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5"/>
    </row>
    <row r="117" spans="1:64" ht="18.75" customHeight="1">
      <c r="A117" s="8"/>
      <c r="B117" s="37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5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5"/>
    </row>
    <row r="119" spans="1:64" ht="18.75" customHeight="1">
      <c r="A119" s="8"/>
      <c r="B119" s="3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5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5"/>
    </row>
    <row r="121" spans="1:64" ht="18.75" customHeight="1">
      <c r="A121" s="8"/>
      <c r="B121" s="3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5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5"/>
    </row>
    <row r="123" spans="1:64" ht="18.75" customHeight="1">
      <c r="A123" s="8"/>
      <c r="B123" s="3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5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5"/>
    </row>
    <row r="125" spans="1:64" ht="18.75" customHeight="1">
      <c r="B125" s="37"/>
      <c r="C125" s="7"/>
      <c r="D125" s="7"/>
      <c r="E125" s="7"/>
      <c r="AL125" s="35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5"/>
    </row>
    <row r="126" spans="1:64" ht="18.75" customHeight="1">
      <c r="B126" s="15"/>
      <c r="C126" s="7"/>
      <c r="D126" s="7"/>
      <c r="E126" s="7"/>
      <c r="AL126" s="35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5"/>
    </row>
    <row r="127" spans="1:64" ht="18.75" customHeight="1">
      <c r="B127" s="37"/>
      <c r="C127" s="7"/>
      <c r="D127" s="6"/>
      <c r="E127" s="7"/>
      <c r="AL127" s="35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5"/>
    </row>
    <row r="128" spans="1:64" ht="18.75" customHeight="1">
      <c r="B128" s="15"/>
      <c r="C128" s="7"/>
      <c r="D128" s="7"/>
      <c r="E128" s="7"/>
      <c r="AL128" s="35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5"/>
    </row>
    <row r="129" spans="2:64" ht="18.75" customHeight="1">
      <c r="B129" s="37"/>
      <c r="C129" s="7"/>
      <c r="D129" s="7"/>
      <c r="E129" s="7"/>
      <c r="AL129" s="35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5"/>
    </row>
    <row r="130" spans="2:64" ht="18.75" customHeight="1">
      <c r="B130" s="15"/>
      <c r="C130" s="7"/>
      <c r="D130" s="7"/>
      <c r="E130" s="7"/>
      <c r="AL130" s="35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5"/>
    </row>
    <row r="131" spans="2:64" ht="18.75" customHeight="1">
      <c r="B131" s="37"/>
      <c r="C131" s="7"/>
      <c r="D131" s="6"/>
      <c r="E131" s="7"/>
      <c r="AL131" s="35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5"/>
    </row>
    <row r="132" spans="2:64" ht="18.75" customHeight="1">
      <c r="B132" s="15"/>
      <c r="C132" s="7"/>
      <c r="D132" s="7"/>
      <c r="E132" s="7"/>
      <c r="AL132" s="35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5"/>
    </row>
    <row r="133" spans="2:64" ht="18.75" customHeight="1">
      <c r="B133" s="37"/>
      <c r="C133" s="7"/>
      <c r="D133" s="7"/>
      <c r="E133" s="7"/>
      <c r="AL133" s="35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5"/>
    </row>
    <row r="134" spans="2:64" ht="18.75" customHeight="1">
      <c r="B134" s="15"/>
      <c r="C134" s="7"/>
      <c r="D134" s="6"/>
      <c r="E134" s="7"/>
      <c r="AL134" s="35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5"/>
    </row>
    <row r="135" spans="2:64" ht="18.75" customHeight="1">
      <c r="B135" s="37"/>
      <c r="C135" s="7"/>
      <c r="D135" s="7"/>
      <c r="E135" s="7"/>
      <c r="AL135" s="35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5"/>
    </row>
    <row r="136" spans="2:64" ht="18.75" customHeight="1">
      <c r="B136" s="15"/>
      <c r="C136" s="7"/>
      <c r="D136" s="7"/>
      <c r="E136" s="7"/>
      <c r="AL136" s="35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5"/>
    </row>
    <row r="137" spans="2:64" ht="18.75" customHeight="1">
      <c r="B137" s="37"/>
      <c r="C137" s="7"/>
      <c r="D137" s="7"/>
      <c r="E137" s="7"/>
      <c r="AL137" s="35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5"/>
    </row>
    <row r="138" spans="2:64" ht="18.75" customHeight="1">
      <c r="B138" s="15"/>
      <c r="C138" s="7"/>
      <c r="D138" s="6"/>
      <c r="E138" s="7"/>
      <c r="AL138" s="35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5"/>
    </row>
    <row r="139" spans="2:64" ht="18.75" customHeight="1">
      <c r="B139" s="37"/>
      <c r="C139" s="7"/>
      <c r="D139" s="7"/>
      <c r="E139" s="7"/>
      <c r="AL139" s="35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5"/>
    </row>
    <row r="140" spans="2:64" ht="18.75" customHeight="1">
      <c r="B140" s="15"/>
      <c r="C140" s="7"/>
      <c r="D140" s="7"/>
      <c r="E140" s="7"/>
      <c r="AL140" s="35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5"/>
    </row>
    <row r="141" spans="2:64" ht="18.75" customHeight="1">
      <c r="B141" s="37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7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7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7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7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7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7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7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7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7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7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7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7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7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7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7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7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7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7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7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7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7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44"/>
    </row>
    <row r="186" spans="2:5" ht="18.75" customHeight="1">
      <c r="B186" s="44"/>
    </row>
    <row r="187" spans="2:5" ht="18.75" customHeight="1">
      <c r="B187" s="44"/>
    </row>
    <row r="188" spans="2:5" ht="18.75" customHeight="1">
      <c r="B188" s="44"/>
    </row>
    <row r="189" spans="2:5" ht="18.75" customHeight="1">
      <c r="B189" s="44"/>
    </row>
    <row r="190" spans="2:5" ht="18.75" customHeight="1">
      <c r="B190" s="44"/>
    </row>
    <row r="191" spans="2:5" ht="18.75" customHeight="1">
      <c r="B191" s="44"/>
    </row>
    <row r="192" spans="2:5" ht="18.75" customHeight="1">
      <c r="B192" s="44"/>
    </row>
    <row r="193" spans="2:2" ht="18.75" customHeight="1">
      <c r="B193" s="44"/>
    </row>
    <row r="194" spans="2:2" ht="18.75" customHeight="1">
      <c r="B194" s="44"/>
    </row>
    <row r="195" spans="2:2" ht="18.75" customHeight="1">
      <c r="B195" s="44"/>
    </row>
    <row r="196" spans="2:2" ht="18.75" customHeight="1">
      <c r="B196" s="44"/>
    </row>
    <row r="197" spans="2:2" ht="18.75" customHeight="1">
      <c r="B197" s="44"/>
    </row>
    <row r="198" spans="2:2" ht="18.75" customHeight="1">
      <c r="B198" s="44"/>
    </row>
    <row r="199" spans="2:2" ht="18.75" customHeight="1">
      <c r="B199" s="44"/>
    </row>
    <row r="200" spans="2:2" ht="18.75" customHeight="1">
      <c r="B200" s="44"/>
    </row>
    <row r="201" spans="2:2" ht="18.75" customHeight="1">
      <c r="B201" s="44"/>
    </row>
    <row r="202" spans="2:2" ht="18.75" customHeight="1">
      <c r="B202" s="44"/>
    </row>
    <row r="203" spans="2:2" ht="18.75" customHeight="1">
      <c r="B203" s="44"/>
    </row>
    <row r="204" spans="2:2" ht="18.75" customHeight="1">
      <c r="B204" s="44"/>
    </row>
    <row r="205" spans="2:2" ht="18.75" customHeight="1">
      <c r="B205" s="44"/>
    </row>
    <row r="206" spans="2:2" ht="18.75" customHeight="1">
      <c r="B206" s="44"/>
    </row>
    <row r="207" spans="2:2" ht="18.75" customHeight="1">
      <c r="B207" s="44"/>
    </row>
    <row r="208" spans="2:2" ht="18.75" customHeight="1">
      <c r="B208" s="44"/>
    </row>
    <row r="209" spans="2:2" ht="18.75" customHeight="1">
      <c r="B209" s="44"/>
    </row>
    <row r="210" spans="2:2" ht="18.75" customHeight="1">
      <c r="B210" s="44"/>
    </row>
    <row r="211" spans="2:2" ht="18.75" customHeight="1">
      <c r="B211" s="44"/>
    </row>
    <row r="212" spans="2:2" ht="18.75" customHeight="1">
      <c r="B212" s="44"/>
    </row>
    <row r="213" spans="2:2" ht="18.75" customHeight="1">
      <c r="B213" s="44"/>
    </row>
    <row r="214" spans="2:2" ht="18.75" customHeight="1">
      <c r="B214" s="44"/>
    </row>
    <row r="215" spans="2:2" ht="18.75" customHeight="1">
      <c r="B215" s="44"/>
    </row>
    <row r="216" spans="2:2" ht="18.75" customHeight="1">
      <c r="B216" s="44"/>
    </row>
    <row r="217" spans="2:2" ht="18.75" customHeight="1">
      <c r="B217" s="44"/>
    </row>
    <row r="218" spans="2:2" ht="18.75" customHeight="1">
      <c r="B218" s="44"/>
    </row>
    <row r="219" spans="2:2" ht="18.75" customHeight="1">
      <c r="B219" s="44"/>
    </row>
    <row r="220" spans="2:2" ht="18.75" customHeight="1">
      <c r="B220" s="44"/>
    </row>
    <row r="221" spans="2:2" ht="18.75" customHeight="1">
      <c r="B221" s="44"/>
    </row>
    <row r="222" spans="2:2" ht="18.75" customHeight="1">
      <c r="B222" s="44"/>
    </row>
    <row r="223" spans="2:2" ht="18.75" customHeight="1">
      <c r="B223" s="44"/>
    </row>
    <row r="224" spans="2:2" ht="18.75" customHeight="1">
      <c r="B224" s="44"/>
    </row>
    <row r="225" spans="2:2" ht="18.75" customHeight="1">
      <c r="B225" s="44"/>
    </row>
    <row r="226" spans="2:2" ht="18.75" customHeight="1">
      <c r="B226" s="44"/>
    </row>
    <row r="227" spans="2:2" ht="18.75" customHeight="1">
      <c r="B227" s="44"/>
    </row>
    <row r="228" spans="2:2" ht="18.75" customHeight="1">
      <c r="B228" s="44"/>
    </row>
    <row r="229" spans="2:2" ht="18.75" customHeight="1">
      <c r="B229" s="44"/>
    </row>
    <row r="230" spans="2:2" ht="18.75" customHeight="1">
      <c r="B230" s="44"/>
    </row>
    <row r="231" spans="2:2" ht="18.75" customHeight="1">
      <c r="B231" s="44"/>
    </row>
    <row r="232" spans="2:2" ht="18.75" customHeight="1">
      <c r="B232" s="44"/>
    </row>
    <row r="233" spans="2:2" ht="18.75" customHeight="1">
      <c r="B233" s="44"/>
    </row>
    <row r="234" spans="2:2" ht="18.75" customHeight="1">
      <c r="B234" s="44"/>
    </row>
    <row r="235" spans="2:2" ht="18.75" customHeight="1">
      <c r="B235" s="44"/>
    </row>
    <row r="236" spans="2:2" ht="18.75" customHeight="1">
      <c r="B236" s="44"/>
    </row>
    <row r="237" spans="2:2" ht="18.75" customHeight="1">
      <c r="B237" s="44"/>
    </row>
    <row r="238" spans="2:2" ht="18.75" customHeight="1">
      <c r="B238" s="44"/>
    </row>
    <row r="239" spans="2:2" ht="18.75" customHeight="1">
      <c r="B239" s="44"/>
    </row>
    <row r="240" spans="2:2" ht="18.75" customHeight="1">
      <c r="B240" s="44"/>
    </row>
    <row r="241" spans="2:2" ht="18.75" customHeight="1">
      <c r="B241" s="44"/>
    </row>
    <row r="242" spans="2:2" ht="18.75" customHeight="1">
      <c r="B242" s="44"/>
    </row>
    <row r="243" spans="2:2" ht="18.75" customHeight="1">
      <c r="B243" s="44"/>
    </row>
    <row r="244" spans="2:2" ht="18.75" customHeight="1">
      <c r="B244" s="44"/>
    </row>
    <row r="245" spans="2:2" ht="18.75" customHeight="1">
      <c r="B245" s="44"/>
    </row>
    <row r="246" spans="2:2" ht="18.75" customHeight="1">
      <c r="B246" s="44"/>
    </row>
    <row r="247" spans="2:2" ht="18.75" customHeight="1">
      <c r="B247" s="44"/>
    </row>
    <row r="248" spans="2:2" ht="18.75" customHeight="1">
      <c r="B248" s="44"/>
    </row>
    <row r="249" spans="2:2" ht="18.75" customHeight="1">
      <c r="B249" s="44"/>
    </row>
    <row r="250" spans="2:2" ht="18.75" customHeight="1">
      <c r="B250" s="44"/>
    </row>
    <row r="251" spans="2:2" ht="18.75" customHeight="1">
      <c r="B251" s="44"/>
    </row>
    <row r="252" spans="2:2" ht="18.75" customHeight="1">
      <c r="B252" s="44"/>
    </row>
    <row r="253" spans="2:2" ht="18.75" customHeight="1">
      <c r="B253" s="44"/>
    </row>
    <row r="254" spans="2:2" ht="18.75" customHeight="1">
      <c r="B254" s="44"/>
    </row>
    <row r="255" spans="2:2" ht="18.75" customHeight="1">
      <c r="B255" s="44"/>
    </row>
    <row r="256" spans="2:2" ht="18.75" customHeight="1">
      <c r="B256" s="44"/>
    </row>
    <row r="257" spans="2:2" ht="18.75" customHeight="1">
      <c r="B257" s="44"/>
    </row>
    <row r="258" spans="2:2" ht="18.75" customHeight="1">
      <c r="B258" s="44"/>
    </row>
    <row r="259" spans="2:2" ht="18.75" customHeight="1">
      <c r="B259" s="44"/>
    </row>
    <row r="260" spans="2:2" ht="18.75" customHeight="1">
      <c r="B260" s="44"/>
    </row>
    <row r="261" spans="2:2" ht="18.75" customHeight="1">
      <c r="B261" s="44"/>
    </row>
    <row r="262" spans="2:2" ht="18.75" customHeight="1">
      <c r="B262" s="44"/>
    </row>
    <row r="263" spans="2:2" ht="18.75" customHeight="1">
      <c r="B263" s="44"/>
    </row>
    <row r="264" spans="2:2" ht="18.75" customHeight="1">
      <c r="B264" s="44"/>
    </row>
    <row r="265" spans="2:2" ht="18.75" customHeight="1">
      <c r="B265" s="44"/>
    </row>
    <row r="266" spans="2:2" ht="18.75" customHeight="1">
      <c r="B266" s="44"/>
    </row>
    <row r="267" spans="2:2" ht="18.75" customHeight="1">
      <c r="B267" s="44"/>
    </row>
    <row r="268" spans="2:2" ht="18.75" customHeight="1">
      <c r="B268" s="44"/>
    </row>
    <row r="269" spans="2:2" ht="18.75" customHeight="1">
      <c r="B269" s="44"/>
    </row>
    <row r="270" spans="2:2" ht="18.75" customHeight="1">
      <c r="B270" s="44"/>
    </row>
    <row r="271" spans="2:2" ht="18.75" customHeight="1">
      <c r="B271" s="44"/>
    </row>
    <row r="272" spans="2:2" ht="18.75" customHeight="1">
      <c r="B272" s="44"/>
    </row>
    <row r="273" spans="2:2" ht="18.75" customHeight="1">
      <c r="B273" s="44"/>
    </row>
    <row r="274" spans="2:2" ht="18.75" customHeight="1">
      <c r="B274" s="44"/>
    </row>
    <row r="275" spans="2:2" ht="18.75" customHeight="1">
      <c r="B275" s="44"/>
    </row>
    <row r="276" spans="2:2" ht="18.75" customHeight="1">
      <c r="B276" s="44"/>
    </row>
    <row r="277" spans="2:2" ht="18.75" customHeight="1">
      <c r="B277" s="44"/>
    </row>
    <row r="278" spans="2:2" ht="18.75" customHeight="1">
      <c r="B278" s="44"/>
    </row>
    <row r="279" spans="2:2" ht="18.75" customHeight="1">
      <c r="B279" s="44"/>
    </row>
    <row r="280" spans="2:2" ht="18.75" customHeight="1">
      <c r="B280" s="44"/>
    </row>
    <row r="281" spans="2:2" ht="18.75" customHeight="1">
      <c r="B281" s="44"/>
    </row>
    <row r="282" spans="2:2" ht="18.75" customHeight="1">
      <c r="B282" s="44"/>
    </row>
    <row r="283" spans="2:2" ht="18.75" customHeight="1">
      <c r="B283" s="44"/>
    </row>
    <row r="284" spans="2:2" ht="18.75" customHeight="1">
      <c r="B284" s="44"/>
    </row>
    <row r="285" spans="2:2" ht="18.75" customHeight="1">
      <c r="B285" s="44"/>
    </row>
    <row r="286" spans="2:2" ht="18.75" customHeight="1">
      <c r="B286" s="44"/>
    </row>
    <row r="287" spans="2:2" ht="18.75" customHeight="1">
      <c r="B287" s="44"/>
    </row>
    <row r="288" spans="2:2" ht="18.75" customHeight="1">
      <c r="B288" s="44"/>
    </row>
    <row r="289" spans="2:2" ht="18.75" customHeight="1">
      <c r="B289" s="44"/>
    </row>
    <row r="290" spans="2:2" ht="18.75" customHeight="1">
      <c r="B290" s="44"/>
    </row>
    <row r="291" spans="2:2" ht="18.75" customHeight="1">
      <c r="B291" s="44"/>
    </row>
    <row r="292" spans="2:2" ht="18.75" customHeight="1">
      <c r="B292" s="44"/>
    </row>
    <row r="293" spans="2:2" ht="18.75" customHeight="1">
      <c r="B293" s="44"/>
    </row>
    <row r="294" spans="2:2" ht="18.75" customHeight="1">
      <c r="B294" s="44"/>
    </row>
    <row r="295" spans="2:2" ht="18.75" customHeight="1">
      <c r="B295" s="44"/>
    </row>
    <row r="296" spans="2:2" ht="18.75" customHeight="1">
      <c r="B296" s="44"/>
    </row>
    <row r="297" spans="2:2" ht="18.75" customHeight="1">
      <c r="B297" s="44"/>
    </row>
    <row r="298" spans="2:2" ht="18.75" customHeight="1">
      <c r="B298" s="44"/>
    </row>
    <row r="299" spans="2:2" ht="18.75" customHeight="1">
      <c r="B299" s="44"/>
    </row>
    <row r="300" spans="2:2" ht="18.75" customHeight="1">
      <c r="B300" s="44"/>
    </row>
    <row r="301" spans="2:2" ht="18.75" customHeight="1">
      <c r="B301" s="44"/>
    </row>
    <row r="302" spans="2:2" ht="18.75" customHeight="1">
      <c r="B302" s="44"/>
    </row>
    <row r="303" spans="2:2" ht="18.75" customHeight="1">
      <c r="B303" s="44"/>
    </row>
    <row r="304" spans="2:2" ht="18.75" customHeight="1">
      <c r="B304" s="44"/>
    </row>
    <row r="305" spans="2:2" ht="18.75" customHeight="1">
      <c r="B305" s="44"/>
    </row>
    <row r="306" spans="2:2" ht="18.75" customHeight="1">
      <c r="B306" s="44"/>
    </row>
    <row r="307" spans="2:2" ht="18.75" customHeight="1">
      <c r="B307" s="44"/>
    </row>
    <row r="308" spans="2:2" ht="18.75" customHeight="1">
      <c r="B308" s="44"/>
    </row>
    <row r="309" spans="2:2" ht="18.75" customHeight="1">
      <c r="B309" s="44"/>
    </row>
    <row r="310" spans="2:2" ht="18.75" customHeight="1">
      <c r="B310" s="44"/>
    </row>
    <row r="311" spans="2:2" ht="18.75" customHeight="1">
      <c r="B311" s="44"/>
    </row>
    <row r="312" spans="2:2" ht="18.75" customHeight="1">
      <c r="B312" s="44"/>
    </row>
    <row r="313" spans="2:2" ht="18.75" customHeight="1">
      <c r="B313" s="44"/>
    </row>
    <row r="314" spans="2:2" ht="18.75" customHeight="1">
      <c r="B314" s="44"/>
    </row>
    <row r="315" spans="2:2" ht="18.75" customHeight="1">
      <c r="B315" s="44"/>
    </row>
    <row r="316" spans="2:2" ht="18.75" customHeight="1">
      <c r="B316" s="44"/>
    </row>
    <row r="317" spans="2:2" ht="18.75" customHeight="1">
      <c r="B317" s="44"/>
    </row>
    <row r="318" spans="2:2" ht="18.75" customHeight="1">
      <c r="B318" s="44"/>
    </row>
    <row r="319" spans="2:2" ht="18.75" customHeight="1">
      <c r="B319" s="44"/>
    </row>
    <row r="320" spans="2:2" ht="18.75" customHeight="1">
      <c r="B320" s="44"/>
    </row>
    <row r="321" spans="2:2" ht="18.75" customHeight="1">
      <c r="B321" s="44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3" width="46.625" style="36" customWidth="1"/>
    <col min="4" max="22" width="10" style="36" customWidth="1"/>
    <col min="23" max="42" width="12.625" style="36" customWidth="1"/>
    <col min="43" max="16384" width="12.625" style="36"/>
  </cols>
  <sheetData>
    <row r="1" spans="1:115" ht="12" customHeight="1"/>
    <row r="2" spans="1:115" ht="40.5" customHeight="1">
      <c r="A2" s="55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55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55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55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55" t="s">
        <v>1922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55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55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56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56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7">
        <v>1002002</v>
      </c>
      <c r="C13" s="48" t="s">
        <v>154</v>
      </c>
      <c r="D13" s="48">
        <v>2</v>
      </c>
      <c r="E13" s="48">
        <v>1</v>
      </c>
      <c r="F13" s="48">
        <v>1</v>
      </c>
      <c r="G13" s="48">
        <v>1</v>
      </c>
      <c r="H13" s="48">
        <v>2</v>
      </c>
      <c r="I13" s="48">
        <v>2</v>
      </c>
      <c r="J13" s="49">
        <v>1</v>
      </c>
      <c r="K13" s="48">
        <v>1</v>
      </c>
      <c r="L13" s="7">
        <v>2</v>
      </c>
      <c r="M13" s="7">
        <v>3</v>
      </c>
      <c r="N13" s="7">
        <v>1</v>
      </c>
      <c r="O13" s="48">
        <v>1</v>
      </c>
      <c r="P13" s="7"/>
      <c r="Q13" s="7"/>
      <c r="R13" s="7"/>
      <c r="S13" s="7"/>
      <c r="T13" s="7"/>
      <c r="U13" s="7"/>
      <c r="V13" s="48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H8" sqref="H8"/>
    </sheetView>
  </sheetViews>
  <sheetFormatPr defaultColWidth="12.625" defaultRowHeight="15" customHeight="1"/>
  <cols>
    <col min="1" max="1" width="7.625" style="36" customWidth="1"/>
    <col min="2" max="2" width="17.875" style="44" customWidth="1"/>
    <col min="3" max="3" width="61.125" style="36" customWidth="1"/>
    <col min="4" max="4" width="15.875" style="36" customWidth="1"/>
    <col min="5" max="6" width="30.75" style="82" customWidth="1"/>
    <col min="7" max="16384" width="12.625" style="36"/>
  </cols>
  <sheetData>
    <row r="1" spans="1:6" ht="12" customHeight="1"/>
    <row r="2" spans="1:6" ht="40.5" customHeight="1">
      <c r="A2" s="55" t="s">
        <v>0</v>
      </c>
      <c r="B2" s="15" t="s">
        <v>2019</v>
      </c>
      <c r="C2" s="13"/>
    </row>
    <row r="3" spans="1:6" ht="18.75" customHeight="1">
      <c r="A3" s="1"/>
      <c r="B3" s="45" t="s">
        <v>2007</v>
      </c>
      <c r="C3" s="1"/>
      <c r="D3" s="1"/>
      <c r="E3" s="83"/>
      <c r="F3" s="83"/>
    </row>
    <row r="4" spans="1:6" ht="18.75" customHeight="1">
      <c r="A4" s="55" t="s">
        <v>2</v>
      </c>
      <c r="B4" s="39" t="s">
        <v>3</v>
      </c>
      <c r="C4" s="3" t="s">
        <v>193</v>
      </c>
      <c r="D4" s="3" t="s">
        <v>46</v>
      </c>
      <c r="E4" s="84" t="s">
        <v>2008</v>
      </c>
      <c r="F4" s="84" t="s">
        <v>2009</v>
      </c>
    </row>
    <row r="5" spans="1:6" ht="18.75" customHeight="1">
      <c r="A5" s="55" t="s">
        <v>4</v>
      </c>
      <c r="B5" s="39"/>
      <c r="C5" s="3"/>
      <c r="D5" s="3"/>
      <c r="E5" s="84"/>
      <c r="F5" s="84"/>
    </row>
    <row r="6" spans="1:6" ht="18.75" customHeight="1">
      <c r="A6" s="55" t="s">
        <v>5</v>
      </c>
      <c r="B6" s="39"/>
      <c r="C6" s="3"/>
      <c r="D6" s="3"/>
      <c r="E6" s="84"/>
      <c r="F6" s="84"/>
    </row>
    <row r="7" spans="1:6" ht="18.75" customHeight="1">
      <c r="A7" s="55" t="s">
        <v>1922</v>
      </c>
      <c r="B7" s="39"/>
      <c r="C7" s="3"/>
      <c r="D7" s="3"/>
      <c r="E7" s="84"/>
      <c r="F7" s="84"/>
    </row>
    <row r="8" spans="1:6" ht="18.75" customHeight="1">
      <c r="A8" s="55" t="s">
        <v>6</v>
      </c>
      <c r="B8" s="40" t="s">
        <v>7</v>
      </c>
      <c r="C8" s="4" t="s">
        <v>95</v>
      </c>
      <c r="D8" s="4" t="s">
        <v>173</v>
      </c>
      <c r="E8" s="85" t="s">
        <v>255</v>
      </c>
      <c r="F8" s="85" t="s">
        <v>95</v>
      </c>
    </row>
    <row r="9" spans="1:6" ht="42" customHeight="1">
      <c r="A9" s="55" t="s">
        <v>10</v>
      </c>
      <c r="B9" s="37" t="s">
        <v>11</v>
      </c>
      <c r="C9" s="5" t="s">
        <v>201</v>
      </c>
      <c r="D9" s="5" t="s">
        <v>47</v>
      </c>
      <c r="E9" s="86" t="s">
        <v>2010</v>
      </c>
      <c r="F9" s="86" t="s">
        <v>2011</v>
      </c>
    </row>
    <row r="10" spans="1:6" ht="57.75" customHeight="1">
      <c r="A10" s="55" t="s">
        <v>12</v>
      </c>
      <c r="B10" s="46"/>
      <c r="C10" s="18"/>
      <c r="D10" s="19"/>
      <c r="E10" s="87" t="s">
        <v>2012</v>
      </c>
      <c r="F10" s="87" t="s">
        <v>2012</v>
      </c>
    </row>
    <row r="11" spans="1:6" ht="18.75" customHeight="1">
      <c r="A11" s="56" t="s">
        <v>13</v>
      </c>
      <c r="B11" s="20">
        <v>1</v>
      </c>
      <c r="C11" s="7" t="s">
        <v>1954</v>
      </c>
      <c r="D11" s="7">
        <v>20001</v>
      </c>
      <c r="E11" s="23" t="s">
        <v>2013</v>
      </c>
      <c r="F11" s="23" t="s">
        <v>2014</v>
      </c>
    </row>
    <row r="12" spans="1:6" ht="18.75" customHeight="1">
      <c r="A12" s="8"/>
      <c r="B12" s="20">
        <v>2</v>
      </c>
      <c r="C12" s="7" t="s">
        <v>1958</v>
      </c>
      <c r="D12" s="7">
        <v>20002</v>
      </c>
      <c r="E12" s="23" t="s">
        <v>2014</v>
      </c>
      <c r="F12" s="23" t="s">
        <v>2015</v>
      </c>
    </row>
    <row r="13" spans="1:6" ht="18.75" customHeight="1">
      <c r="A13" s="8"/>
      <c r="B13" s="20">
        <v>3</v>
      </c>
      <c r="C13" s="7" t="s">
        <v>1959</v>
      </c>
      <c r="D13" s="7">
        <v>20003</v>
      </c>
      <c r="E13" s="23" t="s">
        <v>2015</v>
      </c>
      <c r="F13" s="23" t="s">
        <v>2016</v>
      </c>
    </row>
    <row r="14" spans="1:6" ht="18.75" customHeight="1">
      <c r="A14" s="8"/>
      <c r="B14" s="20">
        <v>4</v>
      </c>
      <c r="C14" s="7" t="s">
        <v>1960</v>
      </c>
      <c r="D14" s="7">
        <v>20004</v>
      </c>
      <c r="E14" s="23" t="s">
        <v>2016</v>
      </c>
      <c r="F14" s="23" t="s">
        <v>2017</v>
      </c>
    </row>
    <row r="15" spans="1:6" ht="18.75" customHeight="1">
      <c r="A15" s="8"/>
      <c r="B15" s="20">
        <v>5</v>
      </c>
      <c r="C15" s="7" t="s">
        <v>1961</v>
      </c>
      <c r="D15" s="7">
        <v>20005</v>
      </c>
      <c r="E15" s="23" t="s">
        <v>2017</v>
      </c>
      <c r="F15" s="23" t="s">
        <v>2018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43"/>
      <c r="C72" s="34"/>
      <c r="D72" s="34"/>
      <c r="E72" s="23"/>
      <c r="F72" s="23"/>
    </row>
    <row r="73" spans="2:6" ht="18.75" customHeight="1">
      <c r="B73" s="43"/>
      <c r="C73" s="34"/>
      <c r="D73" s="34"/>
      <c r="E73" s="23"/>
      <c r="F73" s="23"/>
    </row>
    <row r="74" spans="2:6" ht="18.75" customHeight="1">
      <c r="B74" s="43"/>
      <c r="C74" s="34"/>
      <c r="D74" s="34"/>
      <c r="E74" s="23"/>
      <c r="F74" s="23"/>
    </row>
    <row r="75" spans="2:6" ht="18.75" customHeight="1">
      <c r="B75" s="43"/>
      <c r="C75" s="34"/>
      <c r="D75" s="34"/>
      <c r="E75" s="23"/>
      <c r="F75" s="23"/>
    </row>
    <row r="76" spans="2:6" ht="18.75" customHeight="1">
      <c r="B76" s="43"/>
      <c r="C76" s="34"/>
      <c r="D76" s="34"/>
      <c r="E76" s="23"/>
      <c r="F76" s="23"/>
    </row>
    <row r="77" spans="2:6" ht="18.75" customHeight="1">
      <c r="B77" s="43"/>
      <c r="C77" s="34"/>
      <c r="D77" s="34"/>
      <c r="E77" s="23"/>
      <c r="F77" s="23"/>
    </row>
    <row r="78" spans="2:6" ht="18.75" customHeight="1">
      <c r="B78" s="43"/>
      <c r="C78" s="34"/>
      <c r="D78" s="34"/>
      <c r="E78" s="23"/>
      <c r="F78" s="23"/>
    </row>
    <row r="79" spans="2:6" ht="18.75" customHeight="1">
      <c r="B79" s="43"/>
      <c r="C79" s="34"/>
      <c r="D79" s="34"/>
      <c r="E79" s="23"/>
      <c r="F79" s="23"/>
    </row>
    <row r="80" spans="2:6" ht="18.75" customHeight="1">
      <c r="B80" s="43"/>
      <c r="C80" s="34"/>
      <c r="D80" s="34"/>
      <c r="E80" s="23"/>
      <c r="F80" s="23"/>
    </row>
    <row r="81" spans="2:6" ht="18.75" customHeight="1">
      <c r="B81" s="43"/>
      <c r="C81" s="34"/>
      <c r="D81" s="34"/>
      <c r="E81" s="23"/>
      <c r="F81" s="23"/>
    </row>
    <row r="82" spans="2:6" ht="18.75" customHeight="1">
      <c r="B82" s="43"/>
      <c r="C82" s="34"/>
      <c r="D82" s="34"/>
      <c r="E82" s="23"/>
      <c r="F82" s="23"/>
    </row>
    <row r="83" spans="2:6" ht="18.75" customHeight="1">
      <c r="B83" s="43"/>
      <c r="C83" s="34"/>
      <c r="D83" s="34"/>
      <c r="E83" s="23"/>
      <c r="F83" s="23"/>
    </row>
    <row r="84" spans="2:6" ht="18.75" customHeight="1">
      <c r="B84" s="43"/>
      <c r="C84" s="34"/>
      <c r="D84" s="34"/>
      <c r="E84" s="23"/>
      <c r="F84" s="23"/>
    </row>
    <row r="85" spans="2:6" ht="18.75" customHeight="1">
      <c r="B85" s="43"/>
      <c r="C85" s="34"/>
      <c r="D85" s="34"/>
      <c r="E85" s="23"/>
      <c r="F85" s="23"/>
    </row>
    <row r="86" spans="2:6" ht="18.75" customHeight="1">
      <c r="B86" s="43"/>
      <c r="C86" s="34"/>
      <c r="D86" s="34"/>
      <c r="E86" s="23"/>
      <c r="F86" s="23"/>
    </row>
    <row r="87" spans="2:6" ht="18.75" customHeight="1">
      <c r="B87" s="43"/>
      <c r="C87" s="34"/>
      <c r="D87" s="34"/>
      <c r="E87" s="23"/>
      <c r="F87" s="23"/>
    </row>
    <row r="88" spans="2:6" ht="18.75" customHeight="1">
      <c r="B88" s="43"/>
      <c r="C88" s="34"/>
      <c r="D88" s="34"/>
      <c r="E88" s="23"/>
      <c r="F88" s="23"/>
    </row>
    <row r="89" spans="2:6" ht="18.75" customHeight="1">
      <c r="B89" s="43"/>
      <c r="C89" s="34"/>
      <c r="D89" s="34"/>
      <c r="E89" s="23"/>
      <c r="F89" s="23"/>
    </row>
    <row r="90" spans="2:6" ht="18.75" customHeight="1">
      <c r="B90" s="43"/>
      <c r="C90" s="34"/>
      <c r="D90" s="34"/>
      <c r="E90" s="23"/>
      <c r="F90" s="23"/>
    </row>
    <row r="91" spans="2:6" ht="18.75" customHeight="1">
      <c r="B91" s="43"/>
      <c r="C91" s="34"/>
      <c r="D91" s="34"/>
      <c r="E91" s="23"/>
      <c r="F91" s="23"/>
    </row>
    <row r="92" spans="2:6" ht="18.75" customHeight="1">
      <c r="B92" s="43"/>
      <c r="C92" s="34"/>
      <c r="D92" s="34"/>
      <c r="E92" s="23"/>
      <c r="F92" s="23"/>
    </row>
    <row r="93" spans="2:6" ht="18.75" customHeight="1">
      <c r="B93" s="43"/>
      <c r="C93" s="34"/>
      <c r="D93" s="34"/>
      <c r="E93" s="88"/>
      <c r="F93" s="88"/>
    </row>
    <row r="94" spans="2:6" ht="18.75" customHeight="1">
      <c r="B94" s="43"/>
      <c r="C94" s="34"/>
      <c r="D94" s="34"/>
      <c r="E94" s="88"/>
      <c r="F94" s="88"/>
    </row>
    <row r="95" spans="2:6" ht="18.75" customHeight="1">
      <c r="B95" s="43"/>
      <c r="C95" s="34"/>
      <c r="D95" s="34"/>
      <c r="E95" s="88"/>
      <c r="F95" s="88"/>
    </row>
    <row r="96" spans="2:6" ht="18.75" customHeight="1">
      <c r="B96" s="43"/>
      <c r="C96" s="34"/>
      <c r="D96" s="34"/>
      <c r="E96" s="88"/>
      <c r="F96" s="88"/>
    </row>
    <row r="97" spans="2:6" ht="18.75" customHeight="1">
      <c r="B97" s="43"/>
      <c r="C97" s="34"/>
      <c r="D97" s="34"/>
      <c r="E97" s="88"/>
      <c r="F97" s="88"/>
    </row>
    <row r="98" spans="2:6" ht="18.75" customHeight="1">
      <c r="B98" s="43"/>
      <c r="C98" s="34"/>
      <c r="D98" s="34"/>
      <c r="E98" s="88"/>
      <c r="F98" s="88"/>
    </row>
    <row r="99" spans="2:6" ht="18.75" customHeight="1">
      <c r="B99" s="43"/>
      <c r="C99" s="34"/>
      <c r="D99" s="34"/>
      <c r="E99" s="88"/>
      <c r="F99" s="88"/>
    </row>
    <row r="100" spans="2:6" ht="18.75" customHeight="1">
      <c r="B100" s="43"/>
      <c r="C100" s="34"/>
      <c r="D100" s="34"/>
      <c r="E100" s="88"/>
      <c r="F100" s="88"/>
    </row>
    <row r="101" spans="2:6" ht="18.75" customHeight="1">
      <c r="B101" s="43"/>
      <c r="C101" s="34"/>
      <c r="D101" s="34"/>
      <c r="E101" s="88"/>
      <c r="F101" s="88"/>
    </row>
    <row r="102" spans="2:6" ht="18.75" customHeight="1">
      <c r="B102" s="43"/>
      <c r="C102" s="34"/>
      <c r="D102" s="34"/>
      <c r="E102" s="88"/>
      <c r="F102" s="88"/>
    </row>
    <row r="103" spans="2:6" ht="18.75" customHeight="1">
      <c r="B103" s="43"/>
      <c r="C103" s="34"/>
      <c r="D103" s="34"/>
      <c r="E103" s="88"/>
      <c r="F103" s="88"/>
    </row>
    <row r="104" spans="2:6" ht="18.75" customHeight="1">
      <c r="B104" s="43"/>
      <c r="C104" s="34"/>
      <c r="D104" s="34"/>
      <c r="E104" s="88"/>
      <c r="F104" s="88"/>
    </row>
    <row r="105" spans="2:6" ht="18.75" customHeight="1">
      <c r="B105" s="43"/>
      <c r="C105" s="34"/>
      <c r="D105" s="34"/>
      <c r="E105" s="88"/>
      <c r="F105" s="88"/>
    </row>
    <row r="106" spans="2:6" ht="18.75" customHeight="1">
      <c r="B106" s="43"/>
      <c r="C106" s="34"/>
      <c r="D106" s="34"/>
      <c r="E106" s="88"/>
      <c r="F106" s="88"/>
    </row>
    <row r="107" spans="2:6" ht="18.75" customHeight="1">
      <c r="B107" s="43"/>
      <c r="C107" s="34"/>
      <c r="D107" s="34"/>
      <c r="E107" s="88"/>
      <c r="F107" s="88"/>
    </row>
    <row r="108" spans="2:6" ht="18.75" customHeight="1">
      <c r="B108" s="43"/>
      <c r="C108" s="34"/>
      <c r="D108" s="34"/>
      <c r="E108" s="88"/>
      <c r="F108" s="88"/>
    </row>
    <row r="109" spans="2:6" ht="18.75" customHeight="1">
      <c r="B109" s="43"/>
      <c r="C109" s="34"/>
      <c r="D109" s="34"/>
      <c r="E109" s="88"/>
      <c r="F109" s="88"/>
    </row>
    <row r="110" spans="2:6" ht="18.75" customHeight="1">
      <c r="B110" s="43"/>
      <c r="C110" s="34"/>
      <c r="D110" s="34"/>
      <c r="E110" s="88"/>
      <c r="F110" s="88"/>
    </row>
    <row r="111" spans="2:6" ht="18.75" customHeight="1">
      <c r="B111" s="43"/>
      <c r="C111" s="34"/>
      <c r="D111" s="34"/>
      <c r="E111" s="88"/>
      <c r="F111" s="88"/>
    </row>
    <row r="112" spans="2:6" ht="18.75" customHeight="1">
      <c r="B112" s="43"/>
      <c r="C112" s="34"/>
      <c r="D112" s="34"/>
      <c r="E112" s="88"/>
      <c r="F112" s="88"/>
    </row>
    <row r="113" spans="2:6" ht="18.75" customHeight="1">
      <c r="B113" s="43"/>
      <c r="C113" s="34"/>
      <c r="D113" s="34"/>
      <c r="E113" s="88"/>
      <c r="F113" s="88"/>
    </row>
    <row r="114" spans="2:6" ht="18.75" customHeight="1">
      <c r="B114" s="43"/>
      <c r="C114" s="34"/>
      <c r="D114" s="34"/>
      <c r="E114" s="88"/>
      <c r="F114" s="88"/>
    </row>
    <row r="115" spans="2:6" ht="18.75" customHeight="1">
      <c r="B115" s="43"/>
      <c r="C115" s="34"/>
      <c r="D115" s="34"/>
      <c r="E115" s="88"/>
      <c r="F115" s="88"/>
    </row>
    <row r="116" spans="2:6" ht="18.75" customHeight="1">
      <c r="B116" s="43"/>
      <c r="C116" s="34"/>
      <c r="D116" s="34"/>
      <c r="E116" s="88"/>
      <c r="F116" s="88"/>
    </row>
    <row r="117" spans="2:6" ht="18.75" customHeight="1">
      <c r="B117" s="43"/>
      <c r="C117" s="34"/>
      <c r="D117" s="34"/>
      <c r="E117" s="88"/>
      <c r="F117" s="88"/>
    </row>
    <row r="118" spans="2:6" ht="18.75" customHeight="1">
      <c r="B118" s="43"/>
      <c r="C118" s="34"/>
      <c r="D118" s="34"/>
      <c r="E118" s="88"/>
      <c r="F118" s="88"/>
    </row>
    <row r="119" spans="2:6" ht="18.75" customHeight="1">
      <c r="B119" s="43"/>
      <c r="C119" s="34"/>
      <c r="D119" s="34"/>
      <c r="E119" s="88"/>
      <c r="F119" s="88"/>
    </row>
    <row r="120" spans="2:6" ht="18.75" customHeight="1">
      <c r="B120" s="43"/>
      <c r="C120" s="34"/>
      <c r="D120" s="34"/>
      <c r="E120" s="88"/>
      <c r="F120" s="88"/>
    </row>
    <row r="121" spans="2:6" ht="18.75" customHeight="1">
      <c r="B121" s="43"/>
      <c r="C121" s="34"/>
      <c r="D121" s="34"/>
      <c r="E121" s="88"/>
      <c r="F121" s="88"/>
    </row>
    <row r="122" spans="2:6" ht="18.75" customHeight="1">
      <c r="B122" s="43"/>
      <c r="C122" s="34"/>
      <c r="D122" s="34"/>
      <c r="E122" s="88"/>
      <c r="F122" s="88"/>
    </row>
    <row r="123" spans="2:6" ht="18.75" customHeight="1">
      <c r="B123" s="43"/>
      <c r="C123" s="34"/>
      <c r="D123" s="34"/>
      <c r="E123" s="88"/>
      <c r="F123" s="88"/>
    </row>
    <row r="124" spans="2:6" ht="18.75" customHeight="1">
      <c r="B124" s="43"/>
      <c r="C124" s="34"/>
      <c r="D124" s="34"/>
      <c r="E124" s="88"/>
      <c r="F124" s="88"/>
    </row>
    <row r="125" spans="2:6" ht="18.75" customHeight="1">
      <c r="B125" s="43"/>
      <c r="C125" s="34"/>
      <c r="D125" s="34"/>
      <c r="E125" s="88"/>
      <c r="F125" s="88"/>
    </row>
    <row r="126" spans="2:6" ht="18.75" customHeight="1">
      <c r="B126" s="43"/>
      <c r="C126" s="34"/>
      <c r="D126" s="34"/>
      <c r="E126" s="88"/>
      <c r="F126" s="88"/>
    </row>
    <row r="127" spans="2:6" ht="18.75" customHeight="1">
      <c r="B127" s="43"/>
      <c r="C127" s="34"/>
      <c r="D127" s="34"/>
      <c r="E127" s="88"/>
      <c r="F127" s="88"/>
    </row>
    <row r="128" spans="2:6" ht="18.75" customHeight="1">
      <c r="B128" s="43"/>
      <c r="C128" s="34"/>
      <c r="D128" s="34"/>
      <c r="E128" s="88"/>
      <c r="F128" s="88"/>
    </row>
    <row r="129" spans="2:6" ht="18.75" customHeight="1">
      <c r="B129" s="43"/>
      <c r="C129" s="34"/>
      <c r="D129" s="34"/>
      <c r="E129" s="88"/>
      <c r="F129" s="88"/>
    </row>
    <row r="130" spans="2:6" ht="18.75" customHeight="1">
      <c r="B130" s="43"/>
      <c r="C130" s="34"/>
      <c r="D130" s="34"/>
      <c r="E130" s="88"/>
      <c r="F130" s="88"/>
    </row>
    <row r="131" spans="2:6" ht="18.75" customHeight="1">
      <c r="B131" s="43"/>
      <c r="C131" s="34"/>
      <c r="D131" s="34"/>
      <c r="E131" s="88"/>
      <c r="F131" s="88"/>
    </row>
    <row r="132" spans="2:6" ht="18.75" customHeight="1">
      <c r="B132" s="43"/>
      <c r="C132" s="34"/>
      <c r="D132" s="34"/>
      <c r="E132" s="88"/>
      <c r="F132" s="88"/>
    </row>
    <row r="133" spans="2:6" ht="18.75" customHeight="1">
      <c r="B133" s="43"/>
      <c r="C133" s="34"/>
      <c r="D133" s="34"/>
      <c r="E133" s="88"/>
      <c r="F133" s="88"/>
    </row>
    <row r="134" spans="2:6" ht="18.75" customHeight="1">
      <c r="B134" s="43"/>
      <c r="C134" s="34"/>
      <c r="D134" s="34"/>
      <c r="E134" s="88"/>
      <c r="F134" s="88"/>
    </row>
    <row r="135" spans="2:6" ht="18.75" customHeight="1">
      <c r="B135" s="43"/>
      <c r="C135" s="34"/>
      <c r="D135" s="34"/>
      <c r="E135" s="88"/>
      <c r="F135" s="88"/>
    </row>
    <row r="136" spans="2:6" ht="18.75" customHeight="1">
      <c r="B136" s="43"/>
      <c r="C136" s="34"/>
      <c r="D136" s="34"/>
      <c r="E136" s="88"/>
      <c r="F136" s="88"/>
    </row>
    <row r="137" spans="2:6" ht="18.75" customHeight="1">
      <c r="B137" s="43"/>
      <c r="C137" s="34"/>
      <c r="D137" s="34"/>
      <c r="E137" s="88"/>
      <c r="F137" s="88"/>
    </row>
    <row r="138" spans="2:6" ht="18.75" customHeight="1">
      <c r="B138" s="43"/>
      <c r="C138" s="34"/>
      <c r="D138" s="34"/>
      <c r="E138" s="88"/>
      <c r="F138" s="88"/>
    </row>
    <row r="139" spans="2:6" ht="18.75" customHeight="1">
      <c r="B139" s="43"/>
      <c r="C139" s="34"/>
      <c r="D139" s="34"/>
      <c r="E139" s="88"/>
      <c r="F139" s="88"/>
    </row>
    <row r="140" spans="2:6" ht="18.75" customHeight="1">
      <c r="B140" s="43"/>
      <c r="C140" s="34"/>
      <c r="D140" s="34"/>
      <c r="E140" s="88"/>
      <c r="F140" s="88"/>
    </row>
    <row r="141" spans="2:6" ht="18.75" customHeight="1">
      <c r="B141" s="43"/>
      <c r="C141" s="34"/>
      <c r="D141" s="34"/>
      <c r="E141" s="88"/>
      <c r="F141" s="88"/>
    </row>
    <row r="142" spans="2:6" ht="18.75" customHeight="1">
      <c r="B142" s="43"/>
      <c r="C142" s="34"/>
      <c r="D142" s="34"/>
      <c r="E142" s="88"/>
      <c r="F142" s="88"/>
    </row>
    <row r="143" spans="2:6" ht="18.75" customHeight="1">
      <c r="B143" s="43"/>
      <c r="C143" s="34"/>
      <c r="D143" s="34"/>
      <c r="E143" s="88"/>
      <c r="F143" s="88"/>
    </row>
    <row r="144" spans="2:6" ht="18.75" customHeight="1">
      <c r="B144" s="43"/>
      <c r="C144" s="34"/>
      <c r="D144" s="34"/>
      <c r="E144" s="88"/>
      <c r="F144" s="88"/>
    </row>
    <row r="145" spans="2:6" ht="18.75" customHeight="1">
      <c r="B145" s="43"/>
      <c r="C145" s="34"/>
      <c r="D145" s="34"/>
      <c r="E145" s="88"/>
      <c r="F145" s="88"/>
    </row>
    <row r="146" spans="2:6" ht="18.75" customHeight="1">
      <c r="B146" s="43"/>
      <c r="C146" s="34"/>
      <c r="D146" s="34"/>
      <c r="E146" s="88"/>
      <c r="F146" s="88"/>
    </row>
    <row r="147" spans="2:6" ht="18.75" customHeight="1">
      <c r="B147" s="43"/>
      <c r="C147" s="34"/>
      <c r="D147" s="34"/>
      <c r="E147" s="88"/>
      <c r="F147" s="88"/>
    </row>
    <row r="148" spans="2:6" ht="18.75" customHeight="1">
      <c r="B148" s="43"/>
      <c r="C148" s="34"/>
      <c r="D148" s="34"/>
      <c r="E148" s="88"/>
      <c r="F148" s="88"/>
    </row>
    <row r="149" spans="2:6" ht="18.75" customHeight="1">
      <c r="B149" s="43"/>
      <c r="C149" s="34"/>
      <c r="D149" s="34"/>
      <c r="E149" s="88"/>
      <c r="F149" s="88"/>
    </row>
    <row r="150" spans="2:6" ht="18.75" customHeight="1">
      <c r="B150" s="43"/>
      <c r="C150" s="34"/>
      <c r="D150" s="34"/>
      <c r="E150" s="88"/>
      <c r="F150" s="88"/>
    </row>
    <row r="151" spans="2:6" ht="18.75" customHeight="1">
      <c r="B151" s="43"/>
      <c r="C151" s="34"/>
      <c r="D151" s="34"/>
      <c r="E151" s="88"/>
      <c r="F151" s="88"/>
    </row>
    <row r="152" spans="2:6" ht="18.75" customHeight="1">
      <c r="B152" s="43"/>
      <c r="C152" s="34"/>
      <c r="D152" s="34"/>
      <c r="E152" s="88"/>
      <c r="F152" s="88"/>
    </row>
    <row r="153" spans="2:6" ht="18.75" customHeight="1">
      <c r="B153" s="43"/>
      <c r="C153" s="34"/>
      <c r="D153" s="34"/>
      <c r="E153" s="88"/>
      <c r="F153" s="88"/>
    </row>
    <row r="154" spans="2:6" ht="18.75" customHeight="1">
      <c r="B154" s="43"/>
      <c r="C154" s="34"/>
      <c r="D154" s="34"/>
      <c r="E154" s="88"/>
      <c r="F154" s="88"/>
    </row>
    <row r="155" spans="2:6" ht="18.75" customHeight="1">
      <c r="B155" s="43"/>
      <c r="C155" s="34"/>
      <c r="D155" s="34"/>
      <c r="E155" s="88"/>
      <c r="F155" s="88"/>
    </row>
    <row r="156" spans="2:6" ht="18.75" customHeight="1">
      <c r="B156" s="43"/>
      <c r="C156" s="34"/>
      <c r="D156" s="34"/>
      <c r="E156" s="88"/>
      <c r="F156" s="88"/>
    </row>
    <row r="157" spans="2:6" ht="18.75" customHeight="1">
      <c r="B157" s="43"/>
      <c r="C157" s="34"/>
      <c r="D157" s="34"/>
      <c r="E157" s="88"/>
      <c r="F157" s="88"/>
    </row>
    <row r="158" spans="2:6" ht="18.75" customHeight="1">
      <c r="B158" s="43"/>
      <c r="C158" s="34"/>
      <c r="D158" s="34"/>
      <c r="E158" s="88"/>
      <c r="F158" s="88"/>
    </row>
    <row r="159" spans="2:6" ht="18.75" customHeight="1">
      <c r="B159" s="43"/>
      <c r="C159" s="34"/>
      <c r="D159" s="34"/>
      <c r="E159" s="88"/>
      <c r="F159" s="88"/>
    </row>
    <row r="160" spans="2:6" ht="18.75" customHeight="1">
      <c r="B160" s="43"/>
      <c r="C160" s="34"/>
      <c r="D160" s="34"/>
      <c r="E160" s="88"/>
      <c r="F160" s="88"/>
    </row>
    <row r="161" spans="2:6" ht="18.75" customHeight="1">
      <c r="B161" s="43"/>
      <c r="C161" s="34"/>
      <c r="D161" s="34"/>
      <c r="E161" s="88"/>
      <c r="F161" s="88"/>
    </row>
    <row r="162" spans="2:6" ht="18.75" customHeight="1">
      <c r="B162" s="43"/>
      <c r="C162" s="34"/>
      <c r="D162" s="34"/>
      <c r="E162" s="88"/>
      <c r="F162" s="88"/>
    </row>
    <row r="163" spans="2:6" ht="18.75" customHeight="1">
      <c r="B163" s="43"/>
      <c r="C163" s="34"/>
      <c r="D163" s="34"/>
      <c r="E163" s="88"/>
      <c r="F163" s="88"/>
    </row>
    <row r="164" spans="2:6" ht="18.75" customHeight="1">
      <c r="B164" s="43"/>
      <c r="C164" s="34"/>
      <c r="D164" s="34"/>
      <c r="E164" s="88"/>
      <c r="F164" s="88"/>
    </row>
    <row r="165" spans="2:6" ht="18.75" customHeight="1">
      <c r="B165" s="43"/>
      <c r="C165" s="34"/>
      <c r="D165" s="34"/>
      <c r="E165" s="88"/>
      <c r="F165" s="88"/>
    </row>
    <row r="166" spans="2:6" ht="18.75" customHeight="1">
      <c r="B166" s="43"/>
      <c r="C166" s="34"/>
      <c r="D166" s="34"/>
      <c r="E166" s="88"/>
      <c r="F166" s="88"/>
    </row>
    <row r="167" spans="2:6" ht="18.75" customHeight="1">
      <c r="B167" s="43"/>
      <c r="C167" s="34"/>
      <c r="D167" s="34"/>
      <c r="E167" s="88"/>
      <c r="F167" s="88"/>
    </row>
    <row r="168" spans="2:6" ht="18.75" customHeight="1">
      <c r="B168" s="43"/>
      <c r="C168" s="34"/>
      <c r="D168" s="34"/>
      <c r="E168" s="88"/>
      <c r="F168" s="88"/>
    </row>
    <row r="169" spans="2:6" ht="18.75" customHeight="1">
      <c r="B169" s="43"/>
      <c r="C169" s="34"/>
      <c r="D169" s="34"/>
      <c r="E169" s="88"/>
      <c r="F169" s="88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09"/>
  <sheetViews>
    <sheetView topLeftCell="A10" workbookViewId="0">
      <selection activeCell="B21" sqref="B21:B25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7.25" style="36" customWidth="1"/>
    <col min="4" max="4" width="14.5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1922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42</v>
      </c>
      <c r="D9" s="6" t="s">
        <v>1770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1938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1939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1940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1941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1942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1943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1944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1945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1946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1954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1958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1959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1960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1961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1771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1772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1858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1862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1866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1870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1874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993"/>
  <sheetViews>
    <sheetView topLeftCell="B4" workbookViewId="0">
      <pane xSplit="3" ySplit="7" topLeftCell="BG11" activePane="bottomRight" state="frozen"/>
      <selection activeCell="B4" sqref="B4"/>
      <selection pane="topRight" activeCell="E4" sqref="E4"/>
      <selection pane="bottomLeft" activeCell="B11" sqref="B11"/>
      <selection pane="bottomRight" activeCell="B13" sqref="B13"/>
    </sheetView>
  </sheetViews>
  <sheetFormatPr defaultColWidth="12.625" defaultRowHeight="15" customHeight="1"/>
  <cols>
    <col min="1" max="1" width="7.625" style="36" customWidth="1"/>
    <col min="2" max="2" width="10.25" style="44" customWidth="1"/>
    <col min="3" max="3" width="10.25" style="36" customWidth="1"/>
    <col min="4" max="4" width="29.875" style="36" customWidth="1"/>
    <col min="5" max="6" width="15.375" style="36" customWidth="1"/>
    <col min="7" max="9" width="15.125" style="36" customWidth="1"/>
    <col min="10" max="59" width="10.375" style="44" customWidth="1"/>
    <col min="60" max="60" width="33.875" style="36" customWidth="1"/>
    <col min="61" max="62" width="18.625" style="36" customWidth="1"/>
    <col min="63" max="63" width="31.75" style="36" customWidth="1"/>
    <col min="64" max="64" width="18.375" style="36" customWidth="1"/>
    <col min="65" max="65" width="18.625" style="36" customWidth="1"/>
    <col min="66" max="66" width="32" style="36" customWidth="1"/>
    <col min="67" max="67" width="18.375" style="36" customWidth="1"/>
    <col min="68" max="68" width="18.625" style="36" customWidth="1"/>
    <col min="69" max="69" width="34.625" style="36" customWidth="1"/>
    <col min="70" max="70" width="18.375" style="36" customWidth="1"/>
    <col min="71" max="71" width="18.625" style="36" customWidth="1"/>
    <col min="72" max="72" width="31.5" style="36" customWidth="1"/>
    <col min="73" max="74" width="12.625" style="36" customWidth="1"/>
    <col min="75" max="77" width="15.375" style="44" customWidth="1"/>
    <col min="78" max="78" width="15.5" style="44" customWidth="1"/>
    <col min="79" max="82" width="12.625" style="36" customWidth="1"/>
    <col min="83" max="83" width="15.5" style="44" customWidth="1"/>
    <col min="84" max="97" width="12.625" style="36" customWidth="1"/>
    <col min="98" max="16384" width="12.625" style="36"/>
  </cols>
  <sheetData>
    <row r="1" spans="1:118" ht="12" customHeight="1"/>
    <row r="2" spans="1:118" ht="40.5" customHeight="1">
      <c r="A2" s="55" t="s">
        <v>0</v>
      </c>
      <c r="B2" s="15" t="s">
        <v>45</v>
      </c>
      <c r="C2" s="13"/>
    </row>
    <row r="3" spans="1:118" ht="18.75" customHeight="1">
      <c r="A3" s="1"/>
      <c r="B3" s="45" t="s">
        <v>1</v>
      </c>
      <c r="C3" s="1"/>
      <c r="D3" s="1"/>
      <c r="E3" s="1"/>
      <c r="F3" s="1"/>
      <c r="G3" s="2"/>
      <c r="H3" s="2"/>
      <c r="I3" s="2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8"/>
      <c r="BC3" s="38"/>
      <c r="BD3" s="38"/>
      <c r="BE3" s="38"/>
      <c r="BF3" s="38"/>
      <c r="BG3" s="38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8"/>
      <c r="BX3" s="38"/>
      <c r="BY3" s="38"/>
      <c r="BZ3" s="38"/>
      <c r="CA3" s="2"/>
      <c r="CB3" s="2"/>
      <c r="CC3" s="2"/>
      <c r="CD3" s="2"/>
      <c r="CE3" s="38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55" t="s">
        <v>2</v>
      </c>
      <c r="B4" s="39" t="s">
        <v>3</v>
      </c>
      <c r="C4" s="3" t="s">
        <v>46</v>
      </c>
      <c r="D4" s="3" t="s">
        <v>15</v>
      </c>
      <c r="E4" s="3" t="s">
        <v>1948</v>
      </c>
      <c r="F4" s="3" t="s">
        <v>1951</v>
      </c>
      <c r="G4" s="3" t="s">
        <v>224</v>
      </c>
      <c r="H4" s="3" t="s">
        <v>1273</v>
      </c>
      <c r="I4" s="3" t="s">
        <v>2004</v>
      </c>
      <c r="J4" s="39" t="s">
        <v>1928</v>
      </c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9" t="s">
        <v>1929</v>
      </c>
      <c r="BX4" s="39"/>
      <c r="BY4" s="39"/>
      <c r="BZ4" s="39" t="s">
        <v>1930</v>
      </c>
      <c r="CA4" s="3"/>
      <c r="CB4" s="3"/>
      <c r="CC4" s="3"/>
      <c r="CD4" s="3"/>
      <c r="CE4" s="39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55" t="s">
        <v>4</v>
      </c>
      <c r="B5" s="39"/>
      <c r="C5" s="3"/>
      <c r="D5" s="3"/>
      <c r="E5" s="3"/>
      <c r="F5" s="3"/>
      <c r="G5" s="3"/>
      <c r="H5" s="3"/>
      <c r="I5" s="3"/>
      <c r="J5" s="39">
        <v>1</v>
      </c>
      <c r="K5" s="39"/>
      <c r="L5" s="39"/>
      <c r="M5" s="39"/>
      <c r="N5" s="39"/>
      <c r="O5" s="39"/>
      <c r="P5" s="39"/>
      <c r="Q5" s="39"/>
      <c r="R5" s="39"/>
      <c r="S5" s="39"/>
      <c r="T5" s="39">
        <v>2</v>
      </c>
      <c r="U5" s="39"/>
      <c r="V5" s="39"/>
      <c r="W5" s="39"/>
      <c r="X5" s="39"/>
      <c r="Y5" s="39"/>
      <c r="Z5" s="39"/>
      <c r="AA5" s="39"/>
      <c r="AB5" s="39"/>
      <c r="AC5" s="39"/>
      <c r="AD5" s="39">
        <v>3</v>
      </c>
      <c r="AE5" s="39"/>
      <c r="AF5" s="39"/>
      <c r="AG5" s="39"/>
      <c r="AH5" s="39"/>
      <c r="AI5" s="39"/>
      <c r="AJ5" s="39"/>
      <c r="AK5" s="39"/>
      <c r="AL5" s="39"/>
      <c r="AM5" s="39"/>
      <c r="AN5" s="39">
        <v>4</v>
      </c>
      <c r="AO5" s="39"/>
      <c r="AP5" s="39"/>
      <c r="AQ5" s="39"/>
      <c r="AR5" s="39"/>
      <c r="AS5" s="39"/>
      <c r="AT5" s="39"/>
      <c r="AU5" s="39"/>
      <c r="AV5" s="39"/>
      <c r="AW5" s="39"/>
      <c r="AX5" s="39">
        <v>5</v>
      </c>
      <c r="AY5" s="39"/>
      <c r="AZ5" s="39"/>
      <c r="BA5" s="39"/>
      <c r="BB5" s="39"/>
      <c r="BC5" s="39"/>
      <c r="BD5" s="39"/>
      <c r="BE5" s="39"/>
      <c r="BF5" s="39"/>
      <c r="BG5" s="39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9">
        <v>1</v>
      </c>
      <c r="BX5" s="39"/>
      <c r="BY5" s="39"/>
      <c r="BZ5" s="39">
        <v>1</v>
      </c>
      <c r="CA5" s="3"/>
      <c r="CB5" s="3"/>
      <c r="CC5" s="3"/>
      <c r="CD5" s="3"/>
      <c r="CE5" s="39">
        <v>2</v>
      </c>
      <c r="CF5" s="3"/>
      <c r="CG5" s="3"/>
      <c r="CH5" s="3"/>
      <c r="CI5" s="3"/>
      <c r="CJ5" s="39">
        <v>3</v>
      </c>
      <c r="CK5" s="3"/>
      <c r="CL5" s="3"/>
      <c r="CM5" s="3"/>
      <c r="CN5" s="3"/>
      <c r="CO5" s="39">
        <v>4</v>
      </c>
      <c r="CP5" s="3"/>
      <c r="CQ5" s="3"/>
      <c r="CR5" s="3"/>
      <c r="CS5" s="3"/>
      <c r="CT5" s="39">
        <v>4</v>
      </c>
      <c r="CU5" s="3"/>
      <c r="CV5" s="3"/>
      <c r="CW5" s="3"/>
      <c r="CX5" s="3"/>
      <c r="CY5" s="39">
        <v>5</v>
      </c>
      <c r="CZ5" s="3"/>
      <c r="DA5" s="3"/>
      <c r="DB5" s="3"/>
      <c r="DC5" s="3"/>
      <c r="DD5" s="39">
        <v>6</v>
      </c>
      <c r="DE5" s="3"/>
      <c r="DF5" s="3"/>
      <c r="DG5" s="3"/>
      <c r="DH5" s="3"/>
      <c r="DI5" s="39">
        <v>7</v>
      </c>
      <c r="DJ5" s="3"/>
      <c r="DK5" s="3"/>
      <c r="DL5" s="3"/>
      <c r="DM5" s="3"/>
      <c r="DN5" s="3"/>
    </row>
    <row r="6" spans="1:118" ht="18.75" customHeight="1">
      <c r="A6" s="55" t="s">
        <v>5</v>
      </c>
      <c r="B6" s="39"/>
      <c r="C6" s="3"/>
      <c r="D6" s="3"/>
      <c r="E6" s="3"/>
      <c r="F6" s="3"/>
      <c r="G6" s="3"/>
      <c r="H6" s="3"/>
      <c r="I6" s="3"/>
      <c r="J6" s="39">
        <v>1</v>
      </c>
      <c r="K6" s="39"/>
      <c r="L6" s="39">
        <v>2</v>
      </c>
      <c r="M6" s="39"/>
      <c r="N6" s="39">
        <v>3</v>
      </c>
      <c r="O6" s="39"/>
      <c r="P6" s="39">
        <v>4</v>
      </c>
      <c r="Q6" s="39"/>
      <c r="R6" s="39">
        <v>5</v>
      </c>
      <c r="S6" s="39"/>
      <c r="T6" s="39">
        <v>1</v>
      </c>
      <c r="U6" s="39"/>
      <c r="V6" s="39">
        <v>2</v>
      </c>
      <c r="W6" s="39"/>
      <c r="X6" s="39">
        <v>3</v>
      </c>
      <c r="Y6" s="39"/>
      <c r="Z6" s="39">
        <v>4</v>
      </c>
      <c r="AA6" s="39"/>
      <c r="AB6" s="39">
        <v>5</v>
      </c>
      <c r="AC6" s="39"/>
      <c r="AD6" s="39">
        <v>1</v>
      </c>
      <c r="AE6" s="39"/>
      <c r="AF6" s="39">
        <v>2</v>
      </c>
      <c r="AG6" s="39"/>
      <c r="AH6" s="39">
        <v>3</v>
      </c>
      <c r="AI6" s="39"/>
      <c r="AJ6" s="39">
        <v>4</v>
      </c>
      <c r="AK6" s="39"/>
      <c r="AL6" s="39">
        <v>5</v>
      </c>
      <c r="AM6" s="39"/>
      <c r="AN6" s="39">
        <v>1</v>
      </c>
      <c r="AO6" s="39"/>
      <c r="AP6" s="39">
        <v>2</v>
      </c>
      <c r="AQ6" s="39"/>
      <c r="AR6" s="39">
        <v>3</v>
      </c>
      <c r="AS6" s="39"/>
      <c r="AT6" s="39">
        <v>4</v>
      </c>
      <c r="AU6" s="39"/>
      <c r="AV6" s="39">
        <v>5</v>
      </c>
      <c r="AW6" s="39"/>
      <c r="AX6" s="39">
        <v>1</v>
      </c>
      <c r="AY6" s="39"/>
      <c r="AZ6" s="39">
        <v>2</v>
      </c>
      <c r="BA6" s="39"/>
      <c r="BB6" s="39">
        <v>3</v>
      </c>
      <c r="BC6" s="39"/>
      <c r="BD6" s="39">
        <v>4</v>
      </c>
      <c r="BE6" s="39"/>
      <c r="BF6" s="39">
        <v>5</v>
      </c>
      <c r="BG6" s="39"/>
      <c r="BH6" s="3" t="s">
        <v>179</v>
      </c>
      <c r="BI6" s="3" t="s">
        <v>180</v>
      </c>
      <c r="BJ6" s="3" t="s">
        <v>220</v>
      </c>
      <c r="BK6" s="3" t="s">
        <v>179</v>
      </c>
      <c r="BL6" s="3" t="s">
        <v>180</v>
      </c>
      <c r="BM6" s="3" t="s">
        <v>220</v>
      </c>
      <c r="BN6" s="3" t="s">
        <v>179</v>
      </c>
      <c r="BO6" s="3" t="s">
        <v>180</v>
      </c>
      <c r="BP6" s="3" t="s">
        <v>220</v>
      </c>
      <c r="BQ6" s="3" t="s">
        <v>179</v>
      </c>
      <c r="BR6" s="3" t="s">
        <v>180</v>
      </c>
      <c r="BS6" s="3" t="s">
        <v>220</v>
      </c>
      <c r="BT6" s="3" t="s">
        <v>179</v>
      </c>
      <c r="BU6" s="3" t="s">
        <v>180</v>
      </c>
      <c r="BV6" s="3" t="s">
        <v>220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1932</v>
      </c>
      <c r="CD6" s="3" t="s">
        <v>1936</v>
      </c>
      <c r="CE6" s="3" t="s">
        <v>28</v>
      </c>
      <c r="CF6" s="3" t="s">
        <v>29</v>
      </c>
      <c r="CG6" s="3" t="s">
        <v>31</v>
      </c>
      <c r="CH6" s="3" t="s">
        <v>1932</v>
      </c>
      <c r="CI6" s="3" t="s">
        <v>1936</v>
      </c>
      <c r="CJ6" s="3" t="s">
        <v>28</v>
      </c>
      <c r="CK6" s="3" t="s">
        <v>29</v>
      </c>
      <c r="CL6" s="3" t="s">
        <v>31</v>
      </c>
      <c r="CM6" s="3" t="s">
        <v>1932</v>
      </c>
      <c r="CN6" s="3" t="s">
        <v>1936</v>
      </c>
      <c r="CO6" s="3" t="s">
        <v>28</v>
      </c>
      <c r="CP6" s="3" t="s">
        <v>29</v>
      </c>
      <c r="CQ6" s="3" t="s">
        <v>31</v>
      </c>
      <c r="CR6" s="3" t="s">
        <v>1932</v>
      </c>
      <c r="CS6" s="3" t="s">
        <v>1936</v>
      </c>
      <c r="CT6" s="3" t="s">
        <v>28</v>
      </c>
      <c r="CU6" s="3" t="s">
        <v>29</v>
      </c>
      <c r="CV6" s="3" t="s">
        <v>31</v>
      </c>
      <c r="CW6" s="3" t="s">
        <v>1932</v>
      </c>
      <c r="CX6" s="3" t="s">
        <v>1936</v>
      </c>
      <c r="CY6" s="3" t="s">
        <v>28</v>
      </c>
      <c r="CZ6" s="3" t="s">
        <v>29</v>
      </c>
      <c r="DA6" s="3" t="s">
        <v>31</v>
      </c>
      <c r="DB6" s="3" t="s">
        <v>1932</v>
      </c>
      <c r="DC6" s="3" t="s">
        <v>1936</v>
      </c>
      <c r="DD6" s="3" t="s">
        <v>28</v>
      </c>
      <c r="DE6" s="3" t="s">
        <v>29</v>
      </c>
      <c r="DF6" s="3" t="s">
        <v>31</v>
      </c>
      <c r="DG6" s="3" t="s">
        <v>1932</v>
      </c>
      <c r="DH6" s="3" t="s">
        <v>1936</v>
      </c>
      <c r="DI6" s="3" t="s">
        <v>28</v>
      </c>
      <c r="DJ6" s="3" t="s">
        <v>29</v>
      </c>
      <c r="DK6" s="3" t="s">
        <v>31</v>
      </c>
      <c r="DL6" s="3" t="s">
        <v>1932</v>
      </c>
      <c r="DM6" s="3" t="s">
        <v>1936</v>
      </c>
      <c r="DN6" s="3"/>
    </row>
    <row r="7" spans="1:118" ht="18.75" customHeight="1">
      <c r="A7" s="55" t="s">
        <v>1922</v>
      </c>
      <c r="B7" s="39"/>
      <c r="C7" s="3"/>
      <c r="D7" s="3"/>
      <c r="E7" s="3"/>
      <c r="F7" s="3"/>
      <c r="G7" s="3"/>
      <c r="H7" s="3"/>
      <c r="I7" s="3"/>
      <c r="J7" s="39" t="s">
        <v>1923</v>
      </c>
      <c r="K7" s="39" t="s">
        <v>1924</v>
      </c>
      <c r="L7" s="39" t="s">
        <v>1923</v>
      </c>
      <c r="M7" s="39" t="s">
        <v>1924</v>
      </c>
      <c r="N7" s="39" t="s">
        <v>1923</v>
      </c>
      <c r="O7" s="39" t="s">
        <v>1924</v>
      </c>
      <c r="P7" s="39" t="s">
        <v>1923</v>
      </c>
      <c r="Q7" s="39" t="s">
        <v>1924</v>
      </c>
      <c r="R7" s="39" t="s">
        <v>1923</v>
      </c>
      <c r="S7" s="39" t="s">
        <v>1924</v>
      </c>
      <c r="T7" s="39" t="s">
        <v>1923</v>
      </c>
      <c r="U7" s="39" t="s">
        <v>1924</v>
      </c>
      <c r="V7" s="39" t="s">
        <v>1923</v>
      </c>
      <c r="W7" s="39" t="s">
        <v>1924</v>
      </c>
      <c r="X7" s="39" t="s">
        <v>1923</v>
      </c>
      <c r="Y7" s="39" t="s">
        <v>1924</v>
      </c>
      <c r="Z7" s="39" t="s">
        <v>1923</v>
      </c>
      <c r="AA7" s="39" t="s">
        <v>1924</v>
      </c>
      <c r="AB7" s="39" t="s">
        <v>1923</v>
      </c>
      <c r="AC7" s="39" t="s">
        <v>1924</v>
      </c>
      <c r="AD7" s="39" t="s">
        <v>1923</v>
      </c>
      <c r="AE7" s="39" t="s">
        <v>1924</v>
      </c>
      <c r="AF7" s="39" t="s">
        <v>1923</v>
      </c>
      <c r="AG7" s="39" t="s">
        <v>1924</v>
      </c>
      <c r="AH7" s="39" t="s">
        <v>1923</v>
      </c>
      <c r="AI7" s="39" t="s">
        <v>1924</v>
      </c>
      <c r="AJ7" s="39" t="s">
        <v>1923</v>
      </c>
      <c r="AK7" s="39" t="s">
        <v>1924</v>
      </c>
      <c r="AL7" s="39" t="s">
        <v>1923</v>
      </c>
      <c r="AM7" s="39" t="s">
        <v>1924</v>
      </c>
      <c r="AN7" s="39" t="s">
        <v>125</v>
      </c>
      <c r="AO7" s="39" t="s">
        <v>97</v>
      </c>
      <c r="AP7" s="39" t="s">
        <v>125</v>
      </c>
      <c r="AQ7" s="39" t="s">
        <v>97</v>
      </c>
      <c r="AR7" s="39" t="s">
        <v>125</v>
      </c>
      <c r="AS7" s="39" t="s">
        <v>97</v>
      </c>
      <c r="AT7" s="39" t="s">
        <v>125</v>
      </c>
      <c r="AU7" s="39" t="s">
        <v>97</v>
      </c>
      <c r="AV7" s="39" t="s">
        <v>125</v>
      </c>
      <c r="AW7" s="39" t="s">
        <v>97</v>
      </c>
      <c r="AX7" s="39" t="s">
        <v>125</v>
      </c>
      <c r="AY7" s="39" t="s">
        <v>97</v>
      </c>
      <c r="AZ7" s="39" t="s">
        <v>125</v>
      </c>
      <c r="BA7" s="39" t="s">
        <v>97</v>
      </c>
      <c r="BB7" s="39" t="s">
        <v>125</v>
      </c>
      <c r="BC7" s="39" t="s">
        <v>97</v>
      </c>
      <c r="BD7" s="39" t="s">
        <v>125</v>
      </c>
      <c r="BE7" s="39" t="s">
        <v>97</v>
      </c>
      <c r="BF7" s="39" t="s">
        <v>125</v>
      </c>
      <c r="BG7" s="39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9"/>
      <c r="CA7" s="3"/>
      <c r="CB7" s="3"/>
      <c r="CC7" s="3"/>
      <c r="CD7" s="3"/>
      <c r="CE7" s="39"/>
      <c r="CF7" s="3"/>
      <c r="CG7" s="3"/>
      <c r="CH7" s="3"/>
      <c r="CI7" s="3"/>
      <c r="CJ7" s="39"/>
      <c r="CK7" s="3"/>
      <c r="CL7" s="3"/>
      <c r="CM7" s="3"/>
      <c r="CN7" s="3"/>
      <c r="CO7" s="39"/>
      <c r="CP7" s="3"/>
      <c r="CQ7" s="3"/>
      <c r="CR7" s="3"/>
      <c r="CS7" s="3"/>
      <c r="CT7" s="39"/>
      <c r="CU7" s="3"/>
      <c r="CV7" s="3"/>
      <c r="CW7" s="3"/>
      <c r="CX7" s="3"/>
      <c r="CY7" s="39"/>
      <c r="CZ7" s="3"/>
      <c r="DA7" s="3"/>
      <c r="DB7" s="3"/>
      <c r="DC7" s="3"/>
      <c r="DD7" s="39"/>
      <c r="DE7" s="3"/>
      <c r="DF7" s="3"/>
      <c r="DG7" s="3"/>
      <c r="DH7" s="3"/>
      <c r="DI7" s="39"/>
      <c r="DJ7" s="3"/>
      <c r="DK7" s="3"/>
      <c r="DL7" s="3"/>
      <c r="DM7" s="3"/>
      <c r="DN7" s="3"/>
    </row>
    <row r="8" spans="1:118" ht="18.75" customHeight="1">
      <c r="A8" s="55" t="s">
        <v>6</v>
      </c>
      <c r="B8" s="40" t="s">
        <v>7</v>
      </c>
      <c r="C8" s="4" t="s">
        <v>20</v>
      </c>
      <c r="D8" s="4" t="s">
        <v>8</v>
      </c>
      <c r="E8" s="4" t="s">
        <v>1935</v>
      </c>
      <c r="F8" s="4" t="s">
        <v>1952</v>
      </c>
      <c r="G8" s="4" t="s">
        <v>20</v>
      </c>
      <c r="H8" s="4" t="s">
        <v>20</v>
      </c>
      <c r="I8" s="4" t="s">
        <v>2005</v>
      </c>
      <c r="J8" s="40" t="s">
        <v>20</v>
      </c>
      <c r="K8" s="40" t="s">
        <v>7</v>
      </c>
      <c r="L8" s="40" t="s">
        <v>7</v>
      </c>
      <c r="M8" s="40" t="s">
        <v>7</v>
      </c>
      <c r="N8" s="40" t="s">
        <v>7</v>
      </c>
      <c r="O8" s="40" t="s">
        <v>7</v>
      </c>
      <c r="P8" s="40" t="s">
        <v>7</v>
      </c>
      <c r="Q8" s="40" t="s">
        <v>7</v>
      </c>
      <c r="R8" s="40" t="s">
        <v>7</v>
      </c>
      <c r="S8" s="40" t="s">
        <v>7</v>
      </c>
      <c r="T8" s="40" t="s">
        <v>20</v>
      </c>
      <c r="U8" s="40" t="s">
        <v>7</v>
      </c>
      <c r="V8" s="40" t="s">
        <v>7</v>
      </c>
      <c r="W8" s="40" t="s">
        <v>7</v>
      </c>
      <c r="X8" s="40" t="s">
        <v>7</v>
      </c>
      <c r="Y8" s="40" t="s">
        <v>7</v>
      </c>
      <c r="Z8" s="40" t="s">
        <v>7</v>
      </c>
      <c r="AA8" s="40" t="s">
        <v>7</v>
      </c>
      <c r="AB8" s="40" t="s">
        <v>7</v>
      </c>
      <c r="AC8" s="40" t="s">
        <v>7</v>
      </c>
      <c r="AD8" s="40" t="s">
        <v>20</v>
      </c>
      <c r="AE8" s="40" t="s">
        <v>7</v>
      </c>
      <c r="AF8" s="40" t="s">
        <v>7</v>
      </c>
      <c r="AG8" s="40" t="s">
        <v>7</v>
      </c>
      <c r="AH8" s="40" t="s">
        <v>7</v>
      </c>
      <c r="AI8" s="40" t="s">
        <v>7</v>
      </c>
      <c r="AJ8" s="40" t="s">
        <v>7</v>
      </c>
      <c r="AK8" s="40" t="s">
        <v>7</v>
      </c>
      <c r="AL8" s="40" t="s">
        <v>7</v>
      </c>
      <c r="AM8" s="40" t="s">
        <v>7</v>
      </c>
      <c r="AN8" s="40" t="s">
        <v>20</v>
      </c>
      <c r="AO8" s="40" t="s">
        <v>7</v>
      </c>
      <c r="AP8" s="40" t="s">
        <v>7</v>
      </c>
      <c r="AQ8" s="40" t="s">
        <v>7</v>
      </c>
      <c r="AR8" s="40" t="s">
        <v>7</v>
      </c>
      <c r="AS8" s="40" t="s">
        <v>7</v>
      </c>
      <c r="AT8" s="40" t="s">
        <v>7</v>
      </c>
      <c r="AU8" s="40" t="s">
        <v>7</v>
      </c>
      <c r="AV8" s="40" t="s">
        <v>7</v>
      </c>
      <c r="AW8" s="40" t="s">
        <v>7</v>
      </c>
      <c r="AX8" s="40" t="s">
        <v>20</v>
      </c>
      <c r="AY8" s="40" t="s">
        <v>7</v>
      </c>
      <c r="AZ8" s="40" t="s">
        <v>7</v>
      </c>
      <c r="BA8" s="40" t="s">
        <v>7</v>
      </c>
      <c r="BB8" s="40" t="s">
        <v>7</v>
      </c>
      <c r="BC8" s="40" t="s">
        <v>7</v>
      </c>
      <c r="BD8" s="40" t="s">
        <v>7</v>
      </c>
      <c r="BE8" s="40" t="s">
        <v>7</v>
      </c>
      <c r="BF8" s="40" t="s">
        <v>7</v>
      </c>
      <c r="BG8" s="40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1935</v>
      </c>
      <c r="CD8" s="4" t="s">
        <v>1933</v>
      </c>
      <c r="CE8" s="4" t="s">
        <v>20</v>
      </c>
      <c r="CF8" s="4" t="s">
        <v>7</v>
      </c>
      <c r="CG8" s="4" t="s">
        <v>7</v>
      </c>
      <c r="CH8" s="4" t="s">
        <v>1935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1935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1935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1935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1935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1935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1935</v>
      </c>
      <c r="DM8" s="4" t="s">
        <v>20</v>
      </c>
      <c r="DN8" s="4"/>
    </row>
    <row r="9" spans="1:118" ht="42" customHeight="1">
      <c r="A9" s="55" t="s">
        <v>10</v>
      </c>
      <c r="B9" s="37" t="s">
        <v>11</v>
      </c>
      <c r="C9" s="5" t="s">
        <v>47</v>
      </c>
      <c r="D9" s="5" t="s">
        <v>48</v>
      </c>
      <c r="E9" s="6" t="s">
        <v>1947</v>
      </c>
      <c r="F9" s="6" t="s">
        <v>1949</v>
      </c>
      <c r="G9" s="5" t="s">
        <v>225</v>
      </c>
      <c r="H9" s="5" t="s">
        <v>1274</v>
      </c>
      <c r="I9" s="5" t="s">
        <v>2006</v>
      </c>
      <c r="J9" s="41" t="s">
        <v>126</v>
      </c>
      <c r="K9" s="41" t="s">
        <v>1925</v>
      </c>
      <c r="L9" s="41" t="s">
        <v>1926</v>
      </c>
      <c r="M9" s="41" t="s">
        <v>1925</v>
      </c>
      <c r="N9" s="41" t="s">
        <v>1926</v>
      </c>
      <c r="O9" s="41" t="s">
        <v>1925</v>
      </c>
      <c r="P9" s="41" t="s">
        <v>1926</v>
      </c>
      <c r="Q9" s="41" t="s">
        <v>1925</v>
      </c>
      <c r="R9" s="41" t="s">
        <v>1926</v>
      </c>
      <c r="S9" s="41" t="s">
        <v>1925</v>
      </c>
      <c r="T9" s="41" t="s">
        <v>126</v>
      </c>
      <c r="U9" s="41" t="s">
        <v>1925</v>
      </c>
      <c r="V9" s="41" t="s">
        <v>1926</v>
      </c>
      <c r="W9" s="41" t="s">
        <v>1925</v>
      </c>
      <c r="X9" s="41" t="s">
        <v>1926</v>
      </c>
      <c r="Y9" s="41" t="s">
        <v>1925</v>
      </c>
      <c r="Z9" s="41" t="s">
        <v>1926</v>
      </c>
      <c r="AA9" s="41" t="s">
        <v>1925</v>
      </c>
      <c r="AB9" s="41" t="s">
        <v>1926</v>
      </c>
      <c r="AC9" s="41" t="s">
        <v>1925</v>
      </c>
      <c r="AD9" s="41" t="s">
        <v>126</v>
      </c>
      <c r="AE9" s="41" t="s">
        <v>1925</v>
      </c>
      <c r="AF9" s="41" t="s">
        <v>1926</v>
      </c>
      <c r="AG9" s="41" t="s">
        <v>1925</v>
      </c>
      <c r="AH9" s="41" t="s">
        <v>1926</v>
      </c>
      <c r="AI9" s="41" t="s">
        <v>1925</v>
      </c>
      <c r="AJ9" s="41" t="s">
        <v>1926</v>
      </c>
      <c r="AK9" s="41" t="s">
        <v>1925</v>
      </c>
      <c r="AL9" s="41" t="s">
        <v>1926</v>
      </c>
      <c r="AM9" s="41" t="s">
        <v>1925</v>
      </c>
      <c r="AN9" s="41" t="s">
        <v>126</v>
      </c>
      <c r="AO9" s="41" t="s">
        <v>98</v>
      </c>
      <c r="AP9" s="41" t="s">
        <v>126</v>
      </c>
      <c r="AQ9" s="41" t="s">
        <v>98</v>
      </c>
      <c r="AR9" s="41" t="s">
        <v>126</v>
      </c>
      <c r="AS9" s="41" t="s">
        <v>98</v>
      </c>
      <c r="AT9" s="41" t="s">
        <v>126</v>
      </c>
      <c r="AU9" s="41" t="s">
        <v>98</v>
      </c>
      <c r="AV9" s="41" t="s">
        <v>126</v>
      </c>
      <c r="AW9" s="41" t="s">
        <v>98</v>
      </c>
      <c r="AX9" s="41" t="s">
        <v>126</v>
      </c>
      <c r="AY9" s="41" t="s">
        <v>98</v>
      </c>
      <c r="AZ9" s="41" t="s">
        <v>126</v>
      </c>
      <c r="BA9" s="41" t="s">
        <v>98</v>
      </c>
      <c r="BB9" s="41" t="s">
        <v>126</v>
      </c>
      <c r="BC9" s="41" t="s">
        <v>98</v>
      </c>
      <c r="BD9" s="41" t="s">
        <v>126</v>
      </c>
      <c r="BE9" s="41" t="s">
        <v>98</v>
      </c>
      <c r="BF9" s="41" t="s">
        <v>126</v>
      </c>
      <c r="BG9" s="41" t="s">
        <v>98</v>
      </c>
      <c r="BH9" s="6" t="s">
        <v>182</v>
      </c>
      <c r="BI9" s="6" t="s">
        <v>183</v>
      </c>
      <c r="BJ9" s="6" t="s">
        <v>221</v>
      </c>
      <c r="BK9" s="6" t="s">
        <v>182</v>
      </c>
      <c r="BL9" s="6" t="s">
        <v>183</v>
      </c>
      <c r="BM9" s="6" t="s">
        <v>221</v>
      </c>
      <c r="BN9" s="6" t="s">
        <v>182</v>
      </c>
      <c r="BO9" s="6" t="s">
        <v>183</v>
      </c>
      <c r="BP9" s="6" t="s">
        <v>221</v>
      </c>
      <c r="BQ9" s="6" t="s">
        <v>182</v>
      </c>
      <c r="BR9" s="6" t="s">
        <v>183</v>
      </c>
      <c r="BS9" s="6" t="s">
        <v>221</v>
      </c>
      <c r="BT9" s="6" t="s">
        <v>182</v>
      </c>
      <c r="BU9" s="6" t="s">
        <v>183</v>
      </c>
      <c r="BV9" s="6" t="s">
        <v>221</v>
      </c>
      <c r="BW9" s="6" t="s">
        <v>1931</v>
      </c>
      <c r="BX9" s="6" t="s">
        <v>118</v>
      </c>
      <c r="BY9" s="5" t="s">
        <v>32</v>
      </c>
      <c r="BZ9" s="6" t="s">
        <v>1931</v>
      </c>
      <c r="CA9" s="6" t="s">
        <v>118</v>
      </c>
      <c r="CB9" s="5" t="s">
        <v>32</v>
      </c>
      <c r="CC9" s="5" t="s">
        <v>1934</v>
      </c>
      <c r="CD9" s="5" t="s">
        <v>1937</v>
      </c>
      <c r="CE9" s="6" t="s">
        <v>1931</v>
      </c>
      <c r="CF9" s="6" t="s">
        <v>118</v>
      </c>
      <c r="CG9" s="5" t="s">
        <v>32</v>
      </c>
      <c r="CH9" s="5" t="s">
        <v>1934</v>
      </c>
      <c r="CI9" s="5" t="s">
        <v>1937</v>
      </c>
      <c r="CJ9" s="6" t="s">
        <v>1931</v>
      </c>
      <c r="CK9" s="6" t="s">
        <v>118</v>
      </c>
      <c r="CL9" s="5" t="s">
        <v>32</v>
      </c>
      <c r="CM9" s="5" t="s">
        <v>1934</v>
      </c>
      <c r="CN9" s="5" t="s">
        <v>1937</v>
      </c>
      <c r="CO9" s="6" t="s">
        <v>1931</v>
      </c>
      <c r="CP9" s="6" t="s">
        <v>118</v>
      </c>
      <c r="CQ9" s="5" t="s">
        <v>32</v>
      </c>
      <c r="CR9" s="5" t="s">
        <v>1934</v>
      </c>
      <c r="CS9" s="5" t="s">
        <v>1937</v>
      </c>
      <c r="CT9" s="6" t="s">
        <v>1931</v>
      </c>
      <c r="CU9" s="6" t="s">
        <v>118</v>
      </c>
      <c r="CV9" s="5" t="s">
        <v>32</v>
      </c>
      <c r="CW9" s="5" t="s">
        <v>1934</v>
      </c>
      <c r="CX9" s="5" t="s">
        <v>1937</v>
      </c>
      <c r="CY9" s="6" t="s">
        <v>1931</v>
      </c>
      <c r="CZ9" s="6" t="s">
        <v>118</v>
      </c>
      <c r="DA9" s="5" t="s">
        <v>32</v>
      </c>
      <c r="DB9" s="5" t="s">
        <v>1934</v>
      </c>
      <c r="DC9" s="5" t="s">
        <v>1937</v>
      </c>
      <c r="DD9" s="6" t="s">
        <v>1931</v>
      </c>
      <c r="DE9" s="6" t="s">
        <v>118</v>
      </c>
      <c r="DF9" s="5" t="s">
        <v>32</v>
      </c>
      <c r="DG9" s="5" t="s">
        <v>1934</v>
      </c>
      <c r="DH9" s="5" t="s">
        <v>1937</v>
      </c>
      <c r="DI9" s="6" t="s">
        <v>1931</v>
      </c>
      <c r="DJ9" s="6" t="s">
        <v>118</v>
      </c>
      <c r="DK9" s="5" t="s">
        <v>32</v>
      </c>
      <c r="DL9" s="5" t="s">
        <v>1934</v>
      </c>
      <c r="DM9" s="5" t="s">
        <v>1937</v>
      </c>
      <c r="DN9" s="5"/>
    </row>
    <row r="10" spans="1:118" ht="57.75" customHeight="1">
      <c r="A10" s="55" t="s">
        <v>12</v>
      </c>
      <c r="B10" s="46"/>
      <c r="C10" s="18"/>
      <c r="D10" s="19"/>
      <c r="E10" s="19" t="s">
        <v>1950</v>
      </c>
      <c r="F10" s="19" t="s">
        <v>1950</v>
      </c>
      <c r="G10" s="19"/>
      <c r="H10" s="19"/>
      <c r="I10" s="19"/>
      <c r="J10" s="42" t="s">
        <v>1927</v>
      </c>
      <c r="K10" s="42"/>
      <c r="L10" s="42" t="s">
        <v>1927</v>
      </c>
      <c r="M10" s="42"/>
      <c r="N10" s="42" t="s">
        <v>1927</v>
      </c>
      <c r="O10" s="42"/>
      <c r="P10" s="42" t="s">
        <v>1927</v>
      </c>
      <c r="Q10" s="42"/>
      <c r="R10" s="42" t="s">
        <v>1927</v>
      </c>
      <c r="S10" s="42"/>
      <c r="T10" s="42" t="s">
        <v>1927</v>
      </c>
      <c r="U10" s="42"/>
      <c r="V10" s="42" t="s">
        <v>1927</v>
      </c>
      <c r="W10" s="42"/>
      <c r="X10" s="42" t="s">
        <v>1927</v>
      </c>
      <c r="Y10" s="42"/>
      <c r="Z10" s="42" t="s">
        <v>1927</v>
      </c>
      <c r="AA10" s="42"/>
      <c r="AB10" s="42" t="s">
        <v>1927</v>
      </c>
      <c r="AC10" s="42"/>
      <c r="AD10" s="42" t="s">
        <v>1927</v>
      </c>
      <c r="AE10" s="42"/>
      <c r="AF10" s="42" t="s">
        <v>1927</v>
      </c>
      <c r="AG10" s="42"/>
      <c r="AH10" s="42" t="s">
        <v>1927</v>
      </c>
      <c r="AI10" s="42"/>
      <c r="AJ10" s="42" t="s">
        <v>1927</v>
      </c>
      <c r="AK10" s="42"/>
      <c r="AL10" s="42" t="s">
        <v>1927</v>
      </c>
      <c r="AM10" s="42"/>
      <c r="AN10" s="42" t="s">
        <v>1927</v>
      </c>
      <c r="AO10" s="42"/>
      <c r="AP10" s="42" t="s">
        <v>1927</v>
      </c>
      <c r="AQ10" s="42"/>
      <c r="AR10" s="42" t="s">
        <v>1927</v>
      </c>
      <c r="AS10" s="42"/>
      <c r="AT10" s="42" t="s">
        <v>1927</v>
      </c>
      <c r="AU10" s="42"/>
      <c r="AV10" s="42" t="s">
        <v>1927</v>
      </c>
      <c r="AW10" s="42"/>
      <c r="AX10" s="42" t="s">
        <v>1927</v>
      </c>
      <c r="AY10" s="42"/>
      <c r="AZ10" s="42" t="s">
        <v>1927</v>
      </c>
      <c r="BA10" s="42"/>
      <c r="BB10" s="42" t="s">
        <v>1927</v>
      </c>
      <c r="BC10" s="42"/>
      <c r="BD10" s="42" t="s">
        <v>1927</v>
      </c>
      <c r="BE10" s="42"/>
      <c r="BF10" s="42" t="s">
        <v>1927</v>
      </c>
      <c r="BG10" s="42"/>
      <c r="BH10" s="19" t="s">
        <v>1789</v>
      </c>
      <c r="BI10" s="19"/>
      <c r="BJ10" s="19"/>
      <c r="BK10" s="19" t="s">
        <v>1789</v>
      </c>
      <c r="BL10" s="19"/>
      <c r="BM10" s="19"/>
      <c r="BN10" s="19" t="s">
        <v>1789</v>
      </c>
      <c r="BO10" s="18"/>
      <c r="BP10" s="19"/>
      <c r="BQ10" s="19" t="s">
        <v>1789</v>
      </c>
      <c r="BR10" s="19"/>
      <c r="BS10" s="19"/>
      <c r="BT10" s="19" t="s">
        <v>1789</v>
      </c>
      <c r="BU10" s="19"/>
      <c r="BV10" s="19"/>
      <c r="BW10" s="6" t="s">
        <v>123</v>
      </c>
      <c r="BX10" s="42"/>
      <c r="BY10" s="42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56" t="s">
        <v>13</v>
      </c>
      <c r="B11" s="20">
        <v>100010001</v>
      </c>
      <c r="C11" s="14">
        <v>10001</v>
      </c>
      <c r="D11" s="14" t="s">
        <v>49</v>
      </c>
      <c r="E11" s="14">
        <v>1</v>
      </c>
      <c r="F11" s="14">
        <v>1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</v>
      </c>
      <c r="CC11" s="14">
        <v>100</v>
      </c>
      <c r="CD11" s="14"/>
      <c r="CE11" s="20">
        <v>3</v>
      </c>
      <c r="CF11" s="14">
        <v>24</v>
      </c>
      <c r="CG11" s="14">
        <f>ROUND(F11*G11,0)</f>
        <v>5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1.2</v>
      </c>
      <c r="F12" s="14">
        <v>1.2</v>
      </c>
      <c r="G12" s="14">
        <v>6</v>
      </c>
      <c r="H12" s="14">
        <v>99</v>
      </c>
      <c r="I12" s="14" t="b">
        <v>1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7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7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1.4</v>
      </c>
      <c r="F13" s="14">
        <v>1.4</v>
      </c>
      <c r="G13" s="14">
        <v>6</v>
      </c>
      <c r="H13" s="14">
        <v>99</v>
      </c>
      <c r="I13" s="14" t="b">
        <v>1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8</v>
      </c>
      <c r="CC13" s="14">
        <v>100</v>
      </c>
      <c r="CD13" s="14"/>
      <c r="CE13" s="20">
        <v>3</v>
      </c>
      <c r="CF13" s="14">
        <v>24</v>
      </c>
      <c r="CG13" s="14">
        <f t="shared" si="1"/>
        <v>8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1.6</v>
      </c>
      <c r="F14" s="14">
        <v>1.6</v>
      </c>
      <c r="G14" s="14">
        <v>6</v>
      </c>
      <c r="H14" s="14">
        <v>99</v>
      </c>
      <c r="I14" s="14" t="b">
        <v>1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10</v>
      </c>
      <c r="CC14" s="14">
        <v>100</v>
      </c>
      <c r="CD14" s="14"/>
      <c r="CE14" s="20">
        <v>3</v>
      </c>
      <c r="CF14" s="14">
        <v>24</v>
      </c>
      <c r="CG14" s="14">
        <f t="shared" si="1"/>
        <v>10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1.8</v>
      </c>
      <c r="F15" s="14">
        <v>1.8</v>
      </c>
      <c r="G15" s="14">
        <v>7</v>
      </c>
      <c r="H15" s="14">
        <v>99</v>
      </c>
      <c r="I15" s="14" t="b">
        <v>1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13</v>
      </c>
      <c r="CC15" s="14">
        <v>100</v>
      </c>
      <c r="CD15" s="14"/>
      <c r="CE15" s="20">
        <v>3</v>
      </c>
      <c r="CF15" s="14">
        <v>24</v>
      </c>
      <c r="CG15" s="14">
        <f t="shared" si="1"/>
        <v>13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</v>
      </c>
      <c r="F16" s="14">
        <v>2</v>
      </c>
      <c r="G16" s="14">
        <v>7</v>
      </c>
      <c r="H16" s="14">
        <v>99</v>
      </c>
      <c r="I16" s="14" t="b">
        <v>1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14</v>
      </c>
      <c r="CC16" s="14">
        <v>100</v>
      </c>
      <c r="CD16" s="14"/>
      <c r="CE16" s="20">
        <v>3</v>
      </c>
      <c r="CF16" s="14">
        <v>24</v>
      </c>
      <c r="CG16" s="14">
        <f t="shared" si="1"/>
        <v>14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2.2000000000000002</v>
      </c>
      <c r="F17" s="14">
        <v>2.2000000000000002</v>
      </c>
      <c r="G17" s="14">
        <v>8</v>
      </c>
      <c r="H17" s="14">
        <v>99</v>
      </c>
      <c r="I17" s="14" t="b">
        <v>1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18</v>
      </c>
      <c r="CC17" s="14">
        <v>100</v>
      </c>
      <c r="CD17" s="14"/>
      <c r="CE17" s="20">
        <v>3</v>
      </c>
      <c r="CF17" s="14">
        <v>24</v>
      </c>
      <c r="CG17" s="14">
        <f t="shared" si="1"/>
        <v>18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2.4</v>
      </c>
      <c r="F18" s="14">
        <v>2.4</v>
      </c>
      <c r="G18" s="14">
        <v>8</v>
      </c>
      <c r="H18" s="14">
        <v>99</v>
      </c>
      <c r="I18" s="14" t="b">
        <v>1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19</v>
      </c>
      <c r="CC18" s="14">
        <v>100</v>
      </c>
      <c r="CD18" s="14"/>
      <c r="CE18" s="20">
        <v>3</v>
      </c>
      <c r="CF18" s="14">
        <v>24</v>
      </c>
      <c r="CG18" s="14">
        <f t="shared" si="1"/>
        <v>19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2.6</v>
      </c>
      <c r="F19" s="14">
        <v>2.6</v>
      </c>
      <c r="G19" s="14">
        <v>8</v>
      </c>
      <c r="H19" s="14">
        <v>99</v>
      </c>
      <c r="I19" s="14" t="b">
        <v>1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21</v>
      </c>
      <c r="CC19" s="14">
        <v>100</v>
      </c>
      <c r="CD19" s="14"/>
      <c r="CE19" s="20">
        <v>3</v>
      </c>
      <c r="CF19" s="14">
        <v>24</v>
      </c>
      <c r="CG19" s="14">
        <f t="shared" si="1"/>
        <v>21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2.8</v>
      </c>
      <c r="F20" s="14">
        <v>2.8</v>
      </c>
      <c r="G20" s="14">
        <v>9</v>
      </c>
      <c r="H20" s="14">
        <v>99</v>
      </c>
      <c r="I20" s="14" t="b">
        <v>1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25</v>
      </c>
      <c r="CC20" s="14">
        <v>100</v>
      </c>
      <c r="CD20" s="14"/>
      <c r="CE20" s="20">
        <v>3</v>
      </c>
      <c r="CF20" s="14">
        <v>24</v>
      </c>
      <c r="CG20" s="14">
        <f t="shared" si="1"/>
        <v>25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3</v>
      </c>
      <c r="F21" s="14">
        <v>3</v>
      </c>
      <c r="G21" s="14">
        <v>9</v>
      </c>
      <c r="H21" s="14">
        <v>99</v>
      </c>
      <c r="I21" s="14" t="b">
        <v>1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27</v>
      </c>
      <c r="CC21" s="14">
        <v>100</v>
      </c>
      <c r="CD21" s="14"/>
      <c r="CE21" s="20">
        <v>3</v>
      </c>
      <c r="CF21" s="14">
        <v>24</v>
      </c>
      <c r="CG21" s="14">
        <f t="shared" si="1"/>
        <v>27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3.2</v>
      </c>
      <c r="F22" s="14">
        <v>3.2</v>
      </c>
      <c r="G22" s="14">
        <v>10</v>
      </c>
      <c r="H22" s="14">
        <v>99</v>
      </c>
      <c r="I22" s="14" t="b">
        <v>1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32</v>
      </c>
      <c r="CC22" s="14">
        <v>100</v>
      </c>
      <c r="CD22" s="14"/>
      <c r="CE22" s="20">
        <v>3</v>
      </c>
      <c r="CF22" s="14">
        <v>24</v>
      </c>
      <c r="CG22" s="14">
        <f t="shared" si="1"/>
        <v>32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3.4</v>
      </c>
      <c r="F23" s="14">
        <v>3.4</v>
      </c>
      <c r="G23" s="14">
        <v>10</v>
      </c>
      <c r="H23" s="14">
        <v>99</v>
      </c>
      <c r="I23" s="14" t="b">
        <v>1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34</v>
      </c>
      <c r="CC23" s="14">
        <v>100</v>
      </c>
      <c r="CD23" s="14"/>
      <c r="CE23" s="20">
        <v>3</v>
      </c>
      <c r="CF23" s="14">
        <v>24</v>
      </c>
      <c r="CG23" s="14">
        <f t="shared" si="1"/>
        <v>34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3.6</v>
      </c>
      <c r="F24" s="14">
        <v>3.6</v>
      </c>
      <c r="G24" s="14">
        <v>10</v>
      </c>
      <c r="H24" s="14">
        <v>99</v>
      </c>
      <c r="I24" s="14" t="b">
        <v>1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36</v>
      </c>
      <c r="CC24" s="14">
        <v>100</v>
      </c>
      <c r="CD24" s="14"/>
      <c r="CE24" s="20">
        <v>3</v>
      </c>
      <c r="CF24" s="14">
        <v>24</v>
      </c>
      <c r="CG24" s="14">
        <f t="shared" si="1"/>
        <v>36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3.8</v>
      </c>
      <c r="F25" s="14">
        <v>3.8</v>
      </c>
      <c r="G25" s="14">
        <v>11</v>
      </c>
      <c r="H25" s="14">
        <v>99</v>
      </c>
      <c r="I25" s="14" t="b">
        <v>1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42</v>
      </c>
      <c r="CC25" s="14">
        <v>100</v>
      </c>
      <c r="CD25" s="14"/>
      <c r="CE25" s="20">
        <v>3</v>
      </c>
      <c r="CF25" s="14">
        <v>24</v>
      </c>
      <c r="CG25" s="14">
        <f t="shared" si="1"/>
        <v>42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4</v>
      </c>
      <c r="F26" s="14">
        <v>4</v>
      </c>
      <c r="G26" s="14">
        <v>11</v>
      </c>
      <c r="H26" s="14">
        <v>99</v>
      </c>
      <c r="I26" s="14" t="b">
        <v>1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44</v>
      </c>
      <c r="CC26" s="14">
        <v>100</v>
      </c>
      <c r="CD26" s="14"/>
      <c r="CE26" s="20">
        <v>3</v>
      </c>
      <c r="CF26" s="14">
        <v>24</v>
      </c>
      <c r="CG26" s="14">
        <f t="shared" si="1"/>
        <v>44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4.2</v>
      </c>
      <c r="F27" s="14">
        <v>4.2</v>
      </c>
      <c r="G27" s="14">
        <v>12</v>
      </c>
      <c r="H27" s="14">
        <v>99</v>
      </c>
      <c r="I27" s="14" t="b">
        <v>1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50</v>
      </c>
      <c r="CC27" s="14">
        <v>100</v>
      </c>
      <c r="CD27" s="14"/>
      <c r="CE27" s="20">
        <v>3</v>
      </c>
      <c r="CF27" s="14">
        <v>24</v>
      </c>
      <c r="CG27" s="14">
        <f t="shared" si="1"/>
        <v>50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4.4000000000000004</v>
      </c>
      <c r="F28" s="14">
        <v>4.4000000000000004</v>
      </c>
      <c r="G28" s="14">
        <v>12</v>
      </c>
      <c r="H28" s="14">
        <v>99</v>
      </c>
      <c r="I28" s="14" t="b">
        <v>1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53</v>
      </c>
      <c r="CC28" s="14">
        <v>100</v>
      </c>
      <c r="CD28" s="14"/>
      <c r="CE28" s="20">
        <v>3</v>
      </c>
      <c r="CF28" s="14">
        <v>24</v>
      </c>
      <c r="CG28" s="14">
        <f t="shared" si="1"/>
        <v>53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4.5999999999999996</v>
      </c>
      <c r="F29" s="14">
        <v>4.5999999999999996</v>
      </c>
      <c r="G29" s="14">
        <v>12</v>
      </c>
      <c r="H29" s="14">
        <v>99</v>
      </c>
      <c r="I29" s="14" t="b">
        <v>1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55</v>
      </c>
      <c r="CC29" s="14">
        <v>100</v>
      </c>
      <c r="CD29" s="14"/>
      <c r="CE29" s="20">
        <v>3</v>
      </c>
      <c r="CF29" s="14">
        <v>24</v>
      </c>
      <c r="CG29" s="14">
        <f t="shared" si="1"/>
        <v>55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4.8</v>
      </c>
      <c r="F30" s="14">
        <v>4.8</v>
      </c>
      <c r="G30" s="14">
        <v>13</v>
      </c>
      <c r="H30" s="14">
        <v>99</v>
      </c>
      <c r="I30" s="14" t="b">
        <v>1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62</v>
      </c>
      <c r="CC30" s="14">
        <v>100</v>
      </c>
      <c r="CD30" s="14"/>
      <c r="CE30" s="20">
        <v>3</v>
      </c>
      <c r="CF30" s="14">
        <v>24</v>
      </c>
      <c r="CG30" s="14">
        <f t="shared" si="1"/>
        <v>62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5</v>
      </c>
      <c r="F31" s="14">
        <v>5</v>
      </c>
      <c r="G31" s="14">
        <v>13</v>
      </c>
      <c r="H31" s="14">
        <v>99</v>
      </c>
      <c r="I31" s="14" t="b">
        <v>1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65</v>
      </c>
      <c r="CC31" s="14">
        <v>100</v>
      </c>
      <c r="CD31" s="14"/>
      <c r="CE31" s="20">
        <v>3</v>
      </c>
      <c r="CF31" s="14">
        <v>24</v>
      </c>
      <c r="CG31" s="14">
        <f t="shared" si="1"/>
        <v>65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5.2</v>
      </c>
      <c r="F32" s="14">
        <v>5.2</v>
      </c>
      <c r="G32" s="14">
        <v>14</v>
      </c>
      <c r="H32" s="14">
        <v>99</v>
      </c>
      <c r="I32" s="14" t="b">
        <v>1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73</v>
      </c>
      <c r="CC32" s="14">
        <v>100</v>
      </c>
      <c r="CD32" s="14"/>
      <c r="CE32" s="20">
        <v>3</v>
      </c>
      <c r="CF32" s="14">
        <v>24</v>
      </c>
      <c r="CG32" s="14">
        <f t="shared" si="1"/>
        <v>73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5.4</v>
      </c>
      <c r="F33" s="14">
        <v>5.4</v>
      </c>
      <c r="G33" s="14">
        <v>14</v>
      </c>
      <c r="H33" s="14">
        <v>99</v>
      </c>
      <c r="I33" s="14" t="b">
        <v>1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76</v>
      </c>
      <c r="CC33" s="14">
        <v>100</v>
      </c>
      <c r="CD33" s="14"/>
      <c r="CE33" s="20">
        <v>3</v>
      </c>
      <c r="CF33" s="14">
        <v>24</v>
      </c>
      <c r="CG33" s="14">
        <f t="shared" si="1"/>
        <v>76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5.6</v>
      </c>
      <c r="F34" s="14">
        <v>5.6</v>
      </c>
      <c r="G34" s="14">
        <v>14</v>
      </c>
      <c r="H34" s="14">
        <v>99</v>
      </c>
      <c r="I34" s="14" t="b">
        <v>1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78</v>
      </c>
      <c r="CC34" s="14">
        <v>100</v>
      </c>
      <c r="CD34" s="14"/>
      <c r="CE34" s="20">
        <v>3</v>
      </c>
      <c r="CF34" s="14">
        <v>24</v>
      </c>
      <c r="CG34" s="14">
        <f t="shared" si="1"/>
        <v>78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5.8</v>
      </c>
      <c r="F35" s="14">
        <v>5.8</v>
      </c>
      <c r="G35" s="14">
        <v>15</v>
      </c>
      <c r="H35" s="14">
        <v>99</v>
      </c>
      <c r="I35" s="14" t="b">
        <v>1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87</v>
      </c>
      <c r="CC35" s="14">
        <v>100</v>
      </c>
      <c r="CD35" s="14"/>
      <c r="CE35" s="20">
        <v>3</v>
      </c>
      <c r="CF35" s="14">
        <v>24</v>
      </c>
      <c r="CG35" s="14">
        <f t="shared" si="1"/>
        <v>87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6</v>
      </c>
      <c r="F36" s="14">
        <v>6</v>
      </c>
      <c r="G36" s="14">
        <v>15</v>
      </c>
      <c r="H36" s="14">
        <v>99</v>
      </c>
      <c r="I36" s="14" t="b">
        <v>1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90</v>
      </c>
      <c r="CC36" s="14">
        <v>100</v>
      </c>
      <c r="CD36" s="14"/>
      <c r="CE36" s="20">
        <v>3</v>
      </c>
      <c r="CF36" s="14">
        <v>24</v>
      </c>
      <c r="CG36" s="14">
        <f t="shared" si="1"/>
        <v>90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6.2</v>
      </c>
      <c r="F37" s="14">
        <v>6.2</v>
      </c>
      <c r="G37" s="14">
        <v>16</v>
      </c>
      <c r="H37" s="14">
        <v>99</v>
      </c>
      <c r="I37" s="14" t="b">
        <v>1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1</v>
      </c>
      <c r="P37" s="20">
        <v>11</v>
      </c>
      <c r="Q37" s="20">
        <v>52</v>
      </c>
      <c r="R37" s="20">
        <v>1</v>
      </c>
      <c r="S37" s="20">
        <v>1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99</v>
      </c>
      <c r="CC37" s="14">
        <v>100</v>
      </c>
      <c r="CD37" s="14"/>
      <c r="CE37" s="20">
        <v>3</v>
      </c>
      <c r="CF37" s="14">
        <v>24</v>
      </c>
      <c r="CG37" s="14">
        <f t="shared" si="1"/>
        <v>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6.4</v>
      </c>
      <c r="F38" s="14">
        <v>6.4</v>
      </c>
      <c r="G38" s="14">
        <v>16</v>
      </c>
      <c r="H38" s="14">
        <v>99</v>
      </c>
      <c r="I38" s="14" t="b">
        <v>1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1</v>
      </c>
      <c r="P38" s="20">
        <v>12</v>
      </c>
      <c r="Q38" s="20">
        <v>54</v>
      </c>
      <c r="R38" s="20">
        <v>2</v>
      </c>
      <c r="S38" s="20">
        <v>1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102</v>
      </c>
      <c r="CC38" s="14">
        <v>100</v>
      </c>
      <c r="CD38" s="14"/>
      <c r="CE38" s="20">
        <v>3</v>
      </c>
      <c r="CF38" s="14">
        <v>24</v>
      </c>
      <c r="CG38" s="14">
        <f t="shared" si="1"/>
        <v>102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6.6</v>
      </c>
      <c r="F39" s="14">
        <v>6.6</v>
      </c>
      <c r="G39" s="14">
        <v>16</v>
      </c>
      <c r="H39" s="14">
        <v>99</v>
      </c>
      <c r="I39" s="14" t="b">
        <v>1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1</v>
      </c>
      <c r="P39" s="20">
        <v>13</v>
      </c>
      <c r="Q39" s="20">
        <v>56</v>
      </c>
      <c r="R39" s="20">
        <v>3</v>
      </c>
      <c r="S39" s="20">
        <v>1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106</v>
      </c>
      <c r="CC39" s="14">
        <v>100</v>
      </c>
      <c r="CD39" s="14"/>
      <c r="CE39" s="20">
        <v>3</v>
      </c>
      <c r="CF39" s="14">
        <v>24</v>
      </c>
      <c r="CG39" s="14">
        <f t="shared" si="1"/>
        <v>106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6.8</v>
      </c>
      <c r="F40" s="14">
        <v>6.8</v>
      </c>
      <c r="G40" s="14">
        <v>17</v>
      </c>
      <c r="H40" s="14">
        <v>99</v>
      </c>
      <c r="I40" s="14" t="b">
        <v>1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1</v>
      </c>
      <c r="P40" s="20">
        <v>14</v>
      </c>
      <c r="Q40" s="20">
        <v>58</v>
      </c>
      <c r="R40" s="20">
        <v>4</v>
      </c>
      <c r="S40" s="20">
        <v>1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116</v>
      </c>
      <c r="CC40" s="14">
        <v>100</v>
      </c>
      <c r="CD40" s="14"/>
      <c r="CE40" s="20">
        <v>3</v>
      </c>
      <c r="CF40" s="14">
        <v>24</v>
      </c>
      <c r="CG40" s="14">
        <f t="shared" si="1"/>
        <v>116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7</v>
      </c>
      <c r="F41" s="14">
        <v>7</v>
      </c>
      <c r="G41" s="14">
        <v>17</v>
      </c>
      <c r="H41" s="14">
        <v>99</v>
      </c>
      <c r="I41" s="14" t="b">
        <v>1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1</v>
      </c>
      <c r="P41" s="20">
        <v>15</v>
      </c>
      <c r="Q41" s="20">
        <v>60</v>
      </c>
      <c r="R41" s="20">
        <v>5</v>
      </c>
      <c r="S41" s="20">
        <v>1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119</v>
      </c>
      <c r="CC41" s="14">
        <v>100</v>
      </c>
      <c r="CD41" s="14"/>
      <c r="CE41" s="20">
        <v>3</v>
      </c>
      <c r="CF41" s="14">
        <v>24</v>
      </c>
      <c r="CG41" s="14">
        <f t="shared" si="1"/>
        <v>119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7.2</v>
      </c>
      <c r="F42" s="14">
        <v>7.2</v>
      </c>
      <c r="G42" s="14">
        <v>18</v>
      </c>
      <c r="H42" s="14">
        <v>99</v>
      </c>
      <c r="I42" s="14" t="b">
        <v>1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1</v>
      </c>
      <c r="P42" s="20">
        <v>1</v>
      </c>
      <c r="Q42" s="20">
        <v>62</v>
      </c>
      <c r="R42" s="20">
        <v>11</v>
      </c>
      <c r="S42" s="20">
        <v>1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130</v>
      </c>
      <c r="CC42" s="14">
        <v>100</v>
      </c>
      <c r="CD42" s="14"/>
      <c r="CE42" s="20">
        <v>3</v>
      </c>
      <c r="CF42" s="14">
        <v>24</v>
      </c>
      <c r="CG42" s="14">
        <f t="shared" si="1"/>
        <v>130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7.4</v>
      </c>
      <c r="F43" s="14">
        <v>7.4</v>
      </c>
      <c r="G43" s="14">
        <v>18</v>
      </c>
      <c r="H43" s="14">
        <v>99</v>
      </c>
      <c r="I43" s="14" t="b">
        <v>1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1</v>
      </c>
      <c r="P43" s="20">
        <v>2</v>
      </c>
      <c r="Q43" s="20">
        <v>64</v>
      </c>
      <c r="R43" s="20">
        <v>12</v>
      </c>
      <c r="S43" s="20">
        <v>1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133</v>
      </c>
      <c r="CC43" s="14">
        <v>100</v>
      </c>
      <c r="CD43" s="14"/>
      <c r="CE43" s="20">
        <v>3</v>
      </c>
      <c r="CF43" s="14">
        <v>24</v>
      </c>
      <c r="CG43" s="14">
        <f t="shared" si="1"/>
        <v>133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7.6</v>
      </c>
      <c r="F44" s="14">
        <v>7.6</v>
      </c>
      <c r="G44" s="14">
        <v>18</v>
      </c>
      <c r="H44" s="14">
        <v>99</v>
      </c>
      <c r="I44" s="14" t="b">
        <v>1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1</v>
      </c>
      <c r="P44" s="20">
        <v>3</v>
      </c>
      <c r="Q44" s="20">
        <v>66</v>
      </c>
      <c r="R44" s="20">
        <v>13</v>
      </c>
      <c r="S44" s="20">
        <v>1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137</v>
      </c>
      <c r="CC44" s="14">
        <v>100</v>
      </c>
      <c r="CD44" s="14"/>
      <c r="CE44" s="20">
        <v>3</v>
      </c>
      <c r="CF44" s="14">
        <v>24</v>
      </c>
      <c r="CG44" s="14">
        <f t="shared" si="1"/>
        <v>137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7.8</v>
      </c>
      <c r="F45" s="14">
        <v>7.8</v>
      </c>
      <c r="G45" s="14">
        <v>19</v>
      </c>
      <c r="H45" s="14">
        <v>99</v>
      </c>
      <c r="I45" s="14" t="b">
        <v>1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1</v>
      </c>
      <c r="P45" s="20">
        <v>4</v>
      </c>
      <c r="Q45" s="20">
        <v>68</v>
      </c>
      <c r="R45" s="20">
        <v>14</v>
      </c>
      <c r="S45" s="20">
        <v>1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148</v>
      </c>
      <c r="CC45" s="14">
        <v>100</v>
      </c>
      <c r="CD45" s="14"/>
      <c r="CE45" s="20">
        <v>3</v>
      </c>
      <c r="CF45" s="14">
        <v>24</v>
      </c>
      <c r="CG45" s="14">
        <f t="shared" si="1"/>
        <v>148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8</v>
      </c>
      <c r="F46" s="14">
        <v>8</v>
      </c>
      <c r="G46" s="14">
        <v>19</v>
      </c>
      <c r="H46" s="14">
        <v>99</v>
      </c>
      <c r="I46" s="14" t="b">
        <v>1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1</v>
      </c>
      <c r="P46" s="20">
        <v>5</v>
      </c>
      <c r="Q46" s="20">
        <v>70</v>
      </c>
      <c r="R46" s="20">
        <v>15</v>
      </c>
      <c r="S46" s="20">
        <v>1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152</v>
      </c>
      <c r="CC46" s="14">
        <v>100</v>
      </c>
      <c r="CD46" s="14"/>
      <c r="CE46" s="20">
        <v>3</v>
      </c>
      <c r="CF46" s="14">
        <v>24</v>
      </c>
      <c r="CG46" s="14">
        <f t="shared" si="1"/>
        <v>152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8.1999999999999993</v>
      </c>
      <c r="F47" s="14">
        <v>8.1999999999999993</v>
      </c>
      <c r="G47" s="14">
        <v>20</v>
      </c>
      <c r="H47" s="14">
        <v>99</v>
      </c>
      <c r="I47" s="14" t="b">
        <v>1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1</v>
      </c>
      <c r="P47" s="20">
        <v>11</v>
      </c>
      <c r="Q47" s="20">
        <v>72</v>
      </c>
      <c r="R47" s="20">
        <v>11</v>
      </c>
      <c r="S47" s="20">
        <v>1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164</v>
      </c>
      <c r="CC47" s="14">
        <v>100</v>
      </c>
      <c r="CD47" s="14"/>
      <c r="CE47" s="20">
        <v>3</v>
      </c>
      <c r="CF47" s="14">
        <v>24</v>
      </c>
      <c r="CG47" s="14">
        <f t="shared" si="1"/>
        <v>164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8.4</v>
      </c>
      <c r="F48" s="14">
        <v>8.4</v>
      </c>
      <c r="G48" s="14">
        <v>20</v>
      </c>
      <c r="H48" s="14">
        <v>99</v>
      </c>
      <c r="I48" s="14" t="b">
        <v>1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1</v>
      </c>
      <c r="P48" s="20">
        <v>12</v>
      </c>
      <c r="Q48" s="20">
        <v>74</v>
      </c>
      <c r="R48" s="20">
        <v>12</v>
      </c>
      <c r="S48" s="20">
        <v>1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168</v>
      </c>
      <c r="CC48" s="14">
        <v>100</v>
      </c>
      <c r="CD48" s="14"/>
      <c r="CE48" s="20">
        <v>3</v>
      </c>
      <c r="CF48" s="14">
        <v>24</v>
      </c>
      <c r="CG48" s="14">
        <f t="shared" si="1"/>
        <v>168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8.6</v>
      </c>
      <c r="F49" s="14">
        <v>8.6</v>
      </c>
      <c r="G49" s="14">
        <v>20</v>
      </c>
      <c r="H49" s="14">
        <v>99</v>
      </c>
      <c r="I49" s="14" t="b">
        <v>1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1</v>
      </c>
      <c r="P49" s="20">
        <v>13</v>
      </c>
      <c r="Q49" s="20">
        <v>76</v>
      </c>
      <c r="R49" s="20">
        <v>13</v>
      </c>
      <c r="S49" s="20">
        <v>1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172</v>
      </c>
      <c r="CC49" s="14">
        <v>100</v>
      </c>
      <c r="CD49" s="14"/>
      <c r="CE49" s="20">
        <v>3</v>
      </c>
      <c r="CF49" s="14">
        <v>24</v>
      </c>
      <c r="CG49" s="14">
        <f t="shared" si="1"/>
        <v>172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8.8000000000000007</v>
      </c>
      <c r="F50" s="14">
        <v>8.8000000000000007</v>
      </c>
      <c r="G50" s="14">
        <v>21</v>
      </c>
      <c r="H50" s="14">
        <v>99</v>
      </c>
      <c r="I50" s="14" t="b">
        <v>1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1</v>
      </c>
      <c r="P50" s="20">
        <v>14</v>
      </c>
      <c r="Q50" s="20">
        <v>78</v>
      </c>
      <c r="R50" s="20">
        <v>14</v>
      </c>
      <c r="S50" s="20">
        <v>1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34"/>
      <c r="BL50" s="34"/>
      <c r="BM50" s="14"/>
      <c r="BN50" s="14">
        <v>1</v>
      </c>
      <c r="BO50" s="20">
        <v>100090003</v>
      </c>
      <c r="BP50" s="14"/>
      <c r="BQ50" s="34"/>
      <c r="BR50" s="34"/>
      <c r="BS50" s="14"/>
      <c r="BT50" s="34"/>
      <c r="BU50" s="34"/>
      <c r="BV50" s="34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185</v>
      </c>
      <c r="CC50" s="14">
        <v>100</v>
      </c>
      <c r="CD50" s="34"/>
      <c r="CE50" s="20">
        <v>3</v>
      </c>
      <c r="CF50" s="14">
        <v>24</v>
      </c>
      <c r="CG50" s="14">
        <f t="shared" si="1"/>
        <v>185</v>
      </c>
      <c r="CH50" s="14">
        <v>100</v>
      </c>
      <c r="CI50" s="34"/>
      <c r="CJ50" s="34"/>
      <c r="CK50" s="34"/>
      <c r="CL50" s="34"/>
      <c r="CM50" s="52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9</v>
      </c>
      <c r="F51" s="14">
        <v>9</v>
      </c>
      <c r="G51" s="14">
        <v>21</v>
      </c>
      <c r="H51" s="14">
        <v>99</v>
      </c>
      <c r="I51" s="14" t="b">
        <v>1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1</v>
      </c>
      <c r="P51" s="20">
        <v>15</v>
      </c>
      <c r="Q51" s="20">
        <v>80</v>
      </c>
      <c r="R51" s="20">
        <v>15</v>
      </c>
      <c r="S51" s="20">
        <v>1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34"/>
      <c r="BL51" s="34"/>
      <c r="BM51" s="14"/>
      <c r="BN51" s="14">
        <v>1</v>
      </c>
      <c r="BO51" s="20">
        <v>100090004</v>
      </c>
      <c r="BP51" s="14"/>
      <c r="BQ51" s="34"/>
      <c r="BR51" s="34"/>
      <c r="BS51" s="14"/>
      <c r="BT51" s="34"/>
      <c r="BU51" s="34"/>
      <c r="BV51" s="34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189</v>
      </c>
      <c r="CC51" s="14">
        <v>100</v>
      </c>
      <c r="CD51" s="34"/>
      <c r="CE51" s="20">
        <v>3</v>
      </c>
      <c r="CF51" s="14">
        <v>24</v>
      </c>
      <c r="CG51" s="14">
        <f t="shared" si="1"/>
        <v>189</v>
      </c>
      <c r="CH51" s="14">
        <v>100</v>
      </c>
      <c r="CI51" s="34"/>
      <c r="CJ51" s="34"/>
      <c r="CK51" s="34"/>
      <c r="CL51" s="34"/>
      <c r="CM51" s="52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9.1999999999999993</v>
      </c>
      <c r="F52" s="14">
        <v>9.1999999999999993</v>
      </c>
      <c r="G52" s="14">
        <v>22</v>
      </c>
      <c r="H52" s="14">
        <v>99</v>
      </c>
      <c r="I52" s="14" t="b">
        <v>1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1</v>
      </c>
      <c r="P52" s="20">
        <v>16</v>
      </c>
      <c r="Q52" s="20">
        <v>82</v>
      </c>
      <c r="R52" s="20">
        <v>11</v>
      </c>
      <c r="S52" s="20">
        <v>1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34"/>
      <c r="BL52" s="34"/>
      <c r="BM52" s="14"/>
      <c r="BN52" s="14">
        <v>1</v>
      </c>
      <c r="BO52" s="20">
        <v>100090005</v>
      </c>
      <c r="BP52" s="14"/>
      <c r="BQ52" s="34"/>
      <c r="BR52" s="34"/>
      <c r="BS52" s="14"/>
      <c r="BT52" s="34"/>
      <c r="BU52" s="34"/>
      <c r="BV52" s="34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202</v>
      </c>
      <c r="CC52" s="14">
        <v>100</v>
      </c>
      <c r="CD52" s="34"/>
      <c r="CE52" s="20">
        <v>3</v>
      </c>
      <c r="CF52" s="14">
        <v>24</v>
      </c>
      <c r="CG52" s="14">
        <f t="shared" si="1"/>
        <v>202</v>
      </c>
      <c r="CH52" s="14">
        <v>100</v>
      </c>
      <c r="CI52" s="34"/>
      <c r="CJ52" s="34"/>
      <c r="CK52" s="34"/>
      <c r="CL52" s="34"/>
      <c r="CM52" s="52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9.4</v>
      </c>
      <c r="F53" s="14">
        <v>9.4</v>
      </c>
      <c r="G53" s="14">
        <v>22</v>
      </c>
      <c r="H53" s="14">
        <v>99</v>
      </c>
      <c r="I53" s="14" t="b">
        <v>1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1</v>
      </c>
      <c r="P53" s="20">
        <v>17</v>
      </c>
      <c r="Q53" s="20">
        <v>84</v>
      </c>
      <c r="R53" s="20">
        <v>12</v>
      </c>
      <c r="S53" s="20">
        <v>1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34"/>
      <c r="BL53" s="34"/>
      <c r="BM53" s="14"/>
      <c r="BN53" s="14">
        <v>1</v>
      </c>
      <c r="BO53" s="20">
        <v>100100001</v>
      </c>
      <c r="BP53" s="14"/>
      <c r="BQ53" s="34"/>
      <c r="BR53" s="34"/>
      <c r="BS53" s="14"/>
      <c r="BT53" s="34"/>
      <c r="BU53" s="34"/>
      <c r="BV53" s="34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207</v>
      </c>
      <c r="CC53" s="14">
        <v>100</v>
      </c>
      <c r="CD53" s="34"/>
      <c r="CE53" s="20">
        <v>3</v>
      </c>
      <c r="CF53" s="14">
        <v>24</v>
      </c>
      <c r="CG53" s="14">
        <f t="shared" si="1"/>
        <v>207</v>
      </c>
      <c r="CH53" s="14">
        <v>100</v>
      </c>
      <c r="CI53" s="34"/>
      <c r="CJ53" s="34"/>
      <c r="CK53" s="34"/>
      <c r="CL53" s="34"/>
      <c r="CM53" s="52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9.6</v>
      </c>
      <c r="F54" s="14">
        <v>9.6</v>
      </c>
      <c r="G54" s="14">
        <v>22</v>
      </c>
      <c r="H54" s="14">
        <v>99</v>
      </c>
      <c r="I54" s="14" t="b">
        <v>1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1</v>
      </c>
      <c r="P54" s="20">
        <v>18</v>
      </c>
      <c r="Q54" s="20">
        <v>86</v>
      </c>
      <c r="R54" s="20">
        <v>13</v>
      </c>
      <c r="S54" s="20">
        <v>1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34"/>
      <c r="BL54" s="34"/>
      <c r="BM54" s="14"/>
      <c r="BN54" s="14">
        <v>1</v>
      </c>
      <c r="BO54" s="20">
        <v>100100002</v>
      </c>
      <c r="BP54" s="14"/>
      <c r="BQ54" s="34"/>
      <c r="BR54" s="34"/>
      <c r="BS54" s="14"/>
      <c r="BT54" s="34"/>
      <c r="BU54" s="34"/>
      <c r="BV54" s="34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211</v>
      </c>
      <c r="CC54" s="14">
        <v>100</v>
      </c>
      <c r="CD54" s="34"/>
      <c r="CE54" s="20">
        <v>3</v>
      </c>
      <c r="CF54" s="14">
        <v>24</v>
      </c>
      <c r="CG54" s="14">
        <f t="shared" si="1"/>
        <v>211</v>
      </c>
      <c r="CH54" s="14">
        <v>100</v>
      </c>
      <c r="CI54" s="34"/>
      <c r="CJ54" s="34"/>
      <c r="CK54" s="34"/>
      <c r="CL54" s="34"/>
      <c r="CM54" s="52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9.8000000000000007</v>
      </c>
      <c r="F55" s="14">
        <v>9.8000000000000007</v>
      </c>
      <c r="G55" s="14">
        <v>23</v>
      </c>
      <c r="H55" s="14">
        <v>99</v>
      </c>
      <c r="I55" s="14" t="b">
        <v>1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1</v>
      </c>
      <c r="P55" s="20">
        <v>19</v>
      </c>
      <c r="Q55" s="20">
        <v>88</v>
      </c>
      <c r="R55" s="20">
        <v>14</v>
      </c>
      <c r="S55" s="20">
        <v>1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34"/>
      <c r="BL55" s="34"/>
      <c r="BM55" s="14"/>
      <c r="BN55" s="14">
        <v>1</v>
      </c>
      <c r="BO55" s="20">
        <v>100100003</v>
      </c>
      <c r="BP55" s="14"/>
      <c r="BQ55" s="34"/>
      <c r="BR55" s="34"/>
      <c r="BS55" s="14"/>
      <c r="BT55" s="34"/>
      <c r="BU55" s="34"/>
      <c r="BV55" s="34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225</v>
      </c>
      <c r="CC55" s="14">
        <v>100</v>
      </c>
      <c r="CD55" s="34"/>
      <c r="CE55" s="20">
        <v>3</v>
      </c>
      <c r="CF55" s="14">
        <v>24</v>
      </c>
      <c r="CG55" s="14">
        <f t="shared" si="1"/>
        <v>225</v>
      </c>
      <c r="CH55" s="14">
        <v>100</v>
      </c>
      <c r="CI55" s="34"/>
      <c r="CJ55" s="34"/>
      <c r="CK55" s="34"/>
      <c r="CL55" s="34"/>
      <c r="CM55" s="52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10</v>
      </c>
      <c r="F56" s="14">
        <v>10</v>
      </c>
      <c r="G56" s="14">
        <v>23</v>
      </c>
      <c r="H56" s="14">
        <v>99</v>
      </c>
      <c r="I56" s="14" t="b">
        <v>1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1</v>
      </c>
      <c r="P56" s="20">
        <v>20</v>
      </c>
      <c r="Q56" s="20">
        <v>90</v>
      </c>
      <c r="R56" s="20">
        <v>15</v>
      </c>
      <c r="S56" s="20">
        <v>1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34"/>
      <c r="BL56" s="34"/>
      <c r="BM56" s="14"/>
      <c r="BN56" s="14">
        <v>1</v>
      </c>
      <c r="BO56" s="20">
        <v>100100004</v>
      </c>
      <c r="BP56" s="14"/>
      <c r="BQ56" s="34"/>
      <c r="BR56" s="34"/>
      <c r="BS56" s="14"/>
      <c r="BT56" s="34"/>
      <c r="BU56" s="34"/>
      <c r="BV56" s="34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230</v>
      </c>
      <c r="CC56" s="14">
        <v>100</v>
      </c>
      <c r="CD56" s="34"/>
      <c r="CE56" s="20">
        <v>3</v>
      </c>
      <c r="CF56" s="14">
        <v>24</v>
      </c>
      <c r="CG56" s="14">
        <f t="shared" si="1"/>
        <v>230</v>
      </c>
      <c r="CH56" s="14">
        <v>100</v>
      </c>
      <c r="CI56" s="34"/>
      <c r="CJ56" s="34"/>
      <c r="CK56" s="34"/>
      <c r="CL56" s="34"/>
      <c r="CM56" s="52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</row>
    <row r="57" spans="1:118" ht="18.75" customHeight="1">
      <c r="B57" s="20">
        <v>200010001</v>
      </c>
      <c r="C57" s="14">
        <v>20001</v>
      </c>
      <c r="D57" s="14" t="s">
        <v>1962</v>
      </c>
      <c r="E57" s="14">
        <v>4.3</v>
      </c>
      <c r="F57" s="14">
        <v>4.3</v>
      </c>
      <c r="G57" s="14">
        <v>10</v>
      </c>
      <c r="H57" s="14">
        <v>99</v>
      </c>
      <c r="I57" s="14" t="b">
        <v>1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34"/>
      <c r="BM57" s="23"/>
      <c r="BN57" s="14"/>
      <c r="BO57" s="14"/>
      <c r="BP57" s="14"/>
      <c r="BQ57" s="34"/>
      <c r="BR57" s="34"/>
      <c r="BS57" s="14"/>
      <c r="BT57" s="34"/>
      <c r="BU57" s="34"/>
      <c r="BV57" s="34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34"/>
      <c r="CE57" s="20">
        <v>3</v>
      </c>
      <c r="CF57" s="14">
        <v>24</v>
      </c>
      <c r="CG57" s="14">
        <f t="shared" si="1"/>
        <v>43</v>
      </c>
      <c r="CH57" s="14">
        <v>100</v>
      </c>
      <c r="CI57" s="34"/>
      <c r="CJ57" s="34">
        <v>2</v>
      </c>
      <c r="CK57" s="34">
        <v>31</v>
      </c>
      <c r="CL57" s="34">
        <v>1</v>
      </c>
      <c r="CM57" s="52">
        <v>5</v>
      </c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</row>
    <row r="58" spans="1:118" ht="18.75" customHeight="1">
      <c r="B58" s="20">
        <v>200010002</v>
      </c>
      <c r="C58" s="14">
        <v>20001</v>
      </c>
      <c r="D58" s="14" t="s">
        <v>1963</v>
      </c>
      <c r="E58" s="14">
        <v>4.5</v>
      </c>
      <c r="F58" s="14">
        <v>4.5</v>
      </c>
      <c r="G58" s="14">
        <v>20</v>
      </c>
      <c r="H58" s="14">
        <v>99</v>
      </c>
      <c r="I58" s="14" t="b">
        <v>1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34"/>
      <c r="BM58" s="23"/>
      <c r="BN58" s="14">
        <v>1</v>
      </c>
      <c r="BO58" s="14">
        <v>200010001</v>
      </c>
      <c r="BP58" s="14"/>
      <c r="BQ58" s="34"/>
      <c r="BR58" s="34"/>
      <c r="BS58" s="14"/>
      <c r="BT58" s="34"/>
      <c r="BU58" s="34"/>
      <c r="BV58" s="34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34"/>
      <c r="CE58" s="20">
        <v>3</v>
      </c>
      <c r="CF58" s="14">
        <v>24</v>
      </c>
      <c r="CG58" s="14">
        <f t="shared" si="1"/>
        <v>90</v>
      </c>
      <c r="CH58" s="14">
        <v>100</v>
      </c>
      <c r="CI58" s="34"/>
      <c r="CJ58" s="34">
        <v>2</v>
      </c>
      <c r="CK58" s="34">
        <v>31</v>
      </c>
      <c r="CL58" s="34">
        <v>1</v>
      </c>
      <c r="CM58" s="52">
        <v>15</v>
      </c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</row>
    <row r="59" spans="1:118" ht="18.75" customHeight="1">
      <c r="B59" s="20">
        <v>200010003</v>
      </c>
      <c r="C59" s="14">
        <v>20001</v>
      </c>
      <c r="D59" s="14" t="s">
        <v>1964</v>
      </c>
      <c r="E59" s="14">
        <v>4.7</v>
      </c>
      <c r="F59" s="14">
        <v>4.7</v>
      </c>
      <c r="G59" s="14">
        <v>30</v>
      </c>
      <c r="H59" s="14">
        <v>99</v>
      </c>
      <c r="I59" s="14" t="b">
        <v>1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34"/>
      <c r="BM59" s="23"/>
      <c r="BN59" s="14">
        <v>1</v>
      </c>
      <c r="BO59" s="14">
        <v>200010002</v>
      </c>
      <c r="BP59" s="14"/>
      <c r="BQ59" s="34"/>
      <c r="BR59" s="34"/>
      <c r="BS59" s="14"/>
      <c r="BT59" s="34"/>
      <c r="BU59" s="34"/>
      <c r="BV59" s="34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34"/>
      <c r="CE59" s="20">
        <v>3</v>
      </c>
      <c r="CF59" s="14">
        <v>24</v>
      </c>
      <c r="CG59" s="14">
        <f t="shared" si="1"/>
        <v>141</v>
      </c>
      <c r="CH59" s="14">
        <v>100</v>
      </c>
      <c r="CI59" s="34"/>
      <c r="CJ59" s="34">
        <v>2</v>
      </c>
      <c r="CK59" s="34">
        <v>31</v>
      </c>
      <c r="CL59" s="34">
        <v>1</v>
      </c>
      <c r="CM59" s="52">
        <v>100</v>
      </c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</row>
    <row r="60" spans="1:118" ht="18.75" customHeight="1">
      <c r="B60" s="20">
        <v>200020001</v>
      </c>
      <c r="C60" s="14">
        <v>20002</v>
      </c>
      <c r="D60" s="14" t="s">
        <v>1965</v>
      </c>
      <c r="E60" s="14">
        <v>4.3</v>
      </c>
      <c r="F60" s="14">
        <v>4.3</v>
      </c>
      <c r="G60" s="14">
        <v>10</v>
      </c>
      <c r="H60" s="14">
        <v>99</v>
      </c>
      <c r="I60" s="14" t="b">
        <v>1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34"/>
      <c r="BM60" s="23"/>
      <c r="BN60" s="14"/>
      <c r="BO60" s="14"/>
      <c r="BP60" s="14"/>
      <c r="BQ60" s="34"/>
      <c r="BR60" s="34"/>
      <c r="BS60" s="14"/>
      <c r="BT60" s="34"/>
      <c r="BU60" s="34"/>
      <c r="BV60" s="34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34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34"/>
      <c r="CJ60" s="34">
        <v>2</v>
      </c>
      <c r="CK60" s="34">
        <v>32</v>
      </c>
      <c r="CL60" s="34">
        <v>1</v>
      </c>
      <c r="CM60" s="52">
        <v>5</v>
      </c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</row>
    <row r="61" spans="1:118" ht="18.75" customHeight="1">
      <c r="B61" s="20">
        <v>200020002</v>
      </c>
      <c r="C61" s="14">
        <v>20002</v>
      </c>
      <c r="D61" s="14" t="s">
        <v>1966</v>
      </c>
      <c r="E61" s="14">
        <v>4.5</v>
      </c>
      <c r="F61" s="14">
        <v>4.5</v>
      </c>
      <c r="G61" s="14">
        <v>20</v>
      </c>
      <c r="H61" s="14">
        <v>99</v>
      </c>
      <c r="I61" s="14" t="b">
        <v>1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34"/>
      <c r="BM61" s="23"/>
      <c r="BN61" s="14">
        <v>1</v>
      </c>
      <c r="BO61" s="14">
        <v>200010001</v>
      </c>
      <c r="BP61" s="14"/>
      <c r="BQ61" s="34"/>
      <c r="BR61" s="34"/>
      <c r="BS61" s="14"/>
      <c r="BT61" s="34"/>
      <c r="BU61" s="34"/>
      <c r="BV61" s="34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34"/>
      <c r="CE61" s="20">
        <v>3</v>
      </c>
      <c r="CF61" s="14">
        <v>24</v>
      </c>
      <c r="CG61" s="14">
        <f t="shared" si="3"/>
        <v>90</v>
      </c>
      <c r="CH61" s="14">
        <v>100</v>
      </c>
      <c r="CI61" s="34"/>
      <c r="CJ61" s="34">
        <v>2</v>
      </c>
      <c r="CK61" s="34">
        <v>32</v>
      </c>
      <c r="CL61" s="34">
        <v>1</v>
      </c>
      <c r="CM61" s="52">
        <v>15</v>
      </c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</row>
    <row r="62" spans="1:118" ht="18.75" customHeight="1">
      <c r="B62" s="20">
        <v>200020003</v>
      </c>
      <c r="C62" s="14">
        <v>20002</v>
      </c>
      <c r="D62" s="14" t="s">
        <v>1967</v>
      </c>
      <c r="E62" s="14">
        <v>4.7</v>
      </c>
      <c r="F62" s="14">
        <v>4.7</v>
      </c>
      <c r="G62" s="14">
        <v>30</v>
      </c>
      <c r="H62" s="14">
        <v>99</v>
      </c>
      <c r="I62" s="14" t="b">
        <v>1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34"/>
      <c r="BM62" s="23"/>
      <c r="BN62" s="14">
        <v>1</v>
      </c>
      <c r="BO62" s="14">
        <v>200010002</v>
      </c>
      <c r="BP62" s="14"/>
      <c r="BQ62" s="34"/>
      <c r="BR62" s="34"/>
      <c r="BS62" s="14"/>
      <c r="BT62" s="34"/>
      <c r="BU62" s="34"/>
      <c r="BV62" s="34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34"/>
      <c r="CE62" s="20">
        <v>3</v>
      </c>
      <c r="CF62" s="14">
        <v>24</v>
      </c>
      <c r="CG62" s="14">
        <f t="shared" si="3"/>
        <v>141</v>
      </c>
      <c r="CH62" s="14">
        <v>100</v>
      </c>
      <c r="CI62" s="34"/>
      <c r="CJ62" s="34">
        <v>2</v>
      </c>
      <c r="CK62" s="34">
        <v>32</v>
      </c>
      <c r="CL62" s="34">
        <v>1</v>
      </c>
      <c r="CM62" s="52">
        <v>100</v>
      </c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</row>
    <row r="63" spans="1:118" ht="18.75" customHeight="1">
      <c r="B63" s="20">
        <v>200030001</v>
      </c>
      <c r="C63" s="14">
        <v>20003</v>
      </c>
      <c r="D63" s="14" t="s">
        <v>1968</v>
      </c>
      <c r="E63" s="14">
        <v>4.3</v>
      </c>
      <c r="F63" s="14">
        <v>4.3</v>
      </c>
      <c r="G63" s="14">
        <v>10</v>
      </c>
      <c r="H63" s="14">
        <v>99</v>
      </c>
      <c r="I63" s="14" t="b">
        <v>1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34"/>
      <c r="BM63" s="23"/>
      <c r="BN63" s="14"/>
      <c r="BO63" s="14"/>
      <c r="BP63" s="14"/>
      <c r="BQ63" s="34"/>
      <c r="BR63" s="34"/>
      <c r="BS63" s="14"/>
      <c r="BT63" s="34"/>
      <c r="BU63" s="34"/>
      <c r="BV63" s="34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34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34"/>
      <c r="CJ63" s="34">
        <v>2</v>
      </c>
      <c r="CK63" s="34">
        <v>33</v>
      </c>
      <c r="CL63" s="34">
        <v>1</v>
      </c>
      <c r="CM63" s="52">
        <v>5</v>
      </c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</row>
    <row r="64" spans="1:118" ht="18.75" customHeight="1">
      <c r="B64" s="20">
        <v>200030002</v>
      </c>
      <c r="C64" s="14">
        <v>20003</v>
      </c>
      <c r="D64" s="14" t="s">
        <v>1969</v>
      </c>
      <c r="E64" s="14">
        <v>4.5</v>
      </c>
      <c r="F64" s="14">
        <v>4.5</v>
      </c>
      <c r="G64" s="14">
        <v>20</v>
      </c>
      <c r="H64" s="14">
        <v>99</v>
      </c>
      <c r="I64" s="14" t="b">
        <v>1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34"/>
      <c r="BM64" s="23"/>
      <c r="BN64" s="14">
        <v>1</v>
      </c>
      <c r="BO64" s="14">
        <v>200010001</v>
      </c>
      <c r="BP64" s="14"/>
      <c r="BQ64" s="34"/>
      <c r="BR64" s="34"/>
      <c r="BS64" s="14"/>
      <c r="BT64" s="34"/>
      <c r="BU64" s="34"/>
      <c r="BV64" s="34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34"/>
      <c r="CE64" s="20">
        <v>3</v>
      </c>
      <c r="CF64" s="14">
        <v>24</v>
      </c>
      <c r="CG64" s="14">
        <f t="shared" si="5"/>
        <v>90</v>
      </c>
      <c r="CH64" s="14">
        <v>100</v>
      </c>
      <c r="CI64" s="34"/>
      <c r="CJ64" s="34">
        <v>2</v>
      </c>
      <c r="CK64" s="34">
        <v>33</v>
      </c>
      <c r="CL64" s="34">
        <v>1</v>
      </c>
      <c r="CM64" s="52">
        <v>15</v>
      </c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</row>
    <row r="65" spans="2:118" ht="18.75" customHeight="1">
      <c r="B65" s="20">
        <v>200030003</v>
      </c>
      <c r="C65" s="14">
        <v>20003</v>
      </c>
      <c r="D65" s="14" t="s">
        <v>1970</v>
      </c>
      <c r="E65" s="14">
        <v>4.7</v>
      </c>
      <c r="F65" s="14">
        <v>4.7</v>
      </c>
      <c r="G65" s="14">
        <v>30</v>
      </c>
      <c r="H65" s="14">
        <v>99</v>
      </c>
      <c r="I65" s="14" t="b">
        <v>1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34"/>
      <c r="BM65" s="23"/>
      <c r="BN65" s="14">
        <v>1</v>
      </c>
      <c r="BO65" s="14">
        <v>200010002</v>
      </c>
      <c r="BP65" s="14"/>
      <c r="BQ65" s="34"/>
      <c r="BR65" s="34"/>
      <c r="BS65" s="14"/>
      <c r="BT65" s="34"/>
      <c r="BU65" s="34"/>
      <c r="BV65" s="34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34"/>
      <c r="CE65" s="20">
        <v>3</v>
      </c>
      <c r="CF65" s="14">
        <v>24</v>
      </c>
      <c r="CG65" s="14">
        <f t="shared" si="5"/>
        <v>141</v>
      </c>
      <c r="CH65" s="14">
        <v>100</v>
      </c>
      <c r="CI65" s="34"/>
      <c r="CJ65" s="34">
        <v>2</v>
      </c>
      <c r="CK65" s="34">
        <v>33</v>
      </c>
      <c r="CL65" s="34">
        <v>1</v>
      </c>
      <c r="CM65" s="52">
        <v>100</v>
      </c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</row>
    <row r="66" spans="2:118" ht="18.75" customHeight="1">
      <c r="B66" s="20">
        <v>200040001</v>
      </c>
      <c r="C66" s="14">
        <v>20004</v>
      </c>
      <c r="D66" s="14" t="s">
        <v>1971</v>
      </c>
      <c r="E66" s="14">
        <v>4.3</v>
      </c>
      <c r="F66" s="14">
        <v>4.3</v>
      </c>
      <c r="G66" s="14">
        <v>10</v>
      </c>
      <c r="H66" s="14">
        <v>99</v>
      </c>
      <c r="I66" s="14" t="b">
        <v>1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34"/>
      <c r="BM66" s="23"/>
      <c r="BN66" s="14"/>
      <c r="BO66" s="14"/>
      <c r="BP66" s="14"/>
      <c r="BQ66" s="34"/>
      <c r="BR66" s="34"/>
      <c r="BS66" s="14"/>
      <c r="BT66" s="34"/>
      <c r="BU66" s="34"/>
      <c r="BV66" s="34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34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34"/>
      <c r="CJ66" s="34">
        <v>2</v>
      </c>
      <c r="CK66" s="34">
        <v>34</v>
      </c>
      <c r="CL66" s="34">
        <v>1</v>
      </c>
      <c r="CM66" s="52">
        <v>5</v>
      </c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</row>
    <row r="67" spans="2:118" ht="18.75" customHeight="1">
      <c r="B67" s="20">
        <v>200040002</v>
      </c>
      <c r="C67" s="14">
        <v>20004</v>
      </c>
      <c r="D67" s="14" t="s">
        <v>1972</v>
      </c>
      <c r="E67" s="14">
        <v>4.5</v>
      </c>
      <c r="F67" s="14">
        <v>4.5</v>
      </c>
      <c r="G67" s="14">
        <v>20</v>
      </c>
      <c r="H67" s="14">
        <v>99</v>
      </c>
      <c r="I67" s="14" t="b">
        <v>1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34"/>
      <c r="BM67" s="23"/>
      <c r="BN67" s="14">
        <v>1</v>
      </c>
      <c r="BO67" s="14">
        <v>200010001</v>
      </c>
      <c r="BP67" s="14"/>
      <c r="BQ67" s="34"/>
      <c r="BR67" s="34"/>
      <c r="BS67" s="14"/>
      <c r="BT67" s="34"/>
      <c r="BU67" s="34"/>
      <c r="BV67" s="34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34"/>
      <c r="CE67" s="20">
        <v>3</v>
      </c>
      <c r="CF67" s="14">
        <v>24</v>
      </c>
      <c r="CG67" s="14">
        <f t="shared" si="7"/>
        <v>90</v>
      </c>
      <c r="CH67" s="14">
        <v>100</v>
      </c>
      <c r="CI67" s="34"/>
      <c r="CJ67" s="34">
        <v>2</v>
      </c>
      <c r="CK67" s="34">
        <v>34</v>
      </c>
      <c r="CL67" s="34">
        <v>1</v>
      </c>
      <c r="CM67" s="52">
        <v>15</v>
      </c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</row>
    <row r="68" spans="2:118" ht="18.75" customHeight="1">
      <c r="B68" s="20">
        <v>200040003</v>
      </c>
      <c r="C68" s="14">
        <v>20004</v>
      </c>
      <c r="D68" s="14" t="s">
        <v>1973</v>
      </c>
      <c r="E68" s="14">
        <v>4.7</v>
      </c>
      <c r="F68" s="14">
        <v>4.7</v>
      </c>
      <c r="G68" s="14">
        <v>30</v>
      </c>
      <c r="H68" s="14">
        <v>99</v>
      </c>
      <c r="I68" s="14" t="b">
        <v>1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34"/>
      <c r="BM68" s="23"/>
      <c r="BN68" s="14">
        <v>1</v>
      </c>
      <c r="BO68" s="14">
        <v>200010002</v>
      </c>
      <c r="BP68" s="14"/>
      <c r="BQ68" s="34"/>
      <c r="BR68" s="34"/>
      <c r="BS68" s="14"/>
      <c r="BT68" s="34"/>
      <c r="BU68" s="34"/>
      <c r="BV68" s="34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34"/>
      <c r="CE68" s="20">
        <v>3</v>
      </c>
      <c r="CF68" s="14">
        <v>24</v>
      </c>
      <c r="CG68" s="14">
        <f t="shared" si="7"/>
        <v>141</v>
      </c>
      <c r="CH68" s="14">
        <v>100</v>
      </c>
      <c r="CI68" s="34"/>
      <c r="CJ68" s="34">
        <v>2</v>
      </c>
      <c r="CK68" s="34">
        <v>34</v>
      </c>
      <c r="CL68" s="34">
        <v>1</v>
      </c>
      <c r="CM68" s="52">
        <v>100</v>
      </c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</row>
    <row r="69" spans="2:118" ht="18.75" customHeight="1">
      <c r="B69" s="20">
        <v>200050001</v>
      </c>
      <c r="C69" s="14">
        <v>20005</v>
      </c>
      <c r="D69" s="14" t="s">
        <v>1974</v>
      </c>
      <c r="E69" s="14">
        <v>4.3</v>
      </c>
      <c r="F69" s="14">
        <v>4.3</v>
      </c>
      <c r="G69" s="14">
        <v>10</v>
      </c>
      <c r="H69" s="14">
        <v>99</v>
      </c>
      <c r="I69" s="14" t="b">
        <v>1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34"/>
      <c r="BM69" s="23"/>
      <c r="BN69" s="14"/>
      <c r="BO69" s="14"/>
      <c r="BP69" s="14"/>
      <c r="BQ69" s="34"/>
      <c r="BR69" s="34"/>
      <c r="BS69" s="14"/>
      <c r="BT69" s="34"/>
      <c r="BU69" s="34"/>
      <c r="BV69" s="34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34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34"/>
      <c r="CJ69" s="34">
        <v>2</v>
      </c>
      <c r="CK69" s="34">
        <v>35</v>
      </c>
      <c r="CL69" s="34">
        <v>1</v>
      </c>
      <c r="CM69" s="52">
        <v>5</v>
      </c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</row>
    <row r="70" spans="2:118" ht="18.75" customHeight="1">
      <c r="B70" s="20">
        <v>200050002</v>
      </c>
      <c r="C70" s="14">
        <v>20005</v>
      </c>
      <c r="D70" s="14" t="s">
        <v>1975</v>
      </c>
      <c r="E70" s="14">
        <v>4.5</v>
      </c>
      <c r="F70" s="14">
        <v>4.5</v>
      </c>
      <c r="G70" s="14">
        <v>20</v>
      </c>
      <c r="H70" s="14">
        <v>99</v>
      </c>
      <c r="I70" s="14" t="b">
        <v>1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34"/>
      <c r="BM70" s="23"/>
      <c r="BN70" s="14">
        <v>1</v>
      </c>
      <c r="BO70" s="14">
        <v>200010001</v>
      </c>
      <c r="BP70" s="14"/>
      <c r="BQ70" s="34"/>
      <c r="BR70" s="34"/>
      <c r="BS70" s="14"/>
      <c r="BT70" s="34"/>
      <c r="BU70" s="34"/>
      <c r="BV70" s="34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34"/>
      <c r="CE70" s="20">
        <v>3</v>
      </c>
      <c r="CF70" s="14">
        <v>24</v>
      </c>
      <c r="CG70" s="14">
        <f t="shared" si="9"/>
        <v>90</v>
      </c>
      <c r="CH70" s="14">
        <v>100</v>
      </c>
      <c r="CI70" s="34"/>
      <c r="CJ70" s="34">
        <v>2</v>
      </c>
      <c r="CK70" s="34">
        <v>35</v>
      </c>
      <c r="CL70" s="34">
        <v>1</v>
      </c>
      <c r="CM70" s="52">
        <v>15</v>
      </c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</row>
    <row r="71" spans="2:118" ht="18.75" customHeight="1">
      <c r="B71" s="20">
        <v>200050003</v>
      </c>
      <c r="C71" s="14">
        <v>20005</v>
      </c>
      <c r="D71" s="14" t="s">
        <v>1976</v>
      </c>
      <c r="E71" s="14">
        <v>4.7</v>
      </c>
      <c r="F71" s="14">
        <v>4.7</v>
      </c>
      <c r="G71" s="14">
        <v>30</v>
      </c>
      <c r="H71" s="14">
        <v>99</v>
      </c>
      <c r="I71" s="14" t="b">
        <v>1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34"/>
      <c r="BM71" s="23"/>
      <c r="BN71" s="14">
        <v>1</v>
      </c>
      <c r="BO71" s="14">
        <v>200010002</v>
      </c>
      <c r="BP71" s="14"/>
      <c r="BQ71" s="34"/>
      <c r="BR71" s="34"/>
      <c r="BS71" s="14"/>
      <c r="BT71" s="34"/>
      <c r="BU71" s="34"/>
      <c r="BV71" s="34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34"/>
      <c r="CE71" s="20">
        <v>3</v>
      </c>
      <c r="CF71" s="14">
        <v>24</v>
      </c>
      <c r="CG71" s="14">
        <f t="shared" si="9"/>
        <v>141</v>
      </c>
      <c r="CH71" s="14">
        <v>100</v>
      </c>
      <c r="CI71" s="34"/>
      <c r="CJ71" s="34">
        <v>2</v>
      </c>
      <c r="CK71" s="34">
        <v>35</v>
      </c>
      <c r="CL71" s="34">
        <v>1</v>
      </c>
      <c r="CM71" s="52">
        <v>100</v>
      </c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</row>
    <row r="72" spans="2:118" ht="18.75" customHeight="1">
      <c r="B72" s="43">
        <v>300010001</v>
      </c>
      <c r="C72" s="34">
        <v>30001</v>
      </c>
      <c r="D72" s="34" t="s">
        <v>1773</v>
      </c>
      <c r="E72" s="14">
        <v>8.6</v>
      </c>
      <c r="F72" s="14">
        <v>4.3</v>
      </c>
      <c r="G72" s="14">
        <v>10</v>
      </c>
      <c r="H72" s="34">
        <v>99</v>
      </c>
      <c r="I72" s="14" t="b">
        <v>1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86</v>
      </c>
      <c r="CC72" s="14">
        <v>100</v>
      </c>
      <c r="CD72" s="34"/>
      <c r="CE72" s="20">
        <v>3</v>
      </c>
      <c r="CF72" s="14">
        <v>24</v>
      </c>
      <c r="CG72" s="14">
        <f t="shared" si="1"/>
        <v>43</v>
      </c>
      <c r="CH72" s="14">
        <v>100</v>
      </c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</row>
    <row r="73" spans="2:118" ht="18.75" customHeight="1">
      <c r="B73" s="43">
        <v>300010002</v>
      </c>
      <c r="C73" s="34">
        <v>30001</v>
      </c>
      <c r="D73" s="34" t="s">
        <v>1784</v>
      </c>
      <c r="E73" s="14">
        <v>12.4</v>
      </c>
      <c r="F73" s="14">
        <v>4.5</v>
      </c>
      <c r="G73" s="14">
        <v>20</v>
      </c>
      <c r="H73" s="34">
        <v>99</v>
      </c>
      <c r="I73" s="14" t="b">
        <v>1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34"/>
      <c r="BI73" s="34"/>
      <c r="BJ73" s="34"/>
      <c r="BK73" s="34"/>
      <c r="BL73" s="34"/>
      <c r="BM73" s="34"/>
      <c r="BN73" s="34">
        <v>1</v>
      </c>
      <c r="BO73" s="34">
        <v>300010001</v>
      </c>
      <c r="BP73" s="34"/>
      <c r="BQ73" s="34"/>
      <c r="BR73" s="34"/>
      <c r="BS73" s="34"/>
      <c r="BT73" s="34"/>
      <c r="BU73" s="34"/>
      <c r="BV73" s="34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248</v>
      </c>
      <c r="CC73" s="14">
        <v>100</v>
      </c>
      <c r="CD73" s="34"/>
      <c r="CE73" s="20">
        <v>3</v>
      </c>
      <c r="CF73" s="14">
        <v>24</v>
      </c>
      <c r="CG73" s="14">
        <f t="shared" si="1"/>
        <v>90</v>
      </c>
      <c r="CH73" s="14">
        <v>100</v>
      </c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</row>
    <row r="74" spans="2:118" ht="18.75" customHeight="1">
      <c r="B74" s="43">
        <v>300010003</v>
      </c>
      <c r="C74" s="34">
        <v>30001</v>
      </c>
      <c r="D74" s="34" t="s">
        <v>1785</v>
      </c>
      <c r="E74" s="14">
        <v>20.100000000000001</v>
      </c>
      <c r="F74" s="14">
        <v>4.7</v>
      </c>
      <c r="G74" s="14">
        <v>30</v>
      </c>
      <c r="H74" s="34">
        <v>99</v>
      </c>
      <c r="I74" s="14" t="b">
        <v>1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34"/>
      <c r="BI74" s="34"/>
      <c r="BJ74" s="34"/>
      <c r="BK74" s="34"/>
      <c r="BL74" s="34"/>
      <c r="BM74" s="34"/>
      <c r="BN74" s="34">
        <v>1</v>
      </c>
      <c r="BO74" s="34">
        <v>300010002</v>
      </c>
      <c r="BP74" s="34"/>
      <c r="BQ74" s="34"/>
      <c r="BR74" s="34"/>
      <c r="BS74" s="34"/>
      <c r="BT74" s="34"/>
      <c r="BU74" s="34"/>
      <c r="BV74" s="34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603</v>
      </c>
      <c r="CC74" s="14">
        <v>100</v>
      </c>
      <c r="CD74" s="34"/>
      <c r="CE74" s="20">
        <v>3</v>
      </c>
      <c r="CF74" s="14">
        <v>24</v>
      </c>
      <c r="CG74" s="14">
        <f t="shared" si="1"/>
        <v>141</v>
      </c>
      <c r="CH74" s="14">
        <v>100</v>
      </c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</row>
    <row r="75" spans="2:118" ht="18.75" customHeight="1">
      <c r="B75" s="43">
        <v>300020001</v>
      </c>
      <c r="C75" s="34">
        <v>30002</v>
      </c>
      <c r="D75" s="34" t="s">
        <v>1786</v>
      </c>
      <c r="E75" s="14">
        <v>4.3</v>
      </c>
      <c r="F75" s="14">
        <v>8.6</v>
      </c>
      <c r="G75" s="14">
        <v>10</v>
      </c>
      <c r="H75" s="34">
        <v>99</v>
      </c>
      <c r="I75" s="14" t="b">
        <v>1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34"/>
      <c r="CE75" s="20">
        <v>3</v>
      </c>
      <c r="CF75" s="14">
        <v>24</v>
      </c>
      <c r="CG75" s="14">
        <f t="shared" si="1"/>
        <v>86</v>
      </c>
      <c r="CH75" s="14">
        <v>100</v>
      </c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</row>
    <row r="76" spans="2:118" ht="18.75" customHeight="1">
      <c r="B76" s="43">
        <v>300020002</v>
      </c>
      <c r="C76" s="34">
        <v>30002</v>
      </c>
      <c r="D76" s="34" t="s">
        <v>1787</v>
      </c>
      <c r="E76" s="14">
        <v>4.5</v>
      </c>
      <c r="F76" s="14">
        <v>12.4</v>
      </c>
      <c r="G76" s="14">
        <v>20</v>
      </c>
      <c r="H76" s="34">
        <v>99</v>
      </c>
      <c r="I76" s="14" t="b">
        <v>1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34"/>
      <c r="BI76" s="34"/>
      <c r="BJ76" s="34"/>
      <c r="BK76" s="34"/>
      <c r="BL76" s="34"/>
      <c r="BM76" s="34"/>
      <c r="BN76" s="34">
        <v>1</v>
      </c>
      <c r="BO76" s="34">
        <v>300020001</v>
      </c>
      <c r="BP76" s="34"/>
      <c r="BQ76" s="34"/>
      <c r="BR76" s="34"/>
      <c r="BS76" s="34"/>
      <c r="BT76" s="34"/>
      <c r="BU76" s="34"/>
      <c r="BV76" s="34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34"/>
      <c r="CE76" s="20">
        <v>3</v>
      </c>
      <c r="CF76" s="14">
        <v>24</v>
      </c>
      <c r="CG76" s="14">
        <f t="shared" si="1"/>
        <v>248</v>
      </c>
      <c r="CH76" s="14">
        <v>100</v>
      </c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</row>
    <row r="77" spans="2:118" ht="18.75" customHeight="1">
      <c r="B77" s="43">
        <v>300020003</v>
      </c>
      <c r="C77" s="34">
        <v>30002</v>
      </c>
      <c r="D77" s="34" t="s">
        <v>1788</v>
      </c>
      <c r="E77" s="14">
        <v>4.7</v>
      </c>
      <c r="F77" s="14">
        <v>20.100000000000001</v>
      </c>
      <c r="G77" s="14">
        <v>30</v>
      </c>
      <c r="H77" s="34">
        <v>99</v>
      </c>
      <c r="I77" s="14" t="b">
        <v>1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34"/>
      <c r="BI77" s="34"/>
      <c r="BJ77" s="34"/>
      <c r="BK77" s="34"/>
      <c r="BL77" s="34"/>
      <c r="BM77" s="34"/>
      <c r="BN77" s="34">
        <v>1</v>
      </c>
      <c r="BO77" s="34">
        <v>300020002</v>
      </c>
      <c r="BP77" s="34"/>
      <c r="BQ77" s="34"/>
      <c r="BR77" s="34"/>
      <c r="BS77" s="34"/>
      <c r="BT77" s="34"/>
      <c r="BU77" s="34"/>
      <c r="BV77" s="34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34"/>
      <c r="CE77" s="20">
        <v>3</v>
      </c>
      <c r="CF77" s="14">
        <v>24</v>
      </c>
      <c r="CG77" s="14">
        <f t="shared" si="1"/>
        <v>603</v>
      </c>
      <c r="CH77" s="14">
        <v>100</v>
      </c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</row>
    <row r="78" spans="2:118" ht="18.75" customHeight="1">
      <c r="B78" s="43">
        <v>300030001</v>
      </c>
      <c r="C78" s="34">
        <v>30003</v>
      </c>
      <c r="D78" s="34" t="s">
        <v>1855</v>
      </c>
      <c r="E78" s="14">
        <v>4.3</v>
      </c>
      <c r="F78" s="14">
        <v>4.3</v>
      </c>
      <c r="G78" s="14">
        <v>10</v>
      </c>
      <c r="H78" s="34">
        <v>99</v>
      </c>
      <c r="I78" s="14" t="b">
        <v>1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34"/>
      <c r="BI78" s="34"/>
      <c r="BJ78" s="34"/>
      <c r="BK78" s="34"/>
      <c r="BL78" s="34"/>
      <c r="BM78" s="34"/>
      <c r="BN78" s="34">
        <v>14</v>
      </c>
      <c r="BO78" s="34"/>
      <c r="BP78" s="34" t="s">
        <v>1790</v>
      </c>
      <c r="BQ78" s="34"/>
      <c r="BR78" s="34"/>
      <c r="BS78" s="34"/>
      <c r="BT78" s="34"/>
      <c r="BU78" s="34"/>
      <c r="BV78" s="34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34"/>
      <c r="CE78" s="20">
        <v>3</v>
      </c>
      <c r="CF78" s="14">
        <v>24</v>
      </c>
      <c r="CG78" s="14">
        <f t="shared" si="1"/>
        <v>43</v>
      </c>
      <c r="CH78" s="14">
        <v>100</v>
      </c>
      <c r="CI78" s="34"/>
      <c r="CJ78" s="34">
        <v>3</v>
      </c>
      <c r="CK78" s="34">
        <v>1</v>
      </c>
      <c r="CL78" s="34">
        <v>5</v>
      </c>
      <c r="CM78" s="34">
        <v>100</v>
      </c>
      <c r="CN78" s="34"/>
      <c r="CO78" s="34">
        <v>3</v>
      </c>
      <c r="CP78" s="34">
        <v>6</v>
      </c>
      <c r="CQ78" s="34">
        <v>2</v>
      </c>
      <c r="CR78" s="34">
        <v>100</v>
      </c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</row>
    <row r="79" spans="2:118" ht="18.75" customHeight="1">
      <c r="B79" s="43">
        <v>300030002</v>
      </c>
      <c r="C79" s="34">
        <v>30003</v>
      </c>
      <c r="D79" s="34" t="s">
        <v>1856</v>
      </c>
      <c r="E79" s="14">
        <v>4.5</v>
      </c>
      <c r="F79" s="14">
        <v>4.5</v>
      </c>
      <c r="G79" s="14">
        <v>20</v>
      </c>
      <c r="H79" s="34">
        <v>99</v>
      </c>
      <c r="I79" s="14" t="b">
        <v>1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34"/>
      <c r="BI79" s="34"/>
      <c r="BJ79" s="34"/>
      <c r="BK79" s="34"/>
      <c r="BL79" s="34"/>
      <c r="BM79" s="34"/>
      <c r="BN79" s="34">
        <v>14</v>
      </c>
      <c r="BO79" s="34"/>
      <c r="BP79" s="34" t="s">
        <v>1790</v>
      </c>
      <c r="BQ79" s="34">
        <v>1</v>
      </c>
      <c r="BR79" s="34">
        <v>300030001</v>
      </c>
      <c r="BS79" s="34"/>
      <c r="BT79" s="34"/>
      <c r="BU79" s="34"/>
      <c r="BV79" s="34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34"/>
      <c r="CE79" s="20">
        <v>3</v>
      </c>
      <c r="CF79" s="14">
        <v>24</v>
      </c>
      <c r="CG79" s="14">
        <f t="shared" si="1"/>
        <v>90</v>
      </c>
      <c r="CH79" s="14">
        <v>100</v>
      </c>
      <c r="CI79" s="34"/>
      <c r="CJ79" s="34">
        <v>3</v>
      </c>
      <c r="CK79" s="34">
        <v>1</v>
      </c>
      <c r="CL79" s="34">
        <v>15</v>
      </c>
      <c r="CM79" s="34">
        <v>100</v>
      </c>
      <c r="CN79" s="34"/>
      <c r="CO79" s="34">
        <v>3</v>
      </c>
      <c r="CP79" s="34">
        <v>6</v>
      </c>
      <c r="CQ79" s="34">
        <v>10</v>
      </c>
      <c r="CR79" s="34">
        <v>100</v>
      </c>
      <c r="CS79" s="34"/>
      <c r="CT79" s="34">
        <v>3</v>
      </c>
      <c r="CU79" s="34">
        <v>11</v>
      </c>
      <c r="CV79" s="34">
        <v>5</v>
      </c>
      <c r="CW79" s="34">
        <v>100</v>
      </c>
      <c r="CX79" s="34"/>
      <c r="CY79" s="34">
        <v>3</v>
      </c>
      <c r="CZ79" s="34">
        <v>16</v>
      </c>
      <c r="DA79" s="34">
        <v>2</v>
      </c>
      <c r="DB79" s="34">
        <v>100</v>
      </c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</row>
    <row r="80" spans="2:118" ht="18.75" customHeight="1">
      <c r="B80" s="43">
        <v>300030003</v>
      </c>
      <c r="C80" s="34">
        <v>30003</v>
      </c>
      <c r="D80" s="34" t="s">
        <v>1857</v>
      </c>
      <c r="E80" s="14">
        <v>4.7</v>
      </c>
      <c r="F80" s="14">
        <v>4.7</v>
      </c>
      <c r="G80" s="14">
        <v>30</v>
      </c>
      <c r="H80" s="34">
        <v>99</v>
      </c>
      <c r="I80" s="14" t="b">
        <v>1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34"/>
      <c r="BI80" s="34"/>
      <c r="BJ80" s="34"/>
      <c r="BK80" s="34"/>
      <c r="BL80" s="34"/>
      <c r="BM80" s="34"/>
      <c r="BN80" s="34">
        <v>14</v>
      </c>
      <c r="BO80" s="34"/>
      <c r="BP80" s="34" t="s">
        <v>1790</v>
      </c>
      <c r="BQ80" s="34">
        <v>1</v>
      </c>
      <c r="BR80" s="34">
        <v>300030002</v>
      </c>
      <c r="BS80" s="34"/>
      <c r="BT80" s="34"/>
      <c r="BU80" s="34"/>
      <c r="BV80" s="34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34"/>
      <c r="CE80" s="20">
        <v>3</v>
      </c>
      <c r="CF80" s="14">
        <v>24</v>
      </c>
      <c r="CG80" s="14">
        <f t="shared" si="1"/>
        <v>141</v>
      </c>
      <c r="CH80" s="14">
        <v>100</v>
      </c>
      <c r="CI80" s="34"/>
      <c r="CJ80" s="34">
        <v>3</v>
      </c>
      <c r="CK80" s="34">
        <v>1</v>
      </c>
      <c r="CL80" s="34">
        <v>25</v>
      </c>
      <c r="CM80" s="34">
        <v>100</v>
      </c>
      <c r="CN80" s="34"/>
      <c r="CO80" s="34">
        <v>3</v>
      </c>
      <c r="CP80" s="34">
        <v>6</v>
      </c>
      <c r="CQ80" s="34">
        <v>20</v>
      </c>
      <c r="CR80" s="34">
        <v>100</v>
      </c>
      <c r="CS80" s="34"/>
      <c r="CT80" s="34">
        <v>3</v>
      </c>
      <c r="CU80" s="34">
        <v>11</v>
      </c>
      <c r="CV80" s="34">
        <v>10</v>
      </c>
      <c r="CW80" s="34">
        <v>100</v>
      </c>
      <c r="CX80" s="34"/>
      <c r="CY80" s="34">
        <v>3</v>
      </c>
      <c r="CZ80" s="34">
        <v>16</v>
      </c>
      <c r="DA80" s="34">
        <v>5</v>
      </c>
      <c r="DB80" s="34">
        <v>100</v>
      </c>
      <c r="DC80" s="34"/>
      <c r="DD80" s="34">
        <v>3</v>
      </c>
      <c r="DE80" s="34">
        <v>21</v>
      </c>
      <c r="DF80" s="34">
        <v>1</v>
      </c>
      <c r="DG80" s="34">
        <v>10</v>
      </c>
      <c r="DH80" s="34"/>
      <c r="DI80" s="34"/>
      <c r="DJ80" s="34"/>
      <c r="DK80" s="34"/>
      <c r="DL80" s="34"/>
      <c r="DM80" s="34"/>
      <c r="DN80" s="34"/>
    </row>
    <row r="81" spans="2:118" ht="18.75" customHeight="1">
      <c r="B81" s="43">
        <v>300040001</v>
      </c>
      <c r="C81" s="34">
        <v>30004</v>
      </c>
      <c r="D81" s="34" t="s">
        <v>1859</v>
      </c>
      <c r="E81" s="14">
        <v>4.3</v>
      </c>
      <c r="F81" s="14">
        <v>4.3</v>
      </c>
      <c r="G81" s="14">
        <v>10</v>
      </c>
      <c r="H81" s="34">
        <v>99</v>
      </c>
      <c r="I81" s="14" t="b">
        <v>1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34"/>
      <c r="BI81" s="34"/>
      <c r="BJ81" s="34"/>
      <c r="BK81" s="34"/>
      <c r="BL81" s="34"/>
      <c r="BM81" s="34"/>
      <c r="BN81" s="34">
        <v>14</v>
      </c>
      <c r="BO81" s="34"/>
      <c r="BP81" s="34" t="s">
        <v>1791</v>
      </c>
      <c r="BQ81" s="34"/>
      <c r="BR81" s="34"/>
      <c r="BS81" s="34"/>
      <c r="BT81" s="34"/>
      <c r="BU81" s="34"/>
      <c r="BV81" s="34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2" si="10">ROUND(E81*G81,0)</f>
        <v>43</v>
      </c>
      <c r="CC81" s="14">
        <v>100</v>
      </c>
      <c r="CD81" s="34"/>
      <c r="CE81" s="20">
        <v>3</v>
      </c>
      <c r="CF81" s="14">
        <v>24</v>
      </c>
      <c r="CG81" s="14">
        <f t="shared" ref="CG81:CG92" si="11">ROUND(F81*G81,0)</f>
        <v>43</v>
      </c>
      <c r="CH81" s="14">
        <v>100</v>
      </c>
      <c r="CI81" s="34"/>
      <c r="CJ81" s="34">
        <v>3</v>
      </c>
      <c r="CK81" s="34">
        <v>2</v>
      </c>
      <c r="CL81" s="34">
        <v>5</v>
      </c>
      <c r="CM81" s="34">
        <v>100</v>
      </c>
      <c r="CN81" s="34"/>
      <c r="CO81" s="34">
        <v>3</v>
      </c>
      <c r="CP81" s="34">
        <v>7</v>
      </c>
      <c r="CQ81" s="34">
        <v>2</v>
      </c>
      <c r="CR81" s="34">
        <v>100</v>
      </c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  <c r="DN81" s="34"/>
    </row>
    <row r="82" spans="2:118" ht="18.75" customHeight="1">
      <c r="B82" s="43">
        <v>300040002</v>
      </c>
      <c r="C82" s="34">
        <v>30004</v>
      </c>
      <c r="D82" s="34" t="s">
        <v>1860</v>
      </c>
      <c r="E82" s="14">
        <v>4.5</v>
      </c>
      <c r="F82" s="14">
        <v>4.5</v>
      </c>
      <c r="G82" s="14">
        <v>20</v>
      </c>
      <c r="H82" s="34">
        <v>99</v>
      </c>
      <c r="I82" s="14" t="b">
        <v>1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34"/>
      <c r="BI82" s="34"/>
      <c r="BJ82" s="34"/>
      <c r="BK82" s="34"/>
      <c r="BL82" s="34"/>
      <c r="BM82" s="34"/>
      <c r="BN82" s="34">
        <v>14</v>
      </c>
      <c r="BO82" s="34"/>
      <c r="BP82" s="34" t="s">
        <v>1791</v>
      </c>
      <c r="BQ82" s="34">
        <v>1</v>
      </c>
      <c r="BR82" s="34">
        <v>300040001</v>
      </c>
      <c r="BS82" s="34"/>
      <c r="BT82" s="34"/>
      <c r="BU82" s="34"/>
      <c r="BV82" s="34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34"/>
      <c r="CE82" s="20">
        <v>3</v>
      </c>
      <c r="CF82" s="14">
        <v>24</v>
      </c>
      <c r="CG82" s="14">
        <f t="shared" si="11"/>
        <v>90</v>
      </c>
      <c r="CH82" s="14">
        <v>100</v>
      </c>
      <c r="CI82" s="34"/>
      <c r="CJ82" s="34">
        <v>3</v>
      </c>
      <c r="CK82" s="34">
        <v>2</v>
      </c>
      <c r="CL82" s="34">
        <v>15</v>
      </c>
      <c r="CM82" s="34">
        <v>100</v>
      </c>
      <c r="CN82" s="34"/>
      <c r="CO82" s="34">
        <v>3</v>
      </c>
      <c r="CP82" s="34">
        <v>7</v>
      </c>
      <c r="CQ82" s="34">
        <v>10</v>
      </c>
      <c r="CR82" s="34">
        <v>100</v>
      </c>
      <c r="CS82" s="34"/>
      <c r="CT82" s="34">
        <v>3</v>
      </c>
      <c r="CU82" s="34">
        <v>12</v>
      </c>
      <c r="CV82" s="34">
        <v>5</v>
      </c>
      <c r="CW82" s="34">
        <v>100</v>
      </c>
      <c r="CX82" s="34"/>
      <c r="CY82" s="34">
        <v>3</v>
      </c>
      <c r="CZ82" s="34">
        <v>17</v>
      </c>
      <c r="DA82" s="34">
        <v>2</v>
      </c>
      <c r="DB82" s="34">
        <v>100</v>
      </c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  <c r="DN82" s="34"/>
    </row>
    <row r="83" spans="2:118" ht="18.75" customHeight="1">
      <c r="B83" s="43">
        <v>300040003</v>
      </c>
      <c r="C83" s="34">
        <v>30004</v>
      </c>
      <c r="D83" s="34" t="s">
        <v>1861</v>
      </c>
      <c r="E83" s="14">
        <v>4.7</v>
      </c>
      <c r="F83" s="14">
        <v>4.7</v>
      </c>
      <c r="G83" s="14">
        <v>30</v>
      </c>
      <c r="H83" s="34">
        <v>99</v>
      </c>
      <c r="I83" s="14" t="b">
        <v>1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34"/>
      <c r="BI83" s="34"/>
      <c r="BJ83" s="34"/>
      <c r="BK83" s="34"/>
      <c r="BL83" s="34"/>
      <c r="BM83" s="34"/>
      <c r="BN83" s="34">
        <v>14</v>
      </c>
      <c r="BO83" s="34"/>
      <c r="BP83" s="34" t="s">
        <v>1791</v>
      </c>
      <c r="BQ83" s="34">
        <v>1</v>
      </c>
      <c r="BR83" s="34">
        <v>300040002</v>
      </c>
      <c r="BS83" s="34"/>
      <c r="BT83" s="34"/>
      <c r="BU83" s="34"/>
      <c r="BV83" s="34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34"/>
      <c r="CE83" s="20">
        <v>3</v>
      </c>
      <c r="CF83" s="14">
        <v>24</v>
      </c>
      <c r="CG83" s="14">
        <f t="shared" si="11"/>
        <v>141</v>
      </c>
      <c r="CH83" s="14">
        <v>100</v>
      </c>
      <c r="CI83" s="34"/>
      <c r="CJ83" s="34">
        <v>3</v>
      </c>
      <c r="CK83" s="34">
        <v>2</v>
      </c>
      <c r="CL83" s="34">
        <v>25</v>
      </c>
      <c r="CM83" s="34">
        <v>100</v>
      </c>
      <c r="CN83" s="34"/>
      <c r="CO83" s="34">
        <v>3</v>
      </c>
      <c r="CP83" s="34">
        <v>7</v>
      </c>
      <c r="CQ83" s="34">
        <v>20</v>
      </c>
      <c r="CR83" s="34">
        <v>100</v>
      </c>
      <c r="CS83" s="34"/>
      <c r="CT83" s="34">
        <v>3</v>
      </c>
      <c r="CU83" s="34">
        <v>12</v>
      </c>
      <c r="CV83" s="34">
        <v>10</v>
      </c>
      <c r="CW83" s="34">
        <v>100</v>
      </c>
      <c r="CX83" s="34"/>
      <c r="CY83" s="34">
        <v>3</v>
      </c>
      <c r="CZ83" s="34">
        <v>17</v>
      </c>
      <c r="DA83" s="34">
        <v>5</v>
      </c>
      <c r="DB83" s="34">
        <v>100</v>
      </c>
      <c r="DC83" s="34"/>
      <c r="DD83" s="34">
        <v>3</v>
      </c>
      <c r="DE83" s="34">
        <v>21</v>
      </c>
      <c r="DF83" s="34">
        <v>1</v>
      </c>
      <c r="DG83" s="34">
        <v>10</v>
      </c>
      <c r="DH83" s="34"/>
      <c r="DI83" s="34"/>
      <c r="DJ83" s="34"/>
      <c r="DK83" s="34"/>
      <c r="DL83" s="34"/>
      <c r="DM83" s="34"/>
      <c r="DN83" s="34"/>
    </row>
    <row r="84" spans="2:118" ht="18.75" customHeight="1">
      <c r="B84" s="43">
        <v>300050001</v>
      </c>
      <c r="C84" s="34">
        <v>30005</v>
      </c>
      <c r="D84" s="34" t="s">
        <v>1863</v>
      </c>
      <c r="E84" s="14">
        <v>4.3</v>
      </c>
      <c r="F84" s="14">
        <v>4.3</v>
      </c>
      <c r="G84" s="14">
        <v>10</v>
      </c>
      <c r="H84" s="34">
        <v>99</v>
      </c>
      <c r="I84" s="14" t="b">
        <v>1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34"/>
      <c r="BI84" s="34"/>
      <c r="BJ84" s="34"/>
      <c r="BK84" s="34"/>
      <c r="BL84" s="34"/>
      <c r="BM84" s="34"/>
      <c r="BN84" s="34">
        <v>14</v>
      </c>
      <c r="BO84" s="34"/>
      <c r="BP84" s="34" t="s">
        <v>1792</v>
      </c>
      <c r="BQ84" s="34"/>
      <c r="BR84" s="34"/>
      <c r="BS84" s="34"/>
      <c r="BT84" s="34"/>
      <c r="BU84" s="34"/>
      <c r="BV84" s="34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34"/>
      <c r="CE84" s="20">
        <v>3</v>
      </c>
      <c r="CF84" s="14">
        <v>24</v>
      </c>
      <c r="CG84" s="14">
        <f t="shared" si="11"/>
        <v>43</v>
      </c>
      <c r="CH84" s="14">
        <v>100</v>
      </c>
      <c r="CI84" s="34"/>
      <c r="CJ84" s="34">
        <v>3</v>
      </c>
      <c r="CK84" s="34">
        <v>3</v>
      </c>
      <c r="CL84" s="34">
        <v>5</v>
      </c>
      <c r="CM84" s="34">
        <v>100</v>
      </c>
      <c r="CN84" s="34"/>
      <c r="CO84" s="34">
        <v>3</v>
      </c>
      <c r="CP84" s="34">
        <v>8</v>
      </c>
      <c r="CQ84" s="34">
        <v>2</v>
      </c>
      <c r="CR84" s="34">
        <v>100</v>
      </c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  <c r="DN84" s="34"/>
    </row>
    <row r="85" spans="2:118" ht="18.75" customHeight="1">
      <c r="B85" s="43">
        <v>300050002</v>
      </c>
      <c r="C85" s="34">
        <v>30005</v>
      </c>
      <c r="D85" s="34" t="s">
        <v>1864</v>
      </c>
      <c r="E85" s="14">
        <v>4.5</v>
      </c>
      <c r="F85" s="14">
        <v>4.5</v>
      </c>
      <c r="G85" s="14">
        <v>20</v>
      </c>
      <c r="H85" s="34">
        <v>99</v>
      </c>
      <c r="I85" s="14" t="b">
        <v>1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34"/>
      <c r="BI85" s="34"/>
      <c r="BJ85" s="34"/>
      <c r="BK85" s="34"/>
      <c r="BL85" s="34"/>
      <c r="BM85" s="34"/>
      <c r="BN85" s="34">
        <v>14</v>
      </c>
      <c r="BO85" s="34"/>
      <c r="BP85" s="34" t="s">
        <v>1792</v>
      </c>
      <c r="BQ85" s="34">
        <v>1</v>
      </c>
      <c r="BR85" s="34">
        <v>300050001</v>
      </c>
      <c r="BS85" s="34"/>
      <c r="BT85" s="34"/>
      <c r="BU85" s="34"/>
      <c r="BV85" s="34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34"/>
      <c r="CE85" s="20">
        <v>3</v>
      </c>
      <c r="CF85" s="14">
        <v>24</v>
      </c>
      <c r="CG85" s="14">
        <f t="shared" si="11"/>
        <v>90</v>
      </c>
      <c r="CH85" s="14">
        <v>100</v>
      </c>
      <c r="CI85" s="34"/>
      <c r="CJ85" s="34">
        <v>3</v>
      </c>
      <c r="CK85" s="34">
        <v>3</v>
      </c>
      <c r="CL85" s="34">
        <v>15</v>
      </c>
      <c r="CM85" s="34">
        <v>100</v>
      </c>
      <c r="CN85" s="34"/>
      <c r="CO85" s="34">
        <v>3</v>
      </c>
      <c r="CP85" s="34">
        <v>8</v>
      </c>
      <c r="CQ85" s="34">
        <v>10</v>
      </c>
      <c r="CR85" s="34">
        <v>100</v>
      </c>
      <c r="CS85" s="34"/>
      <c r="CT85" s="34">
        <v>3</v>
      </c>
      <c r="CU85" s="34">
        <v>13</v>
      </c>
      <c r="CV85" s="34">
        <v>5</v>
      </c>
      <c r="CW85" s="34">
        <v>100</v>
      </c>
      <c r="CX85" s="34"/>
      <c r="CY85" s="34">
        <v>3</v>
      </c>
      <c r="CZ85" s="34">
        <v>18</v>
      </c>
      <c r="DA85" s="34">
        <v>2</v>
      </c>
      <c r="DB85" s="34">
        <v>100</v>
      </c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  <c r="DN85" s="34"/>
    </row>
    <row r="86" spans="2:118" ht="18.75" customHeight="1">
      <c r="B86" s="43">
        <v>300050003</v>
      </c>
      <c r="C86" s="34">
        <v>30005</v>
      </c>
      <c r="D86" s="34" t="s">
        <v>1865</v>
      </c>
      <c r="E86" s="14">
        <v>4.7</v>
      </c>
      <c r="F86" s="14">
        <v>4.7</v>
      </c>
      <c r="G86" s="14">
        <v>30</v>
      </c>
      <c r="H86" s="34">
        <v>99</v>
      </c>
      <c r="I86" s="14" t="b">
        <v>1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34"/>
      <c r="BI86" s="34"/>
      <c r="BJ86" s="34"/>
      <c r="BK86" s="34"/>
      <c r="BL86" s="34"/>
      <c r="BM86" s="34"/>
      <c r="BN86" s="34">
        <v>14</v>
      </c>
      <c r="BO86" s="34"/>
      <c r="BP86" s="34" t="s">
        <v>1792</v>
      </c>
      <c r="BQ86" s="34">
        <v>1</v>
      </c>
      <c r="BR86" s="34">
        <v>300050002</v>
      </c>
      <c r="BS86" s="34"/>
      <c r="BT86" s="34"/>
      <c r="BU86" s="34"/>
      <c r="BV86" s="34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34"/>
      <c r="CE86" s="20">
        <v>3</v>
      </c>
      <c r="CF86" s="14">
        <v>24</v>
      </c>
      <c r="CG86" s="14">
        <f t="shared" si="11"/>
        <v>141</v>
      </c>
      <c r="CH86" s="14">
        <v>100</v>
      </c>
      <c r="CI86" s="34"/>
      <c r="CJ86" s="34">
        <v>3</v>
      </c>
      <c r="CK86" s="34">
        <v>3</v>
      </c>
      <c r="CL86" s="34">
        <v>25</v>
      </c>
      <c r="CM86" s="34">
        <v>100</v>
      </c>
      <c r="CN86" s="34"/>
      <c r="CO86" s="34">
        <v>3</v>
      </c>
      <c r="CP86" s="34">
        <v>8</v>
      </c>
      <c r="CQ86" s="34">
        <v>20</v>
      </c>
      <c r="CR86" s="34">
        <v>100</v>
      </c>
      <c r="CS86" s="34"/>
      <c r="CT86" s="34">
        <v>3</v>
      </c>
      <c r="CU86" s="34">
        <v>13</v>
      </c>
      <c r="CV86" s="34">
        <v>10</v>
      </c>
      <c r="CW86" s="34">
        <v>100</v>
      </c>
      <c r="CX86" s="34"/>
      <c r="CY86" s="34">
        <v>3</v>
      </c>
      <c r="CZ86" s="34">
        <v>18</v>
      </c>
      <c r="DA86" s="34">
        <v>5</v>
      </c>
      <c r="DB86" s="34">
        <v>100</v>
      </c>
      <c r="DC86" s="34"/>
      <c r="DD86" s="34">
        <v>3</v>
      </c>
      <c r="DE86" s="34">
        <v>21</v>
      </c>
      <c r="DF86" s="34">
        <v>1</v>
      </c>
      <c r="DG86" s="34">
        <v>10</v>
      </c>
      <c r="DH86" s="34"/>
      <c r="DI86" s="34"/>
      <c r="DJ86" s="34"/>
      <c r="DK86" s="34"/>
      <c r="DL86" s="34"/>
      <c r="DM86" s="34"/>
      <c r="DN86" s="34"/>
    </row>
    <row r="87" spans="2:118" ht="18.75" customHeight="1">
      <c r="B87" s="43">
        <v>300060001</v>
      </c>
      <c r="C87" s="34">
        <v>30006</v>
      </c>
      <c r="D87" s="34" t="s">
        <v>1867</v>
      </c>
      <c r="E87" s="14">
        <v>4.3</v>
      </c>
      <c r="F87" s="14">
        <v>4.3</v>
      </c>
      <c r="G87" s="14">
        <v>10</v>
      </c>
      <c r="H87" s="34">
        <v>99</v>
      </c>
      <c r="I87" s="14" t="b">
        <v>1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34"/>
      <c r="BI87" s="34"/>
      <c r="BJ87" s="34"/>
      <c r="BK87" s="34"/>
      <c r="BL87" s="34"/>
      <c r="BM87" s="34"/>
      <c r="BN87" s="34">
        <v>14</v>
      </c>
      <c r="BO87" s="34"/>
      <c r="BP87" s="34" t="s">
        <v>1793</v>
      </c>
      <c r="BQ87" s="34"/>
      <c r="BR87" s="34"/>
      <c r="BS87" s="34"/>
      <c r="BT87" s="34"/>
      <c r="BU87" s="34"/>
      <c r="BV87" s="34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34"/>
      <c r="CE87" s="20">
        <v>3</v>
      </c>
      <c r="CF87" s="14">
        <v>24</v>
      </c>
      <c r="CG87" s="14">
        <f t="shared" si="11"/>
        <v>43</v>
      </c>
      <c r="CH87" s="14">
        <v>100</v>
      </c>
      <c r="CI87" s="34"/>
      <c r="CJ87" s="34">
        <v>3</v>
      </c>
      <c r="CK87" s="34">
        <v>4</v>
      </c>
      <c r="CL87" s="34">
        <v>5</v>
      </c>
      <c r="CM87" s="34">
        <v>100</v>
      </c>
      <c r="CN87" s="34"/>
      <c r="CO87" s="34">
        <v>3</v>
      </c>
      <c r="CP87" s="34">
        <v>9</v>
      </c>
      <c r="CQ87" s="34">
        <v>2</v>
      </c>
      <c r="CR87" s="34">
        <v>100</v>
      </c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  <c r="DN87" s="34"/>
    </row>
    <row r="88" spans="2:118" ht="18.75" customHeight="1">
      <c r="B88" s="43">
        <v>300060002</v>
      </c>
      <c r="C88" s="34">
        <v>30006</v>
      </c>
      <c r="D88" s="34" t="s">
        <v>1868</v>
      </c>
      <c r="E88" s="14">
        <v>4.5</v>
      </c>
      <c r="F88" s="14">
        <v>4.5</v>
      </c>
      <c r="G88" s="14">
        <v>20</v>
      </c>
      <c r="H88" s="34">
        <v>99</v>
      </c>
      <c r="I88" s="14" t="b">
        <v>1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34"/>
      <c r="BI88" s="34"/>
      <c r="BJ88" s="34"/>
      <c r="BK88" s="34"/>
      <c r="BL88" s="34"/>
      <c r="BM88" s="34"/>
      <c r="BN88" s="34">
        <v>14</v>
      </c>
      <c r="BO88" s="34"/>
      <c r="BP88" s="34" t="s">
        <v>1793</v>
      </c>
      <c r="BQ88" s="34">
        <v>1</v>
      </c>
      <c r="BR88" s="34">
        <v>300060001</v>
      </c>
      <c r="BS88" s="34"/>
      <c r="BT88" s="34"/>
      <c r="BU88" s="34"/>
      <c r="BV88" s="34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34"/>
      <c r="CE88" s="20">
        <v>3</v>
      </c>
      <c r="CF88" s="14">
        <v>24</v>
      </c>
      <c r="CG88" s="14">
        <f t="shared" si="11"/>
        <v>90</v>
      </c>
      <c r="CH88" s="14">
        <v>100</v>
      </c>
      <c r="CI88" s="34"/>
      <c r="CJ88" s="34">
        <v>3</v>
      </c>
      <c r="CK88" s="34">
        <v>4</v>
      </c>
      <c r="CL88" s="34">
        <v>15</v>
      </c>
      <c r="CM88" s="34">
        <v>100</v>
      </c>
      <c r="CN88" s="34"/>
      <c r="CO88" s="34">
        <v>3</v>
      </c>
      <c r="CP88" s="34">
        <v>9</v>
      </c>
      <c r="CQ88" s="34">
        <v>10</v>
      </c>
      <c r="CR88" s="34">
        <v>100</v>
      </c>
      <c r="CS88" s="34"/>
      <c r="CT88" s="34">
        <v>3</v>
      </c>
      <c r="CU88" s="34">
        <v>14</v>
      </c>
      <c r="CV88" s="34">
        <v>5</v>
      </c>
      <c r="CW88" s="34">
        <v>100</v>
      </c>
      <c r="CX88" s="34"/>
      <c r="CY88" s="34">
        <v>3</v>
      </c>
      <c r="CZ88" s="34">
        <v>19</v>
      </c>
      <c r="DA88" s="34">
        <v>2</v>
      </c>
      <c r="DB88" s="34">
        <v>100</v>
      </c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  <c r="DN88" s="34"/>
    </row>
    <row r="89" spans="2:118" ht="18.75" customHeight="1">
      <c r="B89" s="43">
        <v>300060003</v>
      </c>
      <c r="C89" s="34">
        <v>30006</v>
      </c>
      <c r="D89" s="34" t="s">
        <v>1869</v>
      </c>
      <c r="E89" s="14">
        <v>4.7</v>
      </c>
      <c r="F89" s="14">
        <v>4.7</v>
      </c>
      <c r="G89" s="14">
        <v>30</v>
      </c>
      <c r="H89" s="34">
        <v>99</v>
      </c>
      <c r="I89" s="14" t="b">
        <v>1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34"/>
      <c r="BI89" s="34"/>
      <c r="BJ89" s="34"/>
      <c r="BK89" s="34"/>
      <c r="BL89" s="34"/>
      <c r="BM89" s="34"/>
      <c r="BN89" s="34">
        <v>14</v>
      </c>
      <c r="BO89" s="34"/>
      <c r="BP89" s="34" t="s">
        <v>1793</v>
      </c>
      <c r="BQ89" s="34">
        <v>1</v>
      </c>
      <c r="BR89" s="34">
        <v>300060002</v>
      </c>
      <c r="BS89" s="34"/>
      <c r="BT89" s="34"/>
      <c r="BU89" s="34"/>
      <c r="BV89" s="34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34"/>
      <c r="CE89" s="20">
        <v>3</v>
      </c>
      <c r="CF89" s="14">
        <v>24</v>
      </c>
      <c r="CG89" s="14">
        <f t="shared" si="11"/>
        <v>141</v>
      </c>
      <c r="CH89" s="14">
        <v>100</v>
      </c>
      <c r="CI89" s="34"/>
      <c r="CJ89" s="34">
        <v>3</v>
      </c>
      <c r="CK89" s="34">
        <v>4</v>
      </c>
      <c r="CL89" s="34">
        <v>25</v>
      </c>
      <c r="CM89" s="34">
        <v>100</v>
      </c>
      <c r="CN89" s="34"/>
      <c r="CO89" s="34">
        <v>3</v>
      </c>
      <c r="CP89" s="34">
        <v>9</v>
      </c>
      <c r="CQ89" s="34">
        <v>20</v>
      </c>
      <c r="CR89" s="34">
        <v>100</v>
      </c>
      <c r="CS89" s="34"/>
      <c r="CT89" s="34">
        <v>3</v>
      </c>
      <c r="CU89" s="34">
        <v>14</v>
      </c>
      <c r="CV89" s="34">
        <v>10</v>
      </c>
      <c r="CW89" s="34">
        <v>100</v>
      </c>
      <c r="CX89" s="34"/>
      <c r="CY89" s="34">
        <v>3</v>
      </c>
      <c r="CZ89" s="34">
        <v>19</v>
      </c>
      <c r="DA89" s="34">
        <v>5</v>
      </c>
      <c r="DB89" s="34">
        <v>100</v>
      </c>
      <c r="DC89" s="34"/>
      <c r="DD89" s="34">
        <v>3</v>
      </c>
      <c r="DE89" s="34">
        <v>21</v>
      </c>
      <c r="DF89" s="34">
        <v>1</v>
      </c>
      <c r="DG89" s="34">
        <v>10</v>
      </c>
      <c r="DH89" s="34"/>
      <c r="DI89" s="34"/>
      <c r="DJ89" s="34"/>
      <c r="DK89" s="34"/>
      <c r="DL89" s="34"/>
      <c r="DM89" s="34"/>
      <c r="DN89" s="34"/>
    </row>
    <row r="90" spans="2:118" ht="18.75" customHeight="1">
      <c r="B90" s="43">
        <v>300070001</v>
      </c>
      <c r="C90" s="34">
        <v>30007</v>
      </c>
      <c r="D90" s="34" t="s">
        <v>1871</v>
      </c>
      <c r="E90" s="14">
        <v>4.3</v>
      </c>
      <c r="F90" s="14">
        <v>4.3</v>
      </c>
      <c r="G90" s="14">
        <v>10</v>
      </c>
      <c r="H90" s="34">
        <v>99</v>
      </c>
      <c r="I90" s="14" t="b">
        <v>1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34"/>
      <c r="BI90" s="34"/>
      <c r="BJ90" s="34"/>
      <c r="BK90" s="34"/>
      <c r="BL90" s="34"/>
      <c r="BM90" s="34"/>
      <c r="BN90" s="34">
        <v>14</v>
      </c>
      <c r="BO90" s="34"/>
      <c r="BP90" s="34" t="s">
        <v>1794</v>
      </c>
      <c r="BQ90" s="34"/>
      <c r="BR90" s="34"/>
      <c r="BS90" s="34"/>
      <c r="BT90" s="34"/>
      <c r="BU90" s="34"/>
      <c r="BV90" s="34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34"/>
      <c r="CE90" s="20">
        <v>3</v>
      </c>
      <c r="CF90" s="14">
        <v>24</v>
      </c>
      <c r="CG90" s="14">
        <f t="shared" si="11"/>
        <v>43</v>
      </c>
      <c r="CH90" s="14">
        <v>100</v>
      </c>
      <c r="CI90" s="34"/>
      <c r="CJ90" s="34">
        <v>3</v>
      </c>
      <c r="CK90" s="34">
        <v>5</v>
      </c>
      <c r="CL90" s="34">
        <v>5</v>
      </c>
      <c r="CM90" s="34">
        <v>100</v>
      </c>
      <c r="CN90" s="34"/>
      <c r="CO90" s="34">
        <v>3</v>
      </c>
      <c r="CP90" s="34">
        <v>10</v>
      </c>
      <c r="CQ90" s="34">
        <v>2</v>
      </c>
      <c r="CR90" s="34">
        <v>100</v>
      </c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  <c r="DN90" s="34"/>
    </row>
    <row r="91" spans="2:118" ht="18.75" customHeight="1">
      <c r="B91" s="43">
        <v>300070002</v>
      </c>
      <c r="C91" s="34">
        <v>30007</v>
      </c>
      <c r="D91" s="34" t="s">
        <v>1872</v>
      </c>
      <c r="E91" s="14">
        <v>4.5</v>
      </c>
      <c r="F91" s="14">
        <v>4.5</v>
      </c>
      <c r="G91" s="14">
        <v>20</v>
      </c>
      <c r="H91" s="34">
        <v>99</v>
      </c>
      <c r="I91" s="14" t="b">
        <v>1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34"/>
      <c r="BI91" s="34"/>
      <c r="BJ91" s="34"/>
      <c r="BK91" s="34"/>
      <c r="BL91" s="34"/>
      <c r="BM91" s="34"/>
      <c r="BN91" s="34">
        <v>14</v>
      </c>
      <c r="BO91" s="34"/>
      <c r="BP91" s="34" t="s">
        <v>1794</v>
      </c>
      <c r="BQ91" s="34">
        <v>1</v>
      </c>
      <c r="BR91" s="34">
        <v>300070001</v>
      </c>
      <c r="BS91" s="34"/>
      <c r="BT91" s="34"/>
      <c r="BU91" s="34"/>
      <c r="BV91" s="34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34"/>
      <c r="CE91" s="20">
        <v>3</v>
      </c>
      <c r="CF91" s="14">
        <v>24</v>
      </c>
      <c r="CG91" s="14">
        <f t="shared" si="11"/>
        <v>90</v>
      </c>
      <c r="CH91" s="14">
        <v>100</v>
      </c>
      <c r="CI91" s="34"/>
      <c r="CJ91" s="34">
        <v>3</v>
      </c>
      <c r="CK91" s="34">
        <v>5</v>
      </c>
      <c r="CL91" s="34">
        <v>15</v>
      </c>
      <c r="CM91" s="34">
        <v>100</v>
      </c>
      <c r="CN91" s="34"/>
      <c r="CO91" s="34">
        <v>3</v>
      </c>
      <c r="CP91" s="34">
        <v>10</v>
      </c>
      <c r="CQ91" s="34">
        <v>10</v>
      </c>
      <c r="CR91" s="34">
        <v>100</v>
      </c>
      <c r="CS91" s="34"/>
      <c r="CT91" s="34">
        <v>3</v>
      </c>
      <c r="CU91" s="34">
        <v>15</v>
      </c>
      <c r="CV91" s="34">
        <v>5</v>
      </c>
      <c r="CW91" s="34">
        <v>100</v>
      </c>
      <c r="CX91" s="34"/>
      <c r="CY91" s="34">
        <v>3</v>
      </c>
      <c r="CZ91" s="34">
        <v>20</v>
      </c>
      <c r="DA91" s="34">
        <v>2</v>
      </c>
      <c r="DB91" s="34">
        <v>100</v>
      </c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  <c r="DN91" s="34"/>
    </row>
    <row r="92" spans="2:118" ht="18.75" customHeight="1">
      <c r="B92" s="43">
        <v>300070003</v>
      </c>
      <c r="C92" s="34">
        <v>30007</v>
      </c>
      <c r="D92" s="34" t="s">
        <v>1873</v>
      </c>
      <c r="E92" s="14">
        <v>4.7</v>
      </c>
      <c r="F92" s="14">
        <v>4.7</v>
      </c>
      <c r="G92" s="14">
        <v>30</v>
      </c>
      <c r="H92" s="34">
        <v>99</v>
      </c>
      <c r="I92" s="14" t="b">
        <v>1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34"/>
      <c r="BI92" s="34"/>
      <c r="BJ92" s="34"/>
      <c r="BK92" s="34"/>
      <c r="BL92" s="34"/>
      <c r="BM92" s="34"/>
      <c r="BN92" s="34">
        <v>14</v>
      </c>
      <c r="BO92" s="34"/>
      <c r="BP92" s="34" t="s">
        <v>1794</v>
      </c>
      <c r="BQ92" s="34">
        <v>1</v>
      </c>
      <c r="BR92" s="34">
        <v>300070002</v>
      </c>
      <c r="BS92" s="34"/>
      <c r="BT92" s="34"/>
      <c r="BU92" s="34"/>
      <c r="BV92" s="34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34"/>
      <c r="CE92" s="20">
        <v>3</v>
      </c>
      <c r="CF92" s="14">
        <v>24</v>
      </c>
      <c r="CG92" s="14">
        <f t="shared" si="11"/>
        <v>141</v>
      </c>
      <c r="CH92" s="14">
        <v>100</v>
      </c>
      <c r="CI92" s="34"/>
      <c r="CJ92" s="34">
        <v>3</v>
      </c>
      <c r="CK92" s="34">
        <v>5</v>
      </c>
      <c r="CL92" s="34">
        <v>25</v>
      </c>
      <c r="CM92" s="34">
        <v>100</v>
      </c>
      <c r="CN92" s="34"/>
      <c r="CO92" s="34">
        <v>3</v>
      </c>
      <c r="CP92" s="34">
        <v>10</v>
      </c>
      <c r="CQ92" s="34">
        <v>20</v>
      </c>
      <c r="CR92" s="34">
        <v>100</v>
      </c>
      <c r="CS92" s="34"/>
      <c r="CT92" s="34">
        <v>3</v>
      </c>
      <c r="CU92" s="34">
        <v>15</v>
      </c>
      <c r="CV92" s="34">
        <v>10</v>
      </c>
      <c r="CW92" s="34">
        <v>100</v>
      </c>
      <c r="CX92" s="34"/>
      <c r="CY92" s="34">
        <v>3</v>
      </c>
      <c r="CZ92" s="34">
        <v>20</v>
      </c>
      <c r="DA92" s="34">
        <v>5</v>
      </c>
      <c r="DB92" s="34">
        <v>100</v>
      </c>
      <c r="DC92" s="34"/>
      <c r="DD92" s="34">
        <v>3</v>
      </c>
      <c r="DE92" s="34">
        <v>21</v>
      </c>
      <c r="DF92" s="34">
        <v>1</v>
      </c>
      <c r="DG92" s="34">
        <v>10</v>
      </c>
      <c r="DH92" s="34"/>
      <c r="DI92" s="34"/>
      <c r="DJ92" s="34"/>
      <c r="DK92" s="34"/>
      <c r="DL92" s="34"/>
      <c r="DM92" s="34"/>
      <c r="DN92" s="34"/>
    </row>
    <row r="93" spans="2:118" ht="18.75" customHeight="1">
      <c r="B93" s="43"/>
      <c r="C93" s="34"/>
      <c r="D93" s="34"/>
      <c r="E93" s="34"/>
      <c r="F93" s="34"/>
      <c r="G93" s="34"/>
      <c r="H93" s="34"/>
      <c r="I93" s="34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  <c r="AL93" s="43"/>
      <c r="AM93" s="43"/>
      <c r="AN93" s="43"/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3"/>
      <c r="BA93" s="43"/>
      <c r="BB93" s="43"/>
      <c r="BC93" s="43"/>
      <c r="BD93" s="43"/>
      <c r="BE93" s="43"/>
      <c r="BF93" s="43"/>
      <c r="BG93" s="43"/>
      <c r="BH93" s="34"/>
      <c r="BI93" s="34"/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43"/>
      <c r="BX93" s="43"/>
      <c r="BY93" s="43"/>
      <c r="BZ93" s="43"/>
      <c r="CA93" s="34"/>
      <c r="CB93" s="34"/>
      <c r="CC93" s="34"/>
      <c r="CD93" s="34"/>
      <c r="CE93" s="43"/>
      <c r="CF93" s="34"/>
      <c r="CG93" s="34"/>
      <c r="CH93" s="34"/>
      <c r="CI93" s="34"/>
      <c r="CJ93" s="34"/>
      <c r="CK93" s="34"/>
      <c r="CL93" s="34"/>
      <c r="CM93" s="34"/>
      <c r="CN93" s="34"/>
      <c r="CO93" s="34"/>
      <c r="CP93" s="34"/>
      <c r="CQ93" s="34"/>
      <c r="CR93" s="34"/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  <c r="DN93" s="34"/>
    </row>
    <row r="94" spans="2:118" ht="18.75" customHeight="1">
      <c r="B94" s="43"/>
      <c r="C94" s="34"/>
      <c r="D94" s="34"/>
      <c r="E94" s="34"/>
      <c r="F94" s="34"/>
      <c r="G94" s="34"/>
      <c r="H94" s="34"/>
      <c r="I94" s="34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  <c r="AL94" s="43"/>
      <c r="AM94" s="43"/>
      <c r="AN94" s="43"/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3"/>
      <c r="BA94" s="43"/>
      <c r="BB94" s="43"/>
      <c r="BC94" s="43"/>
      <c r="BD94" s="43"/>
      <c r="BE94" s="43"/>
      <c r="BF94" s="43"/>
      <c r="BG94" s="43"/>
      <c r="BH94" s="34"/>
      <c r="BI94" s="34"/>
      <c r="BJ94" s="34"/>
      <c r="BK94" s="34"/>
      <c r="BL94" s="34"/>
      <c r="BM94" s="34"/>
      <c r="BN94" s="34"/>
      <c r="BO94" s="34"/>
      <c r="BP94" s="34"/>
      <c r="BQ94" s="34"/>
      <c r="BR94" s="34"/>
      <c r="BS94" s="34"/>
      <c r="BT94" s="34"/>
      <c r="BU94" s="34"/>
      <c r="BV94" s="34"/>
      <c r="BW94" s="43"/>
      <c r="BX94" s="43"/>
      <c r="BY94" s="43"/>
      <c r="BZ94" s="43"/>
      <c r="CA94" s="34"/>
      <c r="CB94" s="34"/>
      <c r="CC94" s="34"/>
      <c r="CD94" s="34"/>
      <c r="CE94" s="43"/>
      <c r="CF94" s="34"/>
      <c r="CG94" s="34"/>
      <c r="CH94" s="34"/>
      <c r="CI94" s="34"/>
      <c r="CJ94" s="34"/>
      <c r="CK94" s="34"/>
      <c r="CL94" s="34"/>
      <c r="CM94" s="34"/>
      <c r="CN94" s="34"/>
      <c r="CO94" s="34"/>
      <c r="CP94" s="34"/>
      <c r="CQ94" s="34"/>
      <c r="CR94" s="34"/>
      <c r="CS94" s="34"/>
      <c r="CT94" s="34"/>
      <c r="CU94" s="34"/>
      <c r="CV94" s="34"/>
      <c r="CW94" s="34"/>
      <c r="CX94" s="34"/>
      <c r="CY94" s="34"/>
      <c r="CZ94" s="34"/>
      <c r="DA94" s="34"/>
      <c r="DB94" s="34"/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  <c r="DN94" s="34"/>
    </row>
    <row r="95" spans="2:118" ht="18.75" customHeight="1">
      <c r="B95" s="43"/>
      <c r="C95" s="34"/>
      <c r="D95" s="34"/>
      <c r="E95" s="34"/>
      <c r="F95" s="34"/>
      <c r="G95" s="34"/>
      <c r="H95" s="34"/>
      <c r="I95" s="34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  <c r="AL95" s="43"/>
      <c r="AM95" s="43"/>
      <c r="AN95" s="43"/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3"/>
      <c r="BA95" s="43"/>
      <c r="BB95" s="43"/>
      <c r="BC95" s="43"/>
      <c r="BD95" s="43"/>
      <c r="BE95" s="43"/>
      <c r="BF95" s="43"/>
      <c r="BG95" s="43"/>
      <c r="BH95" s="34"/>
      <c r="BI95" s="34"/>
      <c r="BJ95" s="34"/>
      <c r="BK95" s="34"/>
      <c r="BL95" s="34"/>
      <c r="BM95" s="34"/>
      <c r="BN95" s="34"/>
      <c r="BO95" s="34"/>
      <c r="BP95" s="34"/>
      <c r="BQ95" s="34"/>
      <c r="BR95" s="34"/>
      <c r="BS95" s="34"/>
      <c r="BT95" s="34"/>
      <c r="BU95" s="34"/>
      <c r="BV95" s="34"/>
      <c r="BW95" s="43"/>
      <c r="BX95" s="43"/>
      <c r="BY95" s="43"/>
      <c r="BZ95" s="43"/>
      <c r="CA95" s="34"/>
      <c r="CB95" s="34"/>
      <c r="CC95" s="34"/>
      <c r="CD95" s="34"/>
      <c r="CE95" s="43"/>
      <c r="CF95" s="34"/>
      <c r="CG95" s="34"/>
      <c r="CH95" s="34"/>
      <c r="CI95" s="34"/>
      <c r="CJ95" s="34"/>
      <c r="CK95" s="34"/>
      <c r="CL95" s="34"/>
      <c r="CM95" s="34"/>
      <c r="CN95" s="34"/>
      <c r="CO95" s="34"/>
      <c r="CP95" s="34"/>
      <c r="CQ95" s="34"/>
      <c r="CR95" s="34"/>
      <c r="CS95" s="34"/>
      <c r="CT95" s="34"/>
      <c r="CU95" s="34"/>
      <c r="CV95" s="34"/>
      <c r="CW95" s="34"/>
      <c r="CX95" s="34"/>
      <c r="CY95" s="34"/>
      <c r="CZ95" s="34"/>
      <c r="DA95" s="34"/>
      <c r="DB95" s="34"/>
      <c r="DC95" s="34"/>
      <c r="DD95" s="34"/>
      <c r="DE95" s="34"/>
      <c r="DF95" s="34"/>
      <c r="DG95" s="34"/>
      <c r="DH95" s="34"/>
      <c r="DI95" s="34"/>
      <c r="DJ95" s="34"/>
      <c r="DK95" s="34"/>
      <c r="DL95" s="34"/>
      <c r="DM95" s="34"/>
      <c r="DN95" s="34"/>
    </row>
    <row r="96" spans="2:118" ht="18.75" customHeight="1">
      <c r="B96" s="43"/>
      <c r="C96" s="34"/>
      <c r="D96" s="34"/>
      <c r="E96" s="34"/>
      <c r="F96" s="34"/>
      <c r="G96" s="34"/>
      <c r="H96" s="34"/>
      <c r="I96" s="34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  <c r="AL96" s="43"/>
      <c r="AM96" s="43"/>
      <c r="AN96" s="43"/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3"/>
      <c r="BA96" s="43"/>
      <c r="BB96" s="43"/>
      <c r="BC96" s="43"/>
      <c r="BD96" s="43"/>
      <c r="BE96" s="43"/>
      <c r="BF96" s="43"/>
      <c r="BG96" s="43"/>
      <c r="BH96" s="34"/>
      <c r="BI96" s="34"/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43"/>
      <c r="BX96" s="43"/>
      <c r="BY96" s="43"/>
      <c r="BZ96" s="43"/>
      <c r="CA96" s="34"/>
      <c r="CB96" s="34"/>
      <c r="CC96" s="34"/>
      <c r="CD96" s="34"/>
      <c r="CE96" s="43"/>
      <c r="CF96" s="34"/>
      <c r="CG96" s="34"/>
      <c r="CH96" s="34"/>
      <c r="CI96" s="34"/>
      <c r="CJ96" s="34"/>
      <c r="CK96" s="34"/>
      <c r="CL96" s="34"/>
      <c r="CM96" s="34"/>
      <c r="CN96" s="34"/>
      <c r="CO96" s="34"/>
      <c r="CP96" s="34"/>
      <c r="CQ96" s="34"/>
      <c r="CR96" s="34"/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  <c r="DN96" s="34"/>
    </row>
    <row r="97" spans="2:118" ht="18.75" customHeight="1">
      <c r="B97" s="43"/>
      <c r="C97" s="34"/>
      <c r="D97" s="34"/>
      <c r="E97" s="34"/>
      <c r="F97" s="34"/>
      <c r="G97" s="34"/>
      <c r="H97" s="34"/>
      <c r="I97" s="34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  <c r="AL97" s="43"/>
      <c r="AM97" s="43"/>
      <c r="AN97" s="43"/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3"/>
      <c r="BA97" s="43"/>
      <c r="BB97" s="43"/>
      <c r="BC97" s="43"/>
      <c r="BD97" s="43"/>
      <c r="BE97" s="43"/>
      <c r="BF97" s="43"/>
      <c r="BG97" s="43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34"/>
      <c r="BW97" s="43"/>
      <c r="BX97" s="43"/>
      <c r="BY97" s="43"/>
      <c r="BZ97" s="43"/>
      <c r="CA97" s="34"/>
      <c r="CB97" s="34"/>
      <c r="CC97" s="34"/>
      <c r="CD97" s="34"/>
      <c r="CE97" s="43"/>
      <c r="CF97" s="34"/>
      <c r="CG97" s="34"/>
      <c r="CH97" s="34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34"/>
      <c r="CX97" s="34"/>
      <c r="CY97" s="34"/>
      <c r="CZ97" s="34"/>
      <c r="DA97" s="34"/>
      <c r="DB97" s="34"/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</row>
    <row r="98" spans="2:118" ht="18.75" customHeight="1">
      <c r="B98" s="43"/>
      <c r="C98" s="34"/>
      <c r="D98" s="34"/>
      <c r="E98" s="34"/>
      <c r="F98" s="34"/>
      <c r="G98" s="34"/>
      <c r="H98" s="34"/>
      <c r="I98" s="34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  <c r="AL98" s="43"/>
      <c r="AM98" s="43"/>
      <c r="AN98" s="43"/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3"/>
      <c r="BA98" s="43"/>
      <c r="BB98" s="43"/>
      <c r="BC98" s="43"/>
      <c r="BD98" s="43"/>
      <c r="BE98" s="43"/>
      <c r="BF98" s="43"/>
      <c r="BG98" s="43"/>
      <c r="BH98" s="34"/>
      <c r="BI98" s="34"/>
      <c r="BJ98" s="34"/>
      <c r="BK98" s="34"/>
      <c r="BL98" s="34"/>
      <c r="BM98" s="34"/>
      <c r="BN98" s="34"/>
      <c r="BO98" s="34"/>
      <c r="BP98" s="34"/>
      <c r="BQ98" s="34"/>
      <c r="BR98" s="34"/>
      <c r="BS98" s="34"/>
      <c r="BT98" s="34"/>
      <c r="BU98" s="34"/>
      <c r="BV98" s="34"/>
      <c r="BW98" s="43"/>
      <c r="BX98" s="43"/>
      <c r="BY98" s="43"/>
      <c r="BZ98" s="43"/>
      <c r="CA98" s="34"/>
      <c r="CB98" s="34"/>
      <c r="CC98" s="34"/>
      <c r="CD98" s="34"/>
      <c r="CE98" s="43"/>
      <c r="CF98" s="34"/>
      <c r="CG98" s="34"/>
      <c r="CH98" s="34"/>
      <c r="CI98" s="34"/>
      <c r="CJ98" s="34"/>
      <c r="CK98" s="34"/>
      <c r="CL98" s="34"/>
      <c r="CM98" s="34"/>
      <c r="CN98" s="34"/>
      <c r="CO98" s="34"/>
      <c r="CP98" s="34"/>
      <c r="CQ98" s="34"/>
      <c r="CR98" s="34"/>
      <c r="CS98" s="34"/>
      <c r="CT98" s="34"/>
      <c r="CU98" s="34"/>
      <c r="CV98" s="34"/>
      <c r="CW98" s="34"/>
      <c r="CX98" s="34"/>
      <c r="CY98" s="34"/>
      <c r="CZ98" s="34"/>
      <c r="DA98" s="34"/>
      <c r="DB98" s="34"/>
      <c r="DC98" s="34"/>
      <c r="DD98" s="34"/>
      <c r="DE98" s="34"/>
      <c r="DF98" s="34"/>
      <c r="DG98" s="34"/>
      <c r="DH98" s="34"/>
      <c r="DI98" s="34"/>
      <c r="DJ98" s="34"/>
      <c r="DK98" s="34"/>
      <c r="DL98" s="34"/>
      <c r="DM98" s="34"/>
      <c r="DN98" s="34"/>
    </row>
    <row r="99" spans="2:118" ht="18.75" customHeight="1">
      <c r="B99" s="43"/>
      <c r="C99" s="34"/>
      <c r="D99" s="34"/>
      <c r="E99" s="34"/>
      <c r="F99" s="34"/>
      <c r="G99" s="34"/>
      <c r="H99" s="34"/>
      <c r="I99" s="34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  <c r="AL99" s="43"/>
      <c r="AM99" s="43"/>
      <c r="AN99" s="43"/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3"/>
      <c r="BA99" s="43"/>
      <c r="BB99" s="43"/>
      <c r="BC99" s="43"/>
      <c r="BD99" s="43"/>
      <c r="BE99" s="43"/>
      <c r="BF99" s="43"/>
      <c r="BG99" s="43"/>
      <c r="BH99" s="34"/>
      <c r="BI99" s="34"/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43"/>
      <c r="BX99" s="43"/>
      <c r="BY99" s="43"/>
      <c r="BZ99" s="43"/>
      <c r="CA99" s="34"/>
      <c r="CB99" s="34"/>
      <c r="CC99" s="34"/>
      <c r="CD99" s="34"/>
      <c r="CE99" s="43"/>
      <c r="CF99" s="34"/>
      <c r="CG99" s="34"/>
      <c r="CH99" s="34"/>
      <c r="CI99" s="34"/>
      <c r="CJ99" s="34"/>
      <c r="CK99" s="34"/>
      <c r="CL99" s="34"/>
      <c r="CM99" s="34"/>
      <c r="CN99" s="34"/>
      <c r="CO99" s="34"/>
      <c r="CP99" s="34"/>
      <c r="CQ99" s="34"/>
      <c r="CR99" s="34"/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  <c r="DN99" s="34"/>
    </row>
    <row r="100" spans="2:118" ht="18.75" customHeight="1">
      <c r="B100" s="43"/>
      <c r="C100" s="34"/>
      <c r="D100" s="34"/>
      <c r="E100" s="34"/>
      <c r="F100" s="34"/>
      <c r="G100" s="34"/>
      <c r="H100" s="34"/>
      <c r="I100" s="34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  <c r="AL100" s="43"/>
      <c r="AM100" s="43"/>
      <c r="AN100" s="43"/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3"/>
      <c r="BA100" s="43"/>
      <c r="BB100" s="43"/>
      <c r="BC100" s="43"/>
      <c r="BD100" s="43"/>
      <c r="BE100" s="43"/>
      <c r="BF100" s="43"/>
      <c r="BG100" s="43"/>
      <c r="BH100" s="34"/>
      <c r="BI100" s="34"/>
      <c r="BJ100" s="34"/>
      <c r="BK100" s="34"/>
      <c r="BL100" s="34"/>
      <c r="BM100" s="34"/>
      <c r="BN100" s="34"/>
      <c r="BO100" s="34"/>
      <c r="BP100" s="34"/>
      <c r="BQ100" s="34"/>
      <c r="BR100" s="34"/>
      <c r="BS100" s="34"/>
      <c r="BT100" s="34"/>
      <c r="BU100" s="34"/>
      <c r="BV100" s="34"/>
      <c r="BW100" s="43"/>
      <c r="BX100" s="43"/>
      <c r="BY100" s="43"/>
      <c r="BZ100" s="43"/>
      <c r="CA100" s="34"/>
      <c r="CB100" s="34"/>
      <c r="CC100" s="34"/>
      <c r="CD100" s="34"/>
      <c r="CE100" s="43"/>
      <c r="CF100" s="34"/>
      <c r="CG100" s="34"/>
      <c r="CH100" s="34"/>
      <c r="CI100" s="34"/>
      <c r="CJ100" s="34"/>
      <c r="CK100" s="34"/>
      <c r="CL100" s="34"/>
      <c r="CM100" s="34"/>
      <c r="CN100" s="34"/>
      <c r="CO100" s="34"/>
      <c r="CP100" s="34"/>
      <c r="CQ100" s="34"/>
      <c r="CR100" s="34"/>
      <c r="CS100" s="34"/>
      <c r="CT100" s="34"/>
      <c r="CU100" s="34"/>
      <c r="CV100" s="34"/>
      <c r="CW100" s="34"/>
      <c r="CX100" s="34"/>
      <c r="CY100" s="34"/>
      <c r="CZ100" s="34"/>
      <c r="DA100" s="34"/>
      <c r="DB100" s="34"/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  <c r="DN100" s="34"/>
    </row>
    <row r="101" spans="2:118" ht="18.75" customHeight="1">
      <c r="B101" s="43"/>
      <c r="C101" s="34"/>
      <c r="D101" s="34"/>
      <c r="E101" s="34"/>
      <c r="F101" s="34"/>
      <c r="G101" s="34"/>
      <c r="H101" s="34"/>
      <c r="I101" s="34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  <c r="AL101" s="43"/>
      <c r="AM101" s="43"/>
      <c r="AN101" s="43"/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3"/>
      <c r="BA101" s="43"/>
      <c r="BB101" s="43"/>
      <c r="BC101" s="43"/>
      <c r="BD101" s="43"/>
      <c r="BE101" s="43"/>
      <c r="BF101" s="43"/>
      <c r="BG101" s="43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  <c r="BR101" s="34"/>
      <c r="BS101" s="34"/>
      <c r="BT101" s="34"/>
      <c r="BU101" s="34"/>
      <c r="BV101" s="34"/>
      <c r="BW101" s="43"/>
      <c r="BX101" s="43"/>
      <c r="BY101" s="43"/>
      <c r="BZ101" s="43"/>
      <c r="CA101" s="34"/>
      <c r="CB101" s="34"/>
      <c r="CC101" s="34"/>
      <c r="CD101" s="34"/>
      <c r="CE101" s="43"/>
      <c r="CF101" s="34"/>
      <c r="CG101" s="34"/>
      <c r="CH101" s="34"/>
      <c r="CI101" s="34"/>
      <c r="CJ101" s="34"/>
      <c r="CK101" s="34"/>
      <c r="CL101" s="34"/>
      <c r="CM101" s="34"/>
      <c r="CN101" s="34"/>
      <c r="CO101" s="34"/>
      <c r="CP101" s="34"/>
      <c r="CQ101" s="34"/>
      <c r="CR101" s="34"/>
      <c r="CS101" s="34"/>
      <c r="CT101" s="34"/>
      <c r="CU101" s="34"/>
      <c r="CV101" s="34"/>
      <c r="CW101" s="34"/>
      <c r="CX101" s="34"/>
      <c r="CY101" s="34"/>
      <c r="CZ101" s="34"/>
      <c r="DA101" s="34"/>
      <c r="DB101" s="34"/>
      <c r="DC101" s="34"/>
      <c r="DD101" s="34"/>
      <c r="DE101" s="34"/>
      <c r="DF101" s="34"/>
      <c r="DG101" s="34"/>
      <c r="DH101" s="34"/>
      <c r="DI101" s="34"/>
      <c r="DJ101" s="34"/>
      <c r="DK101" s="34"/>
      <c r="DL101" s="34"/>
      <c r="DM101" s="34"/>
      <c r="DN101" s="34"/>
    </row>
    <row r="102" spans="2:118" ht="18.75" customHeight="1">
      <c r="B102" s="43"/>
      <c r="C102" s="34"/>
      <c r="D102" s="34"/>
      <c r="E102" s="34"/>
      <c r="F102" s="34"/>
      <c r="G102" s="34"/>
      <c r="H102" s="34"/>
      <c r="I102" s="34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  <c r="AL102" s="43"/>
      <c r="AM102" s="43"/>
      <c r="AN102" s="43"/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3"/>
      <c r="BA102" s="43"/>
      <c r="BB102" s="43"/>
      <c r="BC102" s="43"/>
      <c r="BD102" s="43"/>
      <c r="BE102" s="43"/>
      <c r="BF102" s="43"/>
      <c r="BG102" s="43"/>
      <c r="BH102" s="34"/>
      <c r="BI102" s="34"/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43"/>
      <c r="BX102" s="43"/>
      <c r="BY102" s="43"/>
      <c r="BZ102" s="43"/>
      <c r="CA102" s="34"/>
      <c r="CB102" s="34"/>
      <c r="CC102" s="34"/>
      <c r="CD102" s="34"/>
      <c r="CE102" s="43"/>
      <c r="CF102" s="34"/>
      <c r="CG102" s="34"/>
      <c r="CH102" s="34"/>
      <c r="CI102" s="34"/>
      <c r="CJ102" s="34"/>
      <c r="CK102" s="34"/>
      <c r="CL102" s="34"/>
      <c r="CM102" s="34"/>
      <c r="CN102" s="34"/>
      <c r="CO102" s="34"/>
      <c r="CP102" s="34"/>
      <c r="CQ102" s="34"/>
      <c r="CR102" s="34"/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  <c r="DN102" s="34"/>
    </row>
    <row r="103" spans="2:118" ht="18.75" customHeight="1">
      <c r="B103" s="43"/>
      <c r="C103" s="34"/>
      <c r="D103" s="34"/>
      <c r="E103" s="34"/>
      <c r="F103" s="34"/>
      <c r="G103" s="34"/>
      <c r="H103" s="34"/>
      <c r="I103" s="34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  <c r="AL103" s="43"/>
      <c r="AM103" s="43"/>
      <c r="AN103" s="43"/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3"/>
      <c r="BA103" s="43"/>
      <c r="BB103" s="43"/>
      <c r="BC103" s="43"/>
      <c r="BD103" s="43"/>
      <c r="BE103" s="43"/>
      <c r="BF103" s="43"/>
      <c r="BG103" s="43"/>
      <c r="BH103" s="34"/>
      <c r="BI103" s="34"/>
      <c r="BJ103" s="34"/>
      <c r="BK103" s="34"/>
      <c r="BL103" s="34"/>
      <c r="BM103" s="34"/>
      <c r="BN103" s="34"/>
      <c r="BO103" s="34"/>
      <c r="BP103" s="34"/>
      <c r="BQ103" s="34"/>
      <c r="BR103" s="34"/>
      <c r="BS103" s="34"/>
      <c r="BT103" s="34"/>
      <c r="BU103" s="34"/>
      <c r="BV103" s="34"/>
      <c r="BW103" s="43"/>
      <c r="BX103" s="43"/>
      <c r="BY103" s="43"/>
      <c r="BZ103" s="43"/>
      <c r="CA103" s="34"/>
      <c r="CB103" s="34"/>
      <c r="CC103" s="34"/>
      <c r="CD103" s="34"/>
      <c r="CE103" s="43"/>
      <c r="CF103" s="34"/>
      <c r="CG103" s="34"/>
      <c r="CH103" s="34"/>
      <c r="CI103" s="34"/>
      <c r="CJ103" s="34"/>
      <c r="CK103" s="34"/>
      <c r="CL103" s="34"/>
      <c r="CM103" s="34"/>
      <c r="CN103" s="34"/>
      <c r="CO103" s="34"/>
      <c r="CP103" s="34"/>
      <c r="CQ103" s="34"/>
      <c r="CR103" s="34"/>
      <c r="CS103" s="34"/>
      <c r="CT103" s="34"/>
      <c r="CU103" s="34"/>
      <c r="CV103" s="34"/>
      <c r="CW103" s="34"/>
      <c r="CX103" s="34"/>
      <c r="CY103" s="34"/>
      <c r="CZ103" s="34"/>
      <c r="DA103" s="34"/>
      <c r="DB103" s="34"/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  <c r="DN103" s="34"/>
    </row>
    <row r="104" spans="2:118" ht="18.75" customHeight="1">
      <c r="B104" s="43"/>
      <c r="C104" s="34"/>
      <c r="D104" s="34"/>
      <c r="E104" s="34"/>
      <c r="F104" s="34"/>
      <c r="G104" s="34"/>
      <c r="H104" s="34"/>
      <c r="I104" s="34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  <c r="AL104" s="43"/>
      <c r="AM104" s="43"/>
      <c r="AN104" s="43"/>
      <c r="AO104" s="43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43"/>
      <c r="BA104" s="43"/>
      <c r="BB104" s="43"/>
      <c r="BC104" s="43"/>
      <c r="BD104" s="43"/>
      <c r="BE104" s="43"/>
      <c r="BF104" s="43"/>
      <c r="BG104" s="43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  <c r="BR104" s="34"/>
      <c r="BS104" s="34"/>
      <c r="BT104" s="34"/>
      <c r="BU104" s="34"/>
      <c r="BV104" s="34"/>
      <c r="BW104" s="43"/>
      <c r="BX104" s="43"/>
      <c r="BY104" s="43"/>
      <c r="BZ104" s="43"/>
      <c r="CA104" s="34"/>
      <c r="CB104" s="34"/>
      <c r="CC104" s="34"/>
      <c r="CD104" s="34"/>
      <c r="CE104" s="43"/>
      <c r="CF104" s="34"/>
      <c r="CG104" s="34"/>
      <c r="CH104" s="34"/>
      <c r="CI104" s="34"/>
      <c r="CJ104" s="34"/>
      <c r="CK104" s="34"/>
      <c r="CL104" s="34"/>
      <c r="CM104" s="34"/>
      <c r="CN104" s="34"/>
      <c r="CO104" s="34"/>
      <c r="CP104" s="34"/>
      <c r="CQ104" s="34"/>
      <c r="CR104" s="34"/>
      <c r="CS104" s="34"/>
      <c r="CT104" s="34"/>
      <c r="CU104" s="34"/>
      <c r="CV104" s="34"/>
      <c r="CW104" s="34"/>
      <c r="CX104" s="34"/>
      <c r="CY104" s="34"/>
      <c r="CZ104" s="34"/>
      <c r="DA104" s="34"/>
      <c r="DB104" s="34"/>
      <c r="DC104" s="34"/>
      <c r="DD104" s="34"/>
      <c r="DE104" s="34"/>
      <c r="DF104" s="34"/>
      <c r="DG104" s="34"/>
      <c r="DH104" s="34"/>
      <c r="DI104" s="34"/>
      <c r="DJ104" s="34"/>
      <c r="DK104" s="34"/>
      <c r="DL104" s="34"/>
      <c r="DM104" s="34"/>
      <c r="DN104" s="34"/>
    </row>
    <row r="105" spans="2:118" ht="18.75" customHeight="1">
      <c r="B105" s="43"/>
      <c r="C105" s="34"/>
      <c r="D105" s="34"/>
      <c r="E105" s="34"/>
      <c r="F105" s="34"/>
      <c r="G105" s="34"/>
      <c r="H105" s="34"/>
      <c r="I105" s="34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  <c r="AL105" s="43"/>
      <c r="AM105" s="43"/>
      <c r="AN105" s="43"/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3"/>
      <c r="BA105" s="43"/>
      <c r="BB105" s="43"/>
      <c r="BC105" s="43"/>
      <c r="BD105" s="43"/>
      <c r="BE105" s="43"/>
      <c r="BF105" s="43"/>
      <c r="BG105" s="43"/>
      <c r="BH105" s="34"/>
      <c r="BI105" s="34"/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43"/>
      <c r="BX105" s="43"/>
      <c r="BY105" s="43"/>
      <c r="BZ105" s="43"/>
      <c r="CA105" s="34"/>
      <c r="CB105" s="34"/>
      <c r="CC105" s="34"/>
      <c r="CD105" s="34"/>
      <c r="CE105" s="43"/>
      <c r="CF105" s="34"/>
      <c r="CG105" s="34"/>
      <c r="CH105" s="34"/>
      <c r="CI105" s="34"/>
      <c r="CJ105" s="34"/>
      <c r="CK105" s="34"/>
      <c r="CL105" s="34"/>
      <c r="CM105" s="34"/>
      <c r="CN105" s="34"/>
      <c r="CO105" s="34"/>
      <c r="CP105" s="34"/>
      <c r="CQ105" s="34"/>
      <c r="CR105" s="34"/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  <c r="DN105" s="34"/>
    </row>
    <row r="106" spans="2:118" ht="18.75" customHeight="1">
      <c r="B106" s="43"/>
      <c r="C106" s="34"/>
      <c r="D106" s="34"/>
      <c r="E106" s="34"/>
      <c r="F106" s="34"/>
      <c r="G106" s="34"/>
      <c r="H106" s="34"/>
      <c r="I106" s="34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  <c r="AA106" s="43"/>
      <c r="AB106" s="43"/>
      <c r="AC106" s="43"/>
      <c r="AD106" s="43"/>
      <c r="AE106" s="43"/>
      <c r="AF106" s="43"/>
      <c r="AG106" s="43"/>
      <c r="AH106" s="43"/>
      <c r="AI106" s="43"/>
      <c r="AJ106" s="43"/>
      <c r="AK106" s="43"/>
      <c r="AL106" s="43"/>
      <c r="AM106" s="43"/>
      <c r="AN106" s="43"/>
      <c r="AO106" s="43"/>
      <c r="AP106" s="43"/>
      <c r="AQ106" s="43"/>
      <c r="AR106" s="43"/>
      <c r="AS106" s="43"/>
      <c r="AT106" s="43"/>
      <c r="AU106" s="43"/>
      <c r="AV106" s="43"/>
      <c r="AW106" s="43"/>
      <c r="AX106" s="43"/>
      <c r="AY106" s="43"/>
      <c r="AZ106" s="43"/>
      <c r="BA106" s="43"/>
      <c r="BB106" s="43"/>
      <c r="BC106" s="43"/>
      <c r="BD106" s="43"/>
      <c r="BE106" s="43"/>
      <c r="BF106" s="43"/>
      <c r="BG106" s="43"/>
      <c r="BH106" s="34"/>
      <c r="BI106" s="34"/>
      <c r="BJ106" s="34"/>
      <c r="BK106" s="34"/>
      <c r="BL106" s="34"/>
      <c r="BM106" s="34"/>
      <c r="BN106" s="34"/>
      <c r="BO106" s="34"/>
      <c r="BP106" s="34"/>
      <c r="BQ106" s="34"/>
      <c r="BR106" s="34"/>
      <c r="BS106" s="34"/>
      <c r="BT106" s="34"/>
      <c r="BU106" s="34"/>
      <c r="BV106" s="34"/>
      <c r="BW106" s="43"/>
      <c r="BX106" s="43"/>
      <c r="BY106" s="43"/>
      <c r="BZ106" s="43"/>
      <c r="CA106" s="34"/>
      <c r="CB106" s="34"/>
      <c r="CC106" s="34"/>
      <c r="CD106" s="34"/>
      <c r="CE106" s="43"/>
      <c r="CF106" s="34"/>
      <c r="CG106" s="34"/>
      <c r="CH106" s="34"/>
      <c r="CI106" s="34"/>
      <c r="CJ106" s="34"/>
      <c r="CK106" s="34"/>
      <c r="CL106" s="34"/>
      <c r="CM106" s="34"/>
      <c r="CN106" s="34"/>
      <c r="CO106" s="34"/>
      <c r="CP106" s="34"/>
      <c r="CQ106" s="34"/>
      <c r="CR106" s="34"/>
      <c r="CS106" s="34"/>
      <c r="CT106" s="34"/>
      <c r="CU106" s="34"/>
      <c r="CV106" s="34"/>
      <c r="CW106" s="34"/>
      <c r="CX106" s="34"/>
      <c r="CY106" s="34"/>
      <c r="CZ106" s="34"/>
      <c r="DA106" s="34"/>
      <c r="DB106" s="34"/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  <c r="DN106" s="34"/>
    </row>
    <row r="107" spans="2:118" ht="18.75" customHeight="1">
      <c r="B107" s="43"/>
      <c r="C107" s="34"/>
      <c r="D107" s="34"/>
      <c r="E107" s="34"/>
      <c r="F107" s="34"/>
      <c r="G107" s="34"/>
      <c r="H107" s="34"/>
      <c r="I107" s="34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  <c r="AA107" s="43"/>
      <c r="AB107" s="43"/>
      <c r="AC107" s="43"/>
      <c r="AD107" s="43"/>
      <c r="AE107" s="43"/>
      <c r="AF107" s="43"/>
      <c r="AG107" s="43"/>
      <c r="AH107" s="43"/>
      <c r="AI107" s="43"/>
      <c r="AJ107" s="43"/>
      <c r="AK107" s="43"/>
      <c r="AL107" s="43"/>
      <c r="AM107" s="43"/>
      <c r="AN107" s="43"/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3"/>
      <c r="BA107" s="43"/>
      <c r="BB107" s="43"/>
      <c r="BC107" s="43"/>
      <c r="BD107" s="43"/>
      <c r="BE107" s="43"/>
      <c r="BF107" s="43"/>
      <c r="BG107" s="43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  <c r="BR107" s="34"/>
      <c r="BS107" s="34"/>
      <c r="BT107" s="34"/>
      <c r="BU107" s="34"/>
      <c r="BV107" s="34"/>
      <c r="BW107" s="43"/>
      <c r="BX107" s="43"/>
      <c r="BY107" s="43"/>
      <c r="BZ107" s="43"/>
      <c r="CA107" s="34"/>
      <c r="CB107" s="34"/>
      <c r="CC107" s="34"/>
      <c r="CD107" s="34"/>
      <c r="CE107" s="43"/>
      <c r="CF107" s="34"/>
      <c r="CG107" s="34"/>
      <c r="CH107" s="34"/>
      <c r="CI107" s="34"/>
      <c r="CJ107" s="34"/>
      <c r="CK107" s="34"/>
      <c r="CL107" s="34"/>
      <c r="CM107" s="34"/>
      <c r="CN107" s="34"/>
      <c r="CO107" s="34"/>
      <c r="CP107" s="34"/>
      <c r="CQ107" s="34"/>
      <c r="CR107" s="34"/>
      <c r="CS107" s="34"/>
      <c r="CT107" s="34"/>
      <c r="CU107" s="34"/>
      <c r="CV107" s="34"/>
      <c r="CW107" s="34"/>
      <c r="CX107" s="34"/>
      <c r="CY107" s="34"/>
      <c r="CZ107" s="34"/>
      <c r="DA107" s="34"/>
      <c r="DB107" s="34"/>
      <c r="DC107" s="34"/>
      <c r="DD107" s="34"/>
      <c r="DE107" s="34"/>
      <c r="DF107" s="34"/>
      <c r="DG107" s="34"/>
      <c r="DH107" s="34"/>
      <c r="DI107" s="34"/>
      <c r="DJ107" s="34"/>
      <c r="DK107" s="34"/>
      <c r="DL107" s="34"/>
      <c r="DM107" s="34"/>
      <c r="DN107" s="34"/>
    </row>
    <row r="108" spans="2:118" ht="18.75" customHeight="1">
      <c r="B108" s="43"/>
      <c r="C108" s="34"/>
      <c r="D108" s="34"/>
      <c r="E108" s="34"/>
      <c r="F108" s="34"/>
      <c r="G108" s="34"/>
      <c r="H108" s="34"/>
      <c r="I108" s="34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  <c r="AC108" s="43"/>
      <c r="AD108" s="43"/>
      <c r="AE108" s="43"/>
      <c r="AF108" s="43"/>
      <c r="AG108" s="43"/>
      <c r="AH108" s="43"/>
      <c r="AI108" s="43"/>
      <c r="AJ108" s="43"/>
      <c r="AK108" s="43"/>
      <c r="AL108" s="43"/>
      <c r="AM108" s="43"/>
      <c r="AN108" s="43"/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3"/>
      <c r="BA108" s="43"/>
      <c r="BB108" s="43"/>
      <c r="BC108" s="43"/>
      <c r="BD108" s="43"/>
      <c r="BE108" s="43"/>
      <c r="BF108" s="43"/>
      <c r="BG108" s="43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43"/>
      <c r="BX108" s="43"/>
      <c r="BY108" s="43"/>
      <c r="BZ108" s="43"/>
      <c r="CA108" s="34"/>
      <c r="CB108" s="34"/>
      <c r="CC108" s="34"/>
      <c r="CD108" s="34"/>
      <c r="CE108" s="43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  <c r="DN108" s="34"/>
    </row>
    <row r="109" spans="2:118" ht="18.75" customHeight="1">
      <c r="B109" s="43"/>
      <c r="C109" s="34"/>
      <c r="D109" s="34"/>
      <c r="E109" s="34"/>
      <c r="F109" s="34"/>
      <c r="G109" s="34"/>
      <c r="H109" s="34"/>
      <c r="I109" s="34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  <c r="AC109" s="43"/>
      <c r="AD109" s="43"/>
      <c r="AE109" s="43"/>
      <c r="AF109" s="43"/>
      <c r="AG109" s="43"/>
      <c r="AH109" s="43"/>
      <c r="AI109" s="43"/>
      <c r="AJ109" s="43"/>
      <c r="AK109" s="43"/>
      <c r="AL109" s="43"/>
      <c r="AM109" s="43"/>
      <c r="AN109" s="43"/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3"/>
      <c r="BA109" s="43"/>
      <c r="BB109" s="43"/>
      <c r="BC109" s="43"/>
      <c r="BD109" s="43"/>
      <c r="BE109" s="43"/>
      <c r="BF109" s="43"/>
      <c r="BG109" s="43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43"/>
      <c r="BX109" s="43"/>
      <c r="BY109" s="43"/>
      <c r="BZ109" s="43"/>
      <c r="CA109" s="34"/>
      <c r="CB109" s="34"/>
      <c r="CC109" s="34"/>
      <c r="CD109" s="34"/>
      <c r="CE109" s="43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  <c r="DN109" s="34"/>
    </row>
    <row r="110" spans="2:118" ht="18.75" customHeight="1">
      <c r="B110" s="43"/>
      <c r="C110" s="34"/>
      <c r="D110" s="34"/>
      <c r="E110" s="34"/>
      <c r="F110" s="34"/>
      <c r="G110" s="34"/>
      <c r="H110" s="34"/>
      <c r="I110" s="34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  <c r="AF110" s="43"/>
      <c r="AG110" s="43"/>
      <c r="AH110" s="43"/>
      <c r="AI110" s="43"/>
      <c r="AJ110" s="43"/>
      <c r="AK110" s="43"/>
      <c r="AL110" s="43"/>
      <c r="AM110" s="43"/>
      <c r="AN110" s="43"/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3"/>
      <c r="BA110" s="43"/>
      <c r="BB110" s="43"/>
      <c r="BC110" s="43"/>
      <c r="BD110" s="43"/>
      <c r="BE110" s="43"/>
      <c r="BF110" s="43"/>
      <c r="BG110" s="43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43"/>
      <c r="BX110" s="43"/>
      <c r="BY110" s="43"/>
      <c r="BZ110" s="43"/>
      <c r="CA110" s="34"/>
      <c r="CB110" s="34"/>
      <c r="CC110" s="34"/>
      <c r="CD110" s="34"/>
      <c r="CE110" s="43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  <c r="DN110" s="34"/>
    </row>
    <row r="111" spans="2:118" ht="18.75" customHeight="1">
      <c r="B111" s="43"/>
      <c r="C111" s="34"/>
      <c r="D111" s="34"/>
      <c r="E111" s="34"/>
      <c r="F111" s="34"/>
      <c r="G111" s="34"/>
      <c r="H111" s="34"/>
      <c r="I111" s="34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  <c r="AF111" s="43"/>
      <c r="AG111" s="43"/>
      <c r="AH111" s="43"/>
      <c r="AI111" s="43"/>
      <c r="AJ111" s="43"/>
      <c r="AK111" s="43"/>
      <c r="AL111" s="43"/>
      <c r="AM111" s="43"/>
      <c r="AN111" s="43"/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3"/>
      <c r="BA111" s="43"/>
      <c r="BB111" s="43"/>
      <c r="BC111" s="43"/>
      <c r="BD111" s="43"/>
      <c r="BE111" s="43"/>
      <c r="BF111" s="43"/>
      <c r="BG111" s="43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43"/>
      <c r="BX111" s="43"/>
      <c r="BY111" s="43"/>
      <c r="BZ111" s="43"/>
      <c r="CA111" s="34"/>
      <c r="CB111" s="34"/>
      <c r="CC111" s="34"/>
      <c r="CD111" s="34"/>
      <c r="CE111" s="43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  <c r="DN111" s="34"/>
    </row>
    <row r="112" spans="2:118" ht="18.75" customHeight="1">
      <c r="B112" s="43"/>
      <c r="C112" s="34"/>
      <c r="D112" s="34"/>
      <c r="E112" s="34"/>
      <c r="F112" s="34"/>
      <c r="G112" s="34"/>
      <c r="H112" s="34"/>
      <c r="I112" s="34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3"/>
      <c r="BA112" s="43"/>
      <c r="BB112" s="43"/>
      <c r="BC112" s="43"/>
      <c r="BD112" s="43"/>
      <c r="BE112" s="43"/>
      <c r="BF112" s="43"/>
      <c r="BG112" s="43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43"/>
      <c r="BX112" s="43"/>
      <c r="BY112" s="43"/>
      <c r="BZ112" s="43"/>
      <c r="CA112" s="34"/>
      <c r="CB112" s="34"/>
      <c r="CC112" s="34"/>
      <c r="CD112" s="34"/>
      <c r="CE112" s="43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</row>
    <row r="113" spans="2:118" ht="18.75" customHeight="1">
      <c r="B113" s="43"/>
      <c r="C113" s="34"/>
      <c r="D113" s="34"/>
      <c r="E113" s="34"/>
      <c r="F113" s="34"/>
      <c r="G113" s="34"/>
      <c r="H113" s="34"/>
      <c r="I113" s="34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3"/>
      <c r="AK113" s="43"/>
      <c r="AL113" s="43"/>
      <c r="AM113" s="43"/>
      <c r="AN113" s="43"/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3"/>
      <c r="BA113" s="43"/>
      <c r="BB113" s="43"/>
      <c r="BC113" s="43"/>
      <c r="BD113" s="43"/>
      <c r="BE113" s="43"/>
      <c r="BF113" s="43"/>
      <c r="BG113" s="43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43"/>
      <c r="BX113" s="43"/>
      <c r="BY113" s="43"/>
      <c r="BZ113" s="43"/>
      <c r="CA113" s="34"/>
      <c r="CB113" s="34"/>
      <c r="CC113" s="34"/>
      <c r="CD113" s="34"/>
      <c r="CE113" s="43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</row>
    <row r="114" spans="2:118" ht="18.75" customHeight="1">
      <c r="B114" s="43"/>
      <c r="C114" s="34"/>
      <c r="D114" s="34"/>
      <c r="E114" s="34"/>
      <c r="F114" s="34"/>
      <c r="G114" s="34"/>
      <c r="H114" s="34"/>
      <c r="I114" s="34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  <c r="AF114" s="43"/>
      <c r="AG114" s="43"/>
      <c r="AH114" s="43"/>
      <c r="AI114" s="43"/>
      <c r="AJ114" s="43"/>
      <c r="AK114" s="43"/>
      <c r="AL114" s="43"/>
      <c r="AM114" s="43"/>
      <c r="AN114" s="43"/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3"/>
      <c r="BA114" s="43"/>
      <c r="BB114" s="43"/>
      <c r="BC114" s="43"/>
      <c r="BD114" s="43"/>
      <c r="BE114" s="43"/>
      <c r="BF114" s="43"/>
      <c r="BG114" s="43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43"/>
      <c r="BX114" s="43"/>
      <c r="BY114" s="43"/>
      <c r="BZ114" s="43"/>
      <c r="CA114" s="34"/>
      <c r="CB114" s="34"/>
      <c r="CC114" s="34"/>
      <c r="CD114" s="34"/>
      <c r="CE114" s="43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</row>
    <row r="115" spans="2:118" ht="18.75" customHeight="1">
      <c r="B115" s="43"/>
      <c r="C115" s="34"/>
      <c r="D115" s="34"/>
      <c r="E115" s="34"/>
      <c r="F115" s="34"/>
      <c r="G115" s="34"/>
      <c r="H115" s="34"/>
      <c r="I115" s="34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  <c r="AC115" s="43"/>
      <c r="AD115" s="43"/>
      <c r="AE115" s="43"/>
      <c r="AF115" s="43"/>
      <c r="AG115" s="43"/>
      <c r="AH115" s="43"/>
      <c r="AI115" s="43"/>
      <c r="AJ115" s="43"/>
      <c r="AK115" s="43"/>
      <c r="AL115" s="43"/>
      <c r="AM115" s="43"/>
      <c r="AN115" s="43"/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3"/>
      <c r="BA115" s="43"/>
      <c r="BB115" s="43"/>
      <c r="BC115" s="43"/>
      <c r="BD115" s="43"/>
      <c r="BE115" s="43"/>
      <c r="BF115" s="43"/>
      <c r="BG115" s="43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43"/>
      <c r="BX115" s="43"/>
      <c r="BY115" s="43"/>
      <c r="BZ115" s="43"/>
      <c r="CA115" s="34"/>
      <c r="CB115" s="34"/>
      <c r="CC115" s="34"/>
      <c r="CD115" s="34"/>
      <c r="CE115" s="43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</row>
    <row r="116" spans="2:118" ht="18.75" customHeight="1">
      <c r="B116" s="43"/>
      <c r="C116" s="34"/>
      <c r="D116" s="34"/>
      <c r="E116" s="34"/>
      <c r="F116" s="34"/>
      <c r="G116" s="34"/>
      <c r="H116" s="34"/>
      <c r="I116" s="34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  <c r="AK116" s="43"/>
      <c r="AL116" s="43"/>
      <c r="AM116" s="43"/>
      <c r="AN116" s="43"/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3"/>
      <c r="BA116" s="43"/>
      <c r="BB116" s="43"/>
      <c r="BC116" s="43"/>
      <c r="BD116" s="43"/>
      <c r="BE116" s="43"/>
      <c r="BF116" s="43"/>
      <c r="BG116" s="43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43"/>
      <c r="BX116" s="43"/>
      <c r="BY116" s="43"/>
      <c r="BZ116" s="43"/>
      <c r="CA116" s="34"/>
      <c r="CB116" s="34"/>
      <c r="CC116" s="34"/>
      <c r="CD116" s="34"/>
      <c r="CE116" s="43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  <c r="DN116" s="34"/>
    </row>
    <row r="117" spans="2:118" ht="18.75" customHeight="1">
      <c r="B117" s="43"/>
      <c r="C117" s="34"/>
      <c r="D117" s="34"/>
      <c r="E117" s="34"/>
      <c r="F117" s="34"/>
      <c r="G117" s="34"/>
      <c r="H117" s="34"/>
      <c r="I117" s="34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3"/>
      <c r="AF117" s="43"/>
      <c r="AG117" s="43"/>
      <c r="AH117" s="43"/>
      <c r="AI117" s="43"/>
      <c r="AJ117" s="43"/>
      <c r="AK117" s="43"/>
      <c r="AL117" s="43"/>
      <c r="AM117" s="43"/>
      <c r="AN117" s="43"/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3"/>
      <c r="BA117" s="43"/>
      <c r="BB117" s="43"/>
      <c r="BC117" s="43"/>
      <c r="BD117" s="43"/>
      <c r="BE117" s="43"/>
      <c r="BF117" s="43"/>
      <c r="BG117" s="43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34"/>
      <c r="BW117" s="43"/>
      <c r="BX117" s="43"/>
      <c r="BY117" s="43"/>
      <c r="BZ117" s="43"/>
      <c r="CA117" s="34"/>
      <c r="CB117" s="34"/>
      <c r="CC117" s="34"/>
      <c r="CD117" s="34"/>
      <c r="CE117" s="43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  <c r="DN117" s="34"/>
    </row>
    <row r="118" spans="2:118" ht="18.75" customHeight="1">
      <c r="B118" s="43"/>
      <c r="C118" s="34"/>
      <c r="D118" s="34"/>
      <c r="E118" s="34"/>
      <c r="F118" s="34"/>
      <c r="G118" s="34"/>
      <c r="H118" s="34"/>
      <c r="I118" s="34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  <c r="AC118" s="43"/>
      <c r="AD118" s="43"/>
      <c r="AE118" s="43"/>
      <c r="AF118" s="43"/>
      <c r="AG118" s="43"/>
      <c r="AH118" s="43"/>
      <c r="AI118" s="43"/>
      <c r="AJ118" s="43"/>
      <c r="AK118" s="43"/>
      <c r="AL118" s="43"/>
      <c r="AM118" s="43"/>
      <c r="AN118" s="43"/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3"/>
      <c r="BA118" s="43"/>
      <c r="BB118" s="43"/>
      <c r="BC118" s="43"/>
      <c r="BD118" s="43"/>
      <c r="BE118" s="43"/>
      <c r="BF118" s="43"/>
      <c r="BG118" s="43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43"/>
      <c r="BX118" s="43"/>
      <c r="BY118" s="43"/>
      <c r="BZ118" s="43"/>
      <c r="CA118" s="34"/>
      <c r="CB118" s="34"/>
      <c r="CC118" s="34"/>
      <c r="CD118" s="34"/>
      <c r="CE118" s="43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  <c r="DN118" s="34"/>
    </row>
    <row r="119" spans="2:118" ht="18.75" customHeight="1">
      <c r="B119" s="43"/>
      <c r="C119" s="34"/>
      <c r="D119" s="34"/>
      <c r="E119" s="34"/>
      <c r="F119" s="34"/>
      <c r="G119" s="34"/>
      <c r="H119" s="34"/>
      <c r="I119" s="34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3"/>
      <c r="AB119" s="43"/>
      <c r="AC119" s="43"/>
      <c r="AD119" s="43"/>
      <c r="AE119" s="43"/>
      <c r="AF119" s="43"/>
      <c r="AG119" s="43"/>
      <c r="AH119" s="43"/>
      <c r="AI119" s="43"/>
      <c r="AJ119" s="43"/>
      <c r="AK119" s="43"/>
      <c r="AL119" s="43"/>
      <c r="AM119" s="43"/>
      <c r="AN119" s="43"/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3"/>
      <c r="BA119" s="43"/>
      <c r="BB119" s="43"/>
      <c r="BC119" s="43"/>
      <c r="BD119" s="43"/>
      <c r="BE119" s="43"/>
      <c r="BF119" s="43"/>
      <c r="BG119" s="43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43"/>
      <c r="BX119" s="43"/>
      <c r="BY119" s="43"/>
      <c r="BZ119" s="43"/>
      <c r="CA119" s="34"/>
      <c r="CB119" s="34"/>
      <c r="CC119" s="34"/>
      <c r="CD119" s="34"/>
      <c r="CE119" s="43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  <c r="DN119" s="34"/>
    </row>
    <row r="120" spans="2:118" ht="18.75" customHeight="1">
      <c r="B120" s="43"/>
      <c r="C120" s="34"/>
      <c r="D120" s="34"/>
      <c r="E120" s="34"/>
      <c r="F120" s="34"/>
      <c r="G120" s="34"/>
      <c r="H120" s="34"/>
      <c r="I120" s="34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43"/>
      <c r="AE120" s="43"/>
      <c r="AF120" s="43"/>
      <c r="AG120" s="43"/>
      <c r="AH120" s="43"/>
      <c r="AI120" s="43"/>
      <c r="AJ120" s="43"/>
      <c r="AK120" s="43"/>
      <c r="AL120" s="43"/>
      <c r="AM120" s="43"/>
      <c r="AN120" s="43"/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3"/>
      <c r="BA120" s="43"/>
      <c r="BB120" s="43"/>
      <c r="BC120" s="43"/>
      <c r="BD120" s="43"/>
      <c r="BE120" s="43"/>
      <c r="BF120" s="43"/>
      <c r="BG120" s="43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34"/>
      <c r="BW120" s="43"/>
      <c r="BX120" s="43"/>
      <c r="BY120" s="43"/>
      <c r="BZ120" s="43"/>
      <c r="CA120" s="34"/>
      <c r="CB120" s="34"/>
      <c r="CC120" s="34"/>
      <c r="CD120" s="34"/>
      <c r="CE120" s="43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  <c r="DN120" s="34"/>
    </row>
    <row r="121" spans="2:118" ht="18.75" customHeight="1">
      <c r="B121" s="43"/>
      <c r="C121" s="34"/>
      <c r="D121" s="34"/>
      <c r="E121" s="34"/>
      <c r="F121" s="34"/>
      <c r="G121" s="34"/>
      <c r="H121" s="34"/>
      <c r="I121" s="34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  <c r="AF121" s="43"/>
      <c r="AG121" s="43"/>
      <c r="AH121" s="43"/>
      <c r="AI121" s="43"/>
      <c r="AJ121" s="43"/>
      <c r="AK121" s="43"/>
      <c r="AL121" s="43"/>
      <c r="AM121" s="43"/>
      <c r="AN121" s="43"/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3"/>
      <c r="BA121" s="43"/>
      <c r="BB121" s="43"/>
      <c r="BC121" s="43"/>
      <c r="BD121" s="43"/>
      <c r="BE121" s="43"/>
      <c r="BF121" s="43"/>
      <c r="BG121" s="43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34"/>
      <c r="BW121" s="43"/>
      <c r="BX121" s="43"/>
      <c r="BY121" s="43"/>
      <c r="BZ121" s="43"/>
      <c r="CA121" s="34"/>
      <c r="CB121" s="34"/>
      <c r="CC121" s="34"/>
      <c r="CD121" s="34"/>
      <c r="CE121" s="43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  <c r="DN121" s="34"/>
    </row>
    <row r="122" spans="2:118" ht="18.75" customHeight="1">
      <c r="B122" s="43"/>
      <c r="C122" s="34"/>
      <c r="D122" s="34"/>
      <c r="E122" s="34"/>
      <c r="F122" s="34"/>
      <c r="G122" s="34"/>
      <c r="H122" s="34"/>
      <c r="I122" s="34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43"/>
      <c r="AE122" s="43"/>
      <c r="AF122" s="43"/>
      <c r="AG122" s="43"/>
      <c r="AH122" s="43"/>
      <c r="AI122" s="43"/>
      <c r="AJ122" s="43"/>
      <c r="AK122" s="43"/>
      <c r="AL122" s="43"/>
      <c r="AM122" s="43"/>
      <c r="AN122" s="43"/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3"/>
      <c r="BA122" s="43"/>
      <c r="BB122" s="43"/>
      <c r="BC122" s="43"/>
      <c r="BD122" s="43"/>
      <c r="BE122" s="43"/>
      <c r="BF122" s="43"/>
      <c r="BG122" s="43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43"/>
      <c r="BX122" s="43"/>
      <c r="BY122" s="43"/>
      <c r="BZ122" s="43"/>
      <c r="CA122" s="34"/>
      <c r="CB122" s="34"/>
      <c r="CC122" s="34"/>
      <c r="CD122" s="34"/>
      <c r="CE122" s="43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</row>
    <row r="123" spans="2:118" ht="18.75" customHeight="1">
      <c r="B123" s="43"/>
      <c r="C123" s="34"/>
      <c r="D123" s="34"/>
      <c r="E123" s="34"/>
      <c r="F123" s="34"/>
      <c r="G123" s="34"/>
      <c r="H123" s="34"/>
      <c r="I123" s="34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43"/>
      <c r="AE123" s="43"/>
      <c r="AF123" s="43"/>
      <c r="AG123" s="43"/>
      <c r="AH123" s="43"/>
      <c r="AI123" s="43"/>
      <c r="AJ123" s="43"/>
      <c r="AK123" s="43"/>
      <c r="AL123" s="43"/>
      <c r="AM123" s="43"/>
      <c r="AN123" s="43"/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3"/>
      <c r="BA123" s="43"/>
      <c r="BB123" s="43"/>
      <c r="BC123" s="43"/>
      <c r="BD123" s="43"/>
      <c r="BE123" s="43"/>
      <c r="BF123" s="43"/>
      <c r="BG123" s="43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43"/>
      <c r="BX123" s="43"/>
      <c r="BY123" s="43"/>
      <c r="BZ123" s="43"/>
      <c r="CA123" s="34"/>
      <c r="CB123" s="34"/>
      <c r="CC123" s="34"/>
      <c r="CD123" s="34"/>
      <c r="CE123" s="43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</row>
    <row r="124" spans="2:118" ht="18.75" customHeight="1">
      <c r="B124" s="43"/>
      <c r="C124" s="34"/>
      <c r="D124" s="34"/>
      <c r="E124" s="34"/>
      <c r="F124" s="34"/>
      <c r="G124" s="34"/>
      <c r="H124" s="34"/>
      <c r="I124" s="34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  <c r="AD124" s="43"/>
      <c r="AE124" s="43"/>
      <c r="AF124" s="43"/>
      <c r="AG124" s="43"/>
      <c r="AH124" s="43"/>
      <c r="AI124" s="43"/>
      <c r="AJ124" s="43"/>
      <c r="AK124" s="43"/>
      <c r="AL124" s="43"/>
      <c r="AM124" s="43"/>
      <c r="AN124" s="43"/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3"/>
      <c r="BA124" s="43"/>
      <c r="BB124" s="43"/>
      <c r="BC124" s="43"/>
      <c r="BD124" s="43"/>
      <c r="BE124" s="43"/>
      <c r="BF124" s="43"/>
      <c r="BG124" s="43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43"/>
      <c r="BX124" s="43"/>
      <c r="BY124" s="43"/>
      <c r="BZ124" s="43"/>
      <c r="CA124" s="34"/>
      <c r="CB124" s="34"/>
      <c r="CC124" s="34"/>
      <c r="CD124" s="34"/>
      <c r="CE124" s="43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</row>
    <row r="125" spans="2:118" ht="18.75" customHeight="1">
      <c r="B125" s="43"/>
      <c r="C125" s="34"/>
      <c r="D125" s="34"/>
      <c r="E125" s="34"/>
      <c r="F125" s="34"/>
      <c r="G125" s="34"/>
      <c r="H125" s="34"/>
      <c r="I125" s="34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  <c r="AF125" s="43"/>
      <c r="AG125" s="43"/>
      <c r="AH125" s="43"/>
      <c r="AI125" s="43"/>
      <c r="AJ125" s="43"/>
      <c r="AK125" s="43"/>
      <c r="AL125" s="43"/>
      <c r="AM125" s="43"/>
      <c r="AN125" s="43"/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3"/>
      <c r="BA125" s="43"/>
      <c r="BB125" s="43"/>
      <c r="BC125" s="43"/>
      <c r="BD125" s="43"/>
      <c r="BE125" s="43"/>
      <c r="BF125" s="43"/>
      <c r="BG125" s="43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43"/>
      <c r="BX125" s="43"/>
      <c r="BY125" s="43"/>
      <c r="BZ125" s="43"/>
      <c r="CA125" s="34"/>
      <c r="CB125" s="34"/>
      <c r="CC125" s="34"/>
      <c r="CD125" s="34"/>
      <c r="CE125" s="43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</row>
    <row r="126" spans="2:118" ht="18.75" customHeight="1">
      <c r="B126" s="43"/>
      <c r="C126" s="34"/>
      <c r="D126" s="34"/>
      <c r="E126" s="34"/>
      <c r="F126" s="34"/>
      <c r="G126" s="34"/>
      <c r="H126" s="34"/>
      <c r="I126" s="34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3"/>
      <c r="AB126" s="43"/>
      <c r="AC126" s="43"/>
      <c r="AD126" s="43"/>
      <c r="AE126" s="43"/>
      <c r="AF126" s="43"/>
      <c r="AG126" s="43"/>
      <c r="AH126" s="43"/>
      <c r="AI126" s="43"/>
      <c r="AJ126" s="43"/>
      <c r="AK126" s="43"/>
      <c r="AL126" s="43"/>
      <c r="AM126" s="43"/>
      <c r="AN126" s="43"/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3"/>
      <c r="BA126" s="43"/>
      <c r="BB126" s="43"/>
      <c r="BC126" s="43"/>
      <c r="BD126" s="43"/>
      <c r="BE126" s="43"/>
      <c r="BF126" s="43"/>
      <c r="BG126" s="43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43"/>
      <c r="BX126" s="43"/>
      <c r="BY126" s="43"/>
      <c r="BZ126" s="43"/>
      <c r="CA126" s="34"/>
      <c r="CB126" s="34"/>
      <c r="CC126" s="34"/>
      <c r="CD126" s="34"/>
      <c r="CE126" s="43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</row>
    <row r="127" spans="2:118" ht="18.75" customHeight="1">
      <c r="B127" s="43"/>
      <c r="C127" s="34"/>
      <c r="D127" s="34"/>
      <c r="E127" s="34"/>
      <c r="F127" s="34"/>
      <c r="G127" s="34"/>
      <c r="H127" s="34"/>
      <c r="I127" s="34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  <c r="AD127" s="43"/>
      <c r="AE127" s="43"/>
      <c r="AF127" s="43"/>
      <c r="AG127" s="43"/>
      <c r="AH127" s="43"/>
      <c r="AI127" s="43"/>
      <c r="AJ127" s="43"/>
      <c r="AK127" s="43"/>
      <c r="AL127" s="43"/>
      <c r="AM127" s="43"/>
      <c r="AN127" s="43"/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3"/>
      <c r="BA127" s="43"/>
      <c r="BB127" s="43"/>
      <c r="BC127" s="43"/>
      <c r="BD127" s="43"/>
      <c r="BE127" s="43"/>
      <c r="BF127" s="43"/>
      <c r="BG127" s="43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43"/>
      <c r="BX127" s="43"/>
      <c r="BY127" s="43"/>
      <c r="BZ127" s="43"/>
      <c r="CA127" s="34"/>
      <c r="CB127" s="34"/>
      <c r="CC127" s="34"/>
      <c r="CD127" s="34"/>
      <c r="CE127" s="43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</row>
    <row r="128" spans="2:118" ht="18.75" customHeight="1">
      <c r="B128" s="43"/>
      <c r="C128" s="34"/>
      <c r="D128" s="34"/>
      <c r="E128" s="34"/>
      <c r="F128" s="34"/>
      <c r="G128" s="34"/>
      <c r="H128" s="34"/>
      <c r="I128" s="34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43"/>
      <c r="AC128" s="43"/>
      <c r="AD128" s="43"/>
      <c r="AE128" s="43"/>
      <c r="AF128" s="43"/>
      <c r="AG128" s="43"/>
      <c r="AH128" s="43"/>
      <c r="AI128" s="43"/>
      <c r="AJ128" s="43"/>
      <c r="AK128" s="43"/>
      <c r="AL128" s="43"/>
      <c r="AM128" s="43"/>
      <c r="AN128" s="43"/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3"/>
      <c r="BA128" s="43"/>
      <c r="BB128" s="43"/>
      <c r="BC128" s="43"/>
      <c r="BD128" s="43"/>
      <c r="BE128" s="43"/>
      <c r="BF128" s="43"/>
      <c r="BG128" s="43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43"/>
      <c r="BX128" s="43"/>
      <c r="BY128" s="43"/>
      <c r="BZ128" s="43"/>
      <c r="CA128" s="34"/>
      <c r="CB128" s="34"/>
      <c r="CC128" s="34"/>
      <c r="CD128" s="34"/>
      <c r="CE128" s="43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</row>
    <row r="129" spans="2:118" ht="18.75" customHeight="1">
      <c r="B129" s="43"/>
      <c r="C129" s="34"/>
      <c r="D129" s="34"/>
      <c r="E129" s="34"/>
      <c r="F129" s="34"/>
      <c r="G129" s="34"/>
      <c r="H129" s="34"/>
      <c r="I129" s="34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3"/>
      <c r="AC129" s="43"/>
      <c r="AD129" s="43"/>
      <c r="AE129" s="43"/>
      <c r="AF129" s="43"/>
      <c r="AG129" s="43"/>
      <c r="AH129" s="43"/>
      <c r="AI129" s="43"/>
      <c r="AJ129" s="43"/>
      <c r="AK129" s="43"/>
      <c r="AL129" s="43"/>
      <c r="AM129" s="43"/>
      <c r="AN129" s="43"/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3"/>
      <c r="BA129" s="43"/>
      <c r="BB129" s="43"/>
      <c r="BC129" s="43"/>
      <c r="BD129" s="43"/>
      <c r="BE129" s="43"/>
      <c r="BF129" s="43"/>
      <c r="BG129" s="43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43"/>
      <c r="BX129" s="43"/>
      <c r="BY129" s="43"/>
      <c r="BZ129" s="43"/>
      <c r="CA129" s="34"/>
      <c r="CB129" s="34"/>
      <c r="CC129" s="34"/>
      <c r="CD129" s="34"/>
      <c r="CE129" s="43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</row>
    <row r="130" spans="2:118" ht="18.75" customHeight="1">
      <c r="B130" s="43"/>
      <c r="C130" s="34"/>
      <c r="D130" s="34"/>
      <c r="E130" s="34"/>
      <c r="F130" s="34"/>
      <c r="G130" s="34"/>
      <c r="H130" s="34"/>
      <c r="I130" s="34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  <c r="AA130" s="43"/>
      <c r="AB130" s="43"/>
      <c r="AC130" s="43"/>
      <c r="AD130" s="43"/>
      <c r="AE130" s="43"/>
      <c r="AF130" s="43"/>
      <c r="AG130" s="43"/>
      <c r="AH130" s="43"/>
      <c r="AI130" s="43"/>
      <c r="AJ130" s="43"/>
      <c r="AK130" s="43"/>
      <c r="AL130" s="43"/>
      <c r="AM130" s="43"/>
      <c r="AN130" s="43"/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3"/>
      <c r="BA130" s="43"/>
      <c r="BB130" s="43"/>
      <c r="BC130" s="43"/>
      <c r="BD130" s="43"/>
      <c r="BE130" s="43"/>
      <c r="BF130" s="43"/>
      <c r="BG130" s="43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43"/>
      <c r="BX130" s="43"/>
      <c r="BY130" s="43"/>
      <c r="BZ130" s="43"/>
      <c r="CA130" s="34"/>
      <c r="CB130" s="34"/>
      <c r="CC130" s="34"/>
      <c r="CD130" s="34"/>
      <c r="CE130" s="43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</row>
    <row r="131" spans="2:118" ht="18.75" customHeight="1">
      <c r="B131" s="43"/>
      <c r="C131" s="34"/>
      <c r="D131" s="34"/>
      <c r="E131" s="34"/>
      <c r="F131" s="34"/>
      <c r="G131" s="34"/>
      <c r="H131" s="34"/>
      <c r="I131" s="34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43"/>
      <c r="AC131" s="43"/>
      <c r="AD131" s="43"/>
      <c r="AE131" s="43"/>
      <c r="AF131" s="43"/>
      <c r="AG131" s="43"/>
      <c r="AH131" s="43"/>
      <c r="AI131" s="43"/>
      <c r="AJ131" s="43"/>
      <c r="AK131" s="43"/>
      <c r="AL131" s="43"/>
      <c r="AM131" s="43"/>
      <c r="AN131" s="43"/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3"/>
      <c r="BA131" s="43"/>
      <c r="BB131" s="43"/>
      <c r="BC131" s="43"/>
      <c r="BD131" s="43"/>
      <c r="BE131" s="43"/>
      <c r="BF131" s="43"/>
      <c r="BG131" s="43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43"/>
      <c r="BX131" s="43"/>
      <c r="BY131" s="43"/>
      <c r="BZ131" s="43"/>
      <c r="CA131" s="34"/>
      <c r="CB131" s="34"/>
      <c r="CC131" s="34"/>
      <c r="CD131" s="34"/>
      <c r="CE131" s="43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</row>
    <row r="132" spans="2:118" ht="18.75" customHeight="1">
      <c r="B132" s="43"/>
      <c r="C132" s="34"/>
      <c r="D132" s="34"/>
      <c r="E132" s="34"/>
      <c r="F132" s="34"/>
      <c r="G132" s="34"/>
      <c r="H132" s="34"/>
      <c r="I132" s="34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  <c r="AA132" s="43"/>
      <c r="AB132" s="43"/>
      <c r="AC132" s="43"/>
      <c r="AD132" s="43"/>
      <c r="AE132" s="43"/>
      <c r="AF132" s="43"/>
      <c r="AG132" s="43"/>
      <c r="AH132" s="43"/>
      <c r="AI132" s="43"/>
      <c r="AJ132" s="43"/>
      <c r="AK132" s="43"/>
      <c r="AL132" s="43"/>
      <c r="AM132" s="43"/>
      <c r="AN132" s="43"/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3"/>
      <c r="BA132" s="43"/>
      <c r="BB132" s="43"/>
      <c r="BC132" s="43"/>
      <c r="BD132" s="43"/>
      <c r="BE132" s="43"/>
      <c r="BF132" s="43"/>
      <c r="BG132" s="43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43"/>
      <c r="BX132" s="43"/>
      <c r="BY132" s="43"/>
      <c r="BZ132" s="43"/>
      <c r="CA132" s="34"/>
      <c r="CB132" s="34"/>
      <c r="CC132" s="34"/>
      <c r="CD132" s="34"/>
      <c r="CE132" s="43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</row>
    <row r="133" spans="2:118" ht="18.75" customHeight="1">
      <c r="B133" s="43"/>
      <c r="C133" s="34"/>
      <c r="D133" s="34"/>
      <c r="E133" s="34"/>
      <c r="F133" s="34"/>
      <c r="G133" s="34"/>
      <c r="H133" s="34"/>
      <c r="I133" s="34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  <c r="AA133" s="43"/>
      <c r="AB133" s="43"/>
      <c r="AC133" s="43"/>
      <c r="AD133" s="43"/>
      <c r="AE133" s="43"/>
      <c r="AF133" s="43"/>
      <c r="AG133" s="43"/>
      <c r="AH133" s="43"/>
      <c r="AI133" s="43"/>
      <c r="AJ133" s="43"/>
      <c r="AK133" s="43"/>
      <c r="AL133" s="43"/>
      <c r="AM133" s="43"/>
      <c r="AN133" s="43"/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3"/>
      <c r="BA133" s="43"/>
      <c r="BB133" s="43"/>
      <c r="BC133" s="43"/>
      <c r="BD133" s="43"/>
      <c r="BE133" s="43"/>
      <c r="BF133" s="43"/>
      <c r="BG133" s="43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43"/>
      <c r="BX133" s="43"/>
      <c r="BY133" s="43"/>
      <c r="BZ133" s="43"/>
      <c r="CA133" s="34"/>
      <c r="CB133" s="34"/>
      <c r="CC133" s="34"/>
      <c r="CD133" s="34"/>
      <c r="CE133" s="43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</row>
    <row r="134" spans="2:118" ht="18.75" customHeight="1">
      <c r="B134" s="43"/>
      <c r="C134" s="34"/>
      <c r="D134" s="34"/>
      <c r="E134" s="34"/>
      <c r="F134" s="34"/>
      <c r="G134" s="34"/>
      <c r="H134" s="34"/>
      <c r="I134" s="34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  <c r="AA134" s="43"/>
      <c r="AB134" s="43"/>
      <c r="AC134" s="43"/>
      <c r="AD134" s="43"/>
      <c r="AE134" s="43"/>
      <c r="AF134" s="43"/>
      <c r="AG134" s="43"/>
      <c r="AH134" s="43"/>
      <c r="AI134" s="43"/>
      <c r="AJ134" s="43"/>
      <c r="AK134" s="43"/>
      <c r="AL134" s="43"/>
      <c r="AM134" s="43"/>
      <c r="AN134" s="43"/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3"/>
      <c r="BA134" s="43"/>
      <c r="BB134" s="43"/>
      <c r="BC134" s="43"/>
      <c r="BD134" s="43"/>
      <c r="BE134" s="43"/>
      <c r="BF134" s="43"/>
      <c r="BG134" s="43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43"/>
      <c r="BX134" s="43"/>
      <c r="BY134" s="43"/>
      <c r="BZ134" s="43"/>
      <c r="CA134" s="34"/>
      <c r="CB134" s="34"/>
      <c r="CC134" s="34"/>
      <c r="CD134" s="34"/>
      <c r="CE134" s="43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</row>
    <row r="135" spans="2:118" ht="18.75" customHeight="1">
      <c r="B135" s="43"/>
      <c r="C135" s="34"/>
      <c r="D135" s="34"/>
      <c r="E135" s="34"/>
      <c r="F135" s="34"/>
      <c r="G135" s="34"/>
      <c r="H135" s="34"/>
      <c r="I135" s="34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  <c r="AA135" s="43"/>
      <c r="AB135" s="43"/>
      <c r="AC135" s="43"/>
      <c r="AD135" s="43"/>
      <c r="AE135" s="43"/>
      <c r="AF135" s="43"/>
      <c r="AG135" s="43"/>
      <c r="AH135" s="43"/>
      <c r="AI135" s="43"/>
      <c r="AJ135" s="43"/>
      <c r="AK135" s="43"/>
      <c r="AL135" s="43"/>
      <c r="AM135" s="43"/>
      <c r="AN135" s="43"/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3"/>
      <c r="BA135" s="43"/>
      <c r="BB135" s="43"/>
      <c r="BC135" s="43"/>
      <c r="BD135" s="43"/>
      <c r="BE135" s="43"/>
      <c r="BF135" s="43"/>
      <c r="BG135" s="43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43"/>
      <c r="BX135" s="43"/>
      <c r="BY135" s="43"/>
      <c r="BZ135" s="43"/>
      <c r="CA135" s="34"/>
      <c r="CB135" s="34"/>
      <c r="CC135" s="34"/>
      <c r="CD135" s="34"/>
      <c r="CE135" s="43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</row>
    <row r="136" spans="2:118" ht="18.75" customHeight="1">
      <c r="B136" s="43"/>
      <c r="C136" s="34"/>
      <c r="D136" s="34"/>
      <c r="E136" s="34"/>
      <c r="F136" s="34"/>
      <c r="G136" s="34"/>
      <c r="H136" s="34"/>
      <c r="I136" s="34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43"/>
      <c r="AC136" s="43"/>
      <c r="AD136" s="43"/>
      <c r="AE136" s="43"/>
      <c r="AF136" s="43"/>
      <c r="AG136" s="43"/>
      <c r="AH136" s="43"/>
      <c r="AI136" s="43"/>
      <c r="AJ136" s="43"/>
      <c r="AK136" s="43"/>
      <c r="AL136" s="43"/>
      <c r="AM136" s="43"/>
      <c r="AN136" s="43"/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3"/>
      <c r="BA136" s="43"/>
      <c r="BB136" s="43"/>
      <c r="BC136" s="43"/>
      <c r="BD136" s="43"/>
      <c r="BE136" s="43"/>
      <c r="BF136" s="43"/>
      <c r="BG136" s="43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43"/>
      <c r="BX136" s="43"/>
      <c r="BY136" s="43"/>
      <c r="BZ136" s="43"/>
      <c r="CA136" s="34"/>
      <c r="CB136" s="34"/>
      <c r="CC136" s="34"/>
      <c r="CD136" s="34"/>
      <c r="CE136" s="43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</row>
    <row r="137" spans="2:118" ht="18.75" customHeight="1">
      <c r="B137" s="43"/>
      <c r="C137" s="34"/>
      <c r="D137" s="34"/>
      <c r="E137" s="34"/>
      <c r="F137" s="34"/>
      <c r="G137" s="34"/>
      <c r="H137" s="34"/>
      <c r="I137" s="34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  <c r="AA137" s="43"/>
      <c r="AB137" s="43"/>
      <c r="AC137" s="43"/>
      <c r="AD137" s="43"/>
      <c r="AE137" s="43"/>
      <c r="AF137" s="43"/>
      <c r="AG137" s="43"/>
      <c r="AH137" s="43"/>
      <c r="AI137" s="43"/>
      <c r="AJ137" s="43"/>
      <c r="AK137" s="43"/>
      <c r="AL137" s="43"/>
      <c r="AM137" s="43"/>
      <c r="AN137" s="43"/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3"/>
      <c r="BA137" s="43"/>
      <c r="BB137" s="43"/>
      <c r="BC137" s="43"/>
      <c r="BD137" s="43"/>
      <c r="BE137" s="43"/>
      <c r="BF137" s="43"/>
      <c r="BG137" s="43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43"/>
      <c r="BX137" s="43"/>
      <c r="BY137" s="43"/>
      <c r="BZ137" s="43"/>
      <c r="CA137" s="34"/>
      <c r="CB137" s="34"/>
      <c r="CC137" s="34"/>
      <c r="CD137" s="34"/>
      <c r="CE137" s="43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</row>
    <row r="138" spans="2:118" ht="18.75" customHeight="1">
      <c r="B138" s="43"/>
      <c r="C138" s="34"/>
      <c r="D138" s="34"/>
      <c r="E138" s="34"/>
      <c r="F138" s="34"/>
      <c r="G138" s="34"/>
      <c r="H138" s="34"/>
      <c r="I138" s="34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  <c r="AA138" s="43"/>
      <c r="AB138" s="43"/>
      <c r="AC138" s="43"/>
      <c r="AD138" s="43"/>
      <c r="AE138" s="43"/>
      <c r="AF138" s="43"/>
      <c r="AG138" s="43"/>
      <c r="AH138" s="43"/>
      <c r="AI138" s="43"/>
      <c r="AJ138" s="43"/>
      <c r="AK138" s="43"/>
      <c r="AL138" s="43"/>
      <c r="AM138" s="43"/>
      <c r="AN138" s="43"/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3"/>
      <c r="BA138" s="43"/>
      <c r="BB138" s="43"/>
      <c r="BC138" s="43"/>
      <c r="BD138" s="43"/>
      <c r="BE138" s="43"/>
      <c r="BF138" s="43"/>
      <c r="BG138" s="43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43"/>
      <c r="BX138" s="43"/>
      <c r="BY138" s="43"/>
      <c r="BZ138" s="43"/>
      <c r="CA138" s="34"/>
      <c r="CB138" s="34"/>
      <c r="CC138" s="34"/>
      <c r="CD138" s="34"/>
      <c r="CE138" s="43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</row>
    <row r="139" spans="2:118" ht="18.75" customHeight="1">
      <c r="B139" s="43"/>
      <c r="C139" s="34"/>
      <c r="D139" s="34"/>
      <c r="E139" s="34"/>
      <c r="F139" s="34"/>
      <c r="G139" s="34"/>
      <c r="H139" s="34"/>
      <c r="I139" s="34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  <c r="AA139" s="43"/>
      <c r="AB139" s="43"/>
      <c r="AC139" s="43"/>
      <c r="AD139" s="43"/>
      <c r="AE139" s="43"/>
      <c r="AF139" s="43"/>
      <c r="AG139" s="43"/>
      <c r="AH139" s="43"/>
      <c r="AI139" s="43"/>
      <c r="AJ139" s="43"/>
      <c r="AK139" s="43"/>
      <c r="AL139" s="43"/>
      <c r="AM139" s="43"/>
      <c r="AN139" s="43"/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3"/>
      <c r="BA139" s="43"/>
      <c r="BB139" s="43"/>
      <c r="BC139" s="43"/>
      <c r="BD139" s="43"/>
      <c r="BE139" s="43"/>
      <c r="BF139" s="43"/>
      <c r="BG139" s="43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43"/>
      <c r="BX139" s="43"/>
      <c r="BY139" s="43"/>
      <c r="BZ139" s="43"/>
      <c r="CA139" s="34"/>
      <c r="CB139" s="34"/>
      <c r="CC139" s="34"/>
      <c r="CD139" s="34"/>
      <c r="CE139" s="43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</row>
    <row r="140" spans="2:118" ht="18.75" customHeight="1">
      <c r="B140" s="43"/>
      <c r="C140" s="34"/>
      <c r="D140" s="34"/>
      <c r="E140" s="34"/>
      <c r="F140" s="34"/>
      <c r="G140" s="34"/>
      <c r="H140" s="34"/>
      <c r="I140" s="34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  <c r="AA140" s="43"/>
      <c r="AB140" s="43"/>
      <c r="AC140" s="43"/>
      <c r="AD140" s="43"/>
      <c r="AE140" s="43"/>
      <c r="AF140" s="43"/>
      <c r="AG140" s="43"/>
      <c r="AH140" s="43"/>
      <c r="AI140" s="43"/>
      <c r="AJ140" s="43"/>
      <c r="AK140" s="43"/>
      <c r="AL140" s="43"/>
      <c r="AM140" s="43"/>
      <c r="AN140" s="43"/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3"/>
      <c r="BA140" s="43"/>
      <c r="BB140" s="43"/>
      <c r="BC140" s="43"/>
      <c r="BD140" s="43"/>
      <c r="BE140" s="43"/>
      <c r="BF140" s="43"/>
      <c r="BG140" s="43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43"/>
      <c r="BX140" s="43"/>
      <c r="BY140" s="43"/>
      <c r="BZ140" s="43"/>
      <c r="CA140" s="34"/>
      <c r="CB140" s="34"/>
      <c r="CC140" s="34"/>
      <c r="CD140" s="34"/>
      <c r="CE140" s="43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</row>
    <row r="141" spans="2:118" ht="18.75" customHeight="1">
      <c r="B141" s="43"/>
      <c r="C141" s="34"/>
      <c r="D141" s="34"/>
      <c r="E141" s="34"/>
      <c r="F141" s="34"/>
      <c r="G141" s="34"/>
      <c r="H141" s="34"/>
      <c r="I141" s="34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3"/>
      <c r="AB141" s="43"/>
      <c r="AC141" s="43"/>
      <c r="AD141" s="43"/>
      <c r="AE141" s="43"/>
      <c r="AF141" s="43"/>
      <c r="AG141" s="43"/>
      <c r="AH141" s="43"/>
      <c r="AI141" s="43"/>
      <c r="AJ141" s="43"/>
      <c r="AK141" s="43"/>
      <c r="AL141" s="43"/>
      <c r="AM141" s="43"/>
      <c r="AN141" s="43"/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3"/>
      <c r="BA141" s="43"/>
      <c r="BB141" s="43"/>
      <c r="BC141" s="43"/>
      <c r="BD141" s="43"/>
      <c r="BE141" s="43"/>
      <c r="BF141" s="43"/>
      <c r="BG141" s="43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43"/>
      <c r="BX141" s="43"/>
      <c r="BY141" s="43"/>
      <c r="BZ141" s="43"/>
      <c r="CA141" s="34"/>
      <c r="CB141" s="34"/>
      <c r="CC141" s="34"/>
      <c r="CD141" s="34"/>
      <c r="CE141" s="43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  <c r="DN141" s="34"/>
    </row>
    <row r="142" spans="2:118" ht="18.75" customHeight="1">
      <c r="B142" s="43"/>
      <c r="C142" s="34"/>
      <c r="D142" s="34"/>
      <c r="E142" s="34"/>
      <c r="F142" s="34"/>
      <c r="G142" s="34"/>
      <c r="H142" s="34"/>
      <c r="I142" s="34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43"/>
      <c r="AC142" s="43"/>
      <c r="AD142" s="43"/>
      <c r="AE142" s="43"/>
      <c r="AF142" s="43"/>
      <c r="AG142" s="43"/>
      <c r="AH142" s="43"/>
      <c r="AI142" s="43"/>
      <c r="AJ142" s="43"/>
      <c r="AK142" s="43"/>
      <c r="AL142" s="43"/>
      <c r="AM142" s="43"/>
      <c r="AN142" s="43"/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3"/>
      <c r="BA142" s="43"/>
      <c r="BB142" s="43"/>
      <c r="BC142" s="43"/>
      <c r="BD142" s="43"/>
      <c r="BE142" s="43"/>
      <c r="BF142" s="43"/>
      <c r="BG142" s="43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43"/>
      <c r="BX142" s="43"/>
      <c r="BY142" s="43"/>
      <c r="BZ142" s="43"/>
      <c r="CA142" s="34"/>
      <c r="CB142" s="34"/>
      <c r="CC142" s="34"/>
      <c r="CD142" s="34"/>
      <c r="CE142" s="43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  <c r="DN142" s="34"/>
    </row>
    <row r="143" spans="2:118" ht="18.75" customHeight="1">
      <c r="B143" s="43"/>
      <c r="C143" s="34"/>
      <c r="D143" s="34"/>
      <c r="E143" s="34"/>
      <c r="F143" s="34"/>
      <c r="G143" s="34"/>
      <c r="H143" s="34"/>
      <c r="I143" s="34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3"/>
      <c r="AB143" s="43"/>
      <c r="AC143" s="43"/>
      <c r="AD143" s="43"/>
      <c r="AE143" s="43"/>
      <c r="AF143" s="43"/>
      <c r="AG143" s="43"/>
      <c r="AH143" s="43"/>
      <c r="AI143" s="43"/>
      <c r="AJ143" s="43"/>
      <c r="AK143" s="43"/>
      <c r="AL143" s="43"/>
      <c r="AM143" s="43"/>
      <c r="AN143" s="43"/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3"/>
      <c r="BA143" s="43"/>
      <c r="BB143" s="43"/>
      <c r="BC143" s="43"/>
      <c r="BD143" s="43"/>
      <c r="BE143" s="43"/>
      <c r="BF143" s="43"/>
      <c r="BG143" s="43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43"/>
      <c r="BX143" s="43"/>
      <c r="BY143" s="43"/>
      <c r="BZ143" s="43"/>
      <c r="CA143" s="34"/>
      <c r="CB143" s="34"/>
      <c r="CC143" s="34"/>
      <c r="CD143" s="34"/>
      <c r="CE143" s="43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  <c r="DN143" s="34"/>
    </row>
    <row r="144" spans="2:118" ht="18.75" customHeight="1">
      <c r="B144" s="43"/>
      <c r="C144" s="34"/>
      <c r="D144" s="34"/>
      <c r="E144" s="34"/>
      <c r="F144" s="34"/>
      <c r="G144" s="34"/>
      <c r="H144" s="34"/>
      <c r="I144" s="34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43"/>
      <c r="AC144" s="43"/>
      <c r="AD144" s="43"/>
      <c r="AE144" s="43"/>
      <c r="AF144" s="43"/>
      <c r="AG144" s="43"/>
      <c r="AH144" s="43"/>
      <c r="AI144" s="43"/>
      <c r="AJ144" s="43"/>
      <c r="AK144" s="43"/>
      <c r="AL144" s="43"/>
      <c r="AM144" s="43"/>
      <c r="AN144" s="43"/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3"/>
      <c r="BA144" s="43"/>
      <c r="BB144" s="43"/>
      <c r="BC144" s="43"/>
      <c r="BD144" s="43"/>
      <c r="BE144" s="43"/>
      <c r="BF144" s="43"/>
      <c r="BG144" s="43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43"/>
      <c r="BX144" s="43"/>
      <c r="BY144" s="43"/>
      <c r="BZ144" s="43"/>
      <c r="CA144" s="34"/>
      <c r="CB144" s="34"/>
      <c r="CC144" s="34"/>
      <c r="CD144" s="34"/>
      <c r="CE144" s="43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  <c r="DN144" s="34"/>
    </row>
    <row r="145" spans="2:118" ht="18.75" customHeight="1">
      <c r="B145" s="43"/>
      <c r="C145" s="34"/>
      <c r="D145" s="34"/>
      <c r="E145" s="34"/>
      <c r="F145" s="34"/>
      <c r="G145" s="34"/>
      <c r="H145" s="34"/>
      <c r="I145" s="34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3"/>
      <c r="AB145" s="43"/>
      <c r="AC145" s="43"/>
      <c r="AD145" s="43"/>
      <c r="AE145" s="43"/>
      <c r="AF145" s="43"/>
      <c r="AG145" s="43"/>
      <c r="AH145" s="43"/>
      <c r="AI145" s="43"/>
      <c r="AJ145" s="43"/>
      <c r="AK145" s="43"/>
      <c r="AL145" s="43"/>
      <c r="AM145" s="43"/>
      <c r="AN145" s="43"/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3"/>
      <c r="BA145" s="43"/>
      <c r="BB145" s="43"/>
      <c r="BC145" s="43"/>
      <c r="BD145" s="43"/>
      <c r="BE145" s="43"/>
      <c r="BF145" s="43"/>
      <c r="BG145" s="43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34"/>
      <c r="BW145" s="43"/>
      <c r="BX145" s="43"/>
      <c r="BY145" s="43"/>
      <c r="BZ145" s="43"/>
      <c r="CA145" s="34"/>
      <c r="CB145" s="34"/>
      <c r="CC145" s="34"/>
      <c r="CD145" s="34"/>
      <c r="CE145" s="43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  <c r="DN145" s="34"/>
    </row>
    <row r="146" spans="2:118" ht="18.75" customHeight="1">
      <c r="B146" s="43"/>
      <c r="C146" s="34"/>
      <c r="D146" s="34"/>
      <c r="E146" s="34"/>
      <c r="F146" s="34"/>
      <c r="G146" s="34"/>
      <c r="H146" s="34"/>
      <c r="I146" s="34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  <c r="AC146" s="43"/>
      <c r="AD146" s="43"/>
      <c r="AE146" s="43"/>
      <c r="AF146" s="43"/>
      <c r="AG146" s="43"/>
      <c r="AH146" s="43"/>
      <c r="AI146" s="43"/>
      <c r="AJ146" s="43"/>
      <c r="AK146" s="43"/>
      <c r="AL146" s="43"/>
      <c r="AM146" s="43"/>
      <c r="AN146" s="43"/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3"/>
      <c r="BA146" s="43"/>
      <c r="BB146" s="43"/>
      <c r="BC146" s="43"/>
      <c r="BD146" s="43"/>
      <c r="BE146" s="43"/>
      <c r="BF146" s="43"/>
      <c r="BG146" s="43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43"/>
      <c r="BX146" s="43"/>
      <c r="BY146" s="43"/>
      <c r="BZ146" s="43"/>
      <c r="CA146" s="34"/>
      <c r="CB146" s="34"/>
      <c r="CC146" s="34"/>
      <c r="CD146" s="34"/>
      <c r="CE146" s="43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  <c r="DN146" s="34"/>
    </row>
    <row r="147" spans="2:118" ht="18.75" customHeight="1">
      <c r="B147" s="43"/>
      <c r="C147" s="34"/>
      <c r="D147" s="34"/>
      <c r="E147" s="34"/>
      <c r="F147" s="34"/>
      <c r="G147" s="34"/>
      <c r="H147" s="34"/>
      <c r="I147" s="34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  <c r="AC147" s="43"/>
      <c r="AD147" s="43"/>
      <c r="AE147" s="43"/>
      <c r="AF147" s="43"/>
      <c r="AG147" s="43"/>
      <c r="AH147" s="43"/>
      <c r="AI147" s="43"/>
      <c r="AJ147" s="43"/>
      <c r="AK147" s="43"/>
      <c r="AL147" s="43"/>
      <c r="AM147" s="43"/>
      <c r="AN147" s="43"/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3"/>
      <c r="BA147" s="43"/>
      <c r="BB147" s="43"/>
      <c r="BC147" s="43"/>
      <c r="BD147" s="43"/>
      <c r="BE147" s="43"/>
      <c r="BF147" s="43"/>
      <c r="BG147" s="43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43"/>
      <c r="BX147" s="43"/>
      <c r="BY147" s="43"/>
      <c r="BZ147" s="43"/>
      <c r="CA147" s="34"/>
      <c r="CB147" s="34"/>
      <c r="CC147" s="34"/>
      <c r="CD147" s="34"/>
      <c r="CE147" s="43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  <c r="DN147" s="34"/>
    </row>
    <row r="148" spans="2:118" ht="18.75" customHeight="1">
      <c r="B148" s="43"/>
      <c r="C148" s="34"/>
      <c r="D148" s="34"/>
      <c r="E148" s="34"/>
      <c r="F148" s="34"/>
      <c r="G148" s="34"/>
      <c r="H148" s="34"/>
      <c r="I148" s="34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  <c r="AC148" s="43"/>
      <c r="AD148" s="43"/>
      <c r="AE148" s="43"/>
      <c r="AF148" s="43"/>
      <c r="AG148" s="43"/>
      <c r="AH148" s="43"/>
      <c r="AI148" s="43"/>
      <c r="AJ148" s="43"/>
      <c r="AK148" s="43"/>
      <c r="AL148" s="43"/>
      <c r="AM148" s="43"/>
      <c r="AN148" s="43"/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3"/>
      <c r="BA148" s="43"/>
      <c r="BB148" s="43"/>
      <c r="BC148" s="43"/>
      <c r="BD148" s="43"/>
      <c r="BE148" s="43"/>
      <c r="BF148" s="43"/>
      <c r="BG148" s="43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43"/>
      <c r="BX148" s="43"/>
      <c r="BY148" s="43"/>
      <c r="BZ148" s="43"/>
      <c r="CA148" s="34"/>
      <c r="CB148" s="34"/>
      <c r="CC148" s="34"/>
      <c r="CD148" s="34"/>
      <c r="CE148" s="43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  <c r="DN148" s="34"/>
    </row>
    <row r="149" spans="2:118" ht="18.75" customHeight="1">
      <c r="B149" s="43"/>
      <c r="C149" s="34"/>
      <c r="D149" s="34"/>
      <c r="E149" s="34"/>
      <c r="F149" s="34"/>
      <c r="G149" s="34"/>
      <c r="H149" s="34"/>
      <c r="I149" s="34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  <c r="AC149" s="43"/>
      <c r="AD149" s="43"/>
      <c r="AE149" s="43"/>
      <c r="AF149" s="43"/>
      <c r="AG149" s="43"/>
      <c r="AH149" s="43"/>
      <c r="AI149" s="43"/>
      <c r="AJ149" s="43"/>
      <c r="AK149" s="43"/>
      <c r="AL149" s="43"/>
      <c r="AM149" s="43"/>
      <c r="AN149" s="43"/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3"/>
      <c r="BA149" s="43"/>
      <c r="BB149" s="43"/>
      <c r="BC149" s="43"/>
      <c r="BD149" s="43"/>
      <c r="BE149" s="43"/>
      <c r="BF149" s="43"/>
      <c r="BG149" s="43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43"/>
      <c r="BX149" s="43"/>
      <c r="BY149" s="43"/>
      <c r="BZ149" s="43"/>
      <c r="CA149" s="34"/>
      <c r="CB149" s="34"/>
      <c r="CC149" s="34"/>
      <c r="CD149" s="34"/>
      <c r="CE149" s="43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  <c r="DN149" s="34"/>
    </row>
    <row r="150" spans="2:118" ht="18.75" customHeight="1">
      <c r="B150" s="43"/>
      <c r="C150" s="34"/>
      <c r="D150" s="34"/>
      <c r="E150" s="34"/>
      <c r="F150" s="34"/>
      <c r="G150" s="34"/>
      <c r="H150" s="34"/>
      <c r="I150" s="34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3"/>
      <c r="AB150" s="43"/>
      <c r="AC150" s="43"/>
      <c r="AD150" s="43"/>
      <c r="AE150" s="43"/>
      <c r="AF150" s="43"/>
      <c r="AG150" s="43"/>
      <c r="AH150" s="43"/>
      <c r="AI150" s="43"/>
      <c r="AJ150" s="43"/>
      <c r="AK150" s="43"/>
      <c r="AL150" s="43"/>
      <c r="AM150" s="43"/>
      <c r="AN150" s="43"/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3"/>
      <c r="BA150" s="43"/>
      <c r="BB150" s="43"/>
      <c r="BC150" s="43"/>
      <c r="BD150" s="43"/>
      <c r="BE150" s="43"/>
      <c r="BF150" s="43"/>
      <c r="BG150" s="43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43"/>
      <c r="BX150" s="43"/>
      <c r="BY150" s="43"/>
      <c r="BZ150" s="43"/>
      <c r="CA150" s="34"/>
      <c r="CB150" s="34"/>
      <c r="CC150" s="34"/>
      <c r="CD150" s="34"/>
      <c r="CE150" s="43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  <c r="DN150" s="34"/>
    </row>
    <row r="151" spans="2:118" ht="18.75" customHeight="1">
      <c r="B151" s="43"/>
      <c r="C151" s="34"/>
      <c r="D151" s="34"/>
      <c r="E151" s="34"/>
      <c r="F151" s="34"/>
      <c r="G151" s="34"/>
      <c r="H151" s="34"/>
      <c r="I151" s="34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  <c r="AA151" s="43"/>
      <c r="AB151" s="43"/>
      <c r="AC151" s="43"/>
      <c r="AD151" s="43"/>
      <c r="AE151" s="43"/>
      <c r="AF151" s="43"/>
      <c r="AG151" s="43"/>
      <c r="AH151" s="43"/>
      <c r="AI151" s="43"/>
      <c r="AJ151" s="43"/>
      <c r="AK151" s="43"/>
      <c r="AL151" s="43"/>
      <c r="AM151" s="43"/>
      <c r="AN151" s="43"/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3"/>
      <c r="BA151" s="43"/>
      <c r="BB151" s="43"/>
      <c r="BC151" s="43"/>
      <c r="BD151" s="43"/>
      <c r="BE151" s="43"/>
      <c r="BF151" s="43"/>
      <c r="BG151" s="43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43"/>
      <c r="BX151" s="43"/>
      <c r="BY151" s="43"/>
      <c r="BZ151" s="43"/>
      <c r="CA151" s="34"/>
      <c r="CB151" s="34"/>
      <c r="CC151" s="34"/>
      <c r="CD151" s="34"/>
      <c r="CE151" s="43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  <c r="DN151" s="34"/>
    </row>
    <row r="152" spans="2:118" ht="18.75" customHeight="1">
      <c r="B152" s="43"/>
      <c r="C152" s="34"/>
      <c r="D152" s="34"/>
      <c r="E152" s="34"/>
      <c r="F152" s="34"/>
      <c r="G152" s="34"/>
      <c r="H152" s="34"/>
      <c r="I152" s="34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43"/>
      <c r="AC152" s="43"/>
      <c r="AD152" s="43"/>
      <c r="AE152" s="43"/>
      <c r="AF152" s="43"/>
      <c r="AG152" s="43"/>
      <c r="AH152" s="43"/>
      <c r="AI152" s="43"/>
      <c r="AJ152" s="43"/>
      <c r="AK152" s="43"/>
      <c r="AL152" s="43"/>
      <c r="AM152" s="43"/>
      <c r="AN152" s="43"/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3"/>
      <c r="BA152" s="43"/>
      <c r="BB152" s="43"/>
      <c r="BC152" s="43"/>
      <c r="BD152" s="43"/>
      <c r="BE152" s="43"/>
      <c r="BF152" s="43"/>
      <c r="BG152" s="43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34"/>
      <c r="BW152" s="43"/>
      <c r="BX152" s="43"/>
      <c r="BY152" s="43"/>
      <c r="BZ152" s="43"/>
      <c r="CA152" s="34"/>
      <c r="CB152" s="34"/>
      <c r="CC152" s="34"/>
      <c r="CD152" s="34"/>
      <c r="CE152" s="43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  <c r="DN152" s="34"/>
    </row>
    <row r="153" spans="2:118" ht="18.75" customHeight="1">
      <c r="B153" s="43"/>
      <c r="C153" s="34"/>
      <c r="D153" s="34"/>
      <c r="E153" s="34"/>
      <c r="F153" s="34"/>
      <c r="G153" s="34"/>
      <c r="H153" s="34"/>
      <c r="I153" s="34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  <c r="AF153" s="43"/>
      <c r="AG153" s="43"/>
      <c r="AH153" s="43"/>
      <c r="AI153" s="43"/>
      <c r="AJ153" s="43"/>
      <c r="AK153" s="43"/>
      <c r="AL153" s="43"/>
      <c r="AM153" s="43"/>
      <c r="AN153" s="43"/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3"/>
      <c r="BA153" s="43"/>
      <c r="BB153" s="43"/>
      <c r="BC153" s="43"/>
      <c r="BD153" s="43"/>
      <c r="BE153" s="43"/>
      <c r="BF153" s="43"/>
      <c r="BG153" s="43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  <c r="BR153" s="34"/>
      <c r="BS153" s="34"/>
      <c r="BT153" s="34"/>
      <c r="BU153" s="34"/>
      <c r="BV153" s="34"/>
      <c r="BW153" s="43"/>
      <c r="BX153" s="43"/>
      <c r="BY153" s="43"/>
      <c r="BZ153" s="43"/>
      <c r="CA153" s="34"/>
      <c r="CB153" s="34"/>
      <c r="CC153" s="34"/>
      <c r="CD153" s="34"/>
      <c r="CE153" s="43"/>
      <c r="CF153" s="34"/>
      <c r="CG153" s="34"/>
      <c r="CH153" s="34"/>
      <c r="CI153" s="34"/>
      <c r="CJ153" s="34"/>
      <c r="CK153" s="34"/>
      <c r="CL153" s="34"/>
      <c r="CM153" s="34"/>
      <c r="CN153" s="34"/>
      <c r="CO153" s="34"/>
      <c r="CP153" s="34"/>
      <c r="CQ153" s="34"/>
      <c r="CR153" s="34"/>
      <c r="CS153" s="34"/>
      <c r="CT153" s="34"/>
      <c r="CU153" s="34"/>
      <c r="CV153" s="34"/>
      <c r="CW153" s="34"/>
      <c r="CX153" s="34"/>
      <c r="CY153" s="34"/>
      <c r="CZ153" s="34"/>
      <c r="DA153" s="34"/>
      <c r="DB153" s="34"/>
      <c r="DC153" s="34"/>
      <c r="DD153" s="34"/>
      <c r="DE153" s="34"/>
      <c r="DF153" s="34"/>
      <c r="DG153" s="34"/>
      <c r="DH153" s="34"/>
      <c r="DI153" s="34"/>
      <c r="DJ153" s="34"/>
      <c r="DK153" s="34"/>
      <c r="DL153" s="34"/>
      <c r="DM153" s="34"/>
      <c r="DN153" s="34"/>
    </row>
    <row r="154" spans="2:118" ht="18.75" customHeight="1">
      <c r="B154" s="43"/>
      <c r="C154" s="34"/>
      <c r="D154" s="34"/>
      <c r="E154" s="34"/>
      <c r="F154" s="34"/>
      <c r="G154" s="34"/>
      <c r="H154" s="34"/>
      <c r="I154" s="34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  <c r="AF154" s="43"/>
      <c r="AG154" s="43"/>
      <c r="AH154" s="43"/>
      <c r="AI154" s="43"/>
      <c r="AJ154" s="43"/>
      <c r="AK154" s="43"/>
      <c r="AL154" s="43"/>
      <c r="AM154" s="43"/>
      <c r="AN154" s="43"/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3"/>
      <c r="BA154" s="43"/>
      <c r="BB154" s="43"/>
      <c r="BC154" s="43"/>
      <c r="BD154" s="43"/>
      <c r="BE154" s="43"/>
      <c r="BF154" s="43"/>
      <c r="BG154" s="43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43"/>
      <c r="BX154" s="43"/>
      <c r="BY154" s="43"/>
      <c r="BZ154" s="43"/>
      <c r="CA154" s="34"/>
      <c r="CB154" s="34"/>
      <c r="CC154" s="34"/>
      <c r="CD154" s="34"/>
      <c r="CE154" s="43"/>
      <c r="CF154" s="34"/>
      <c r="CG154" s="34"/>
      <c r="CH154" s="34"/>
      <c r="CI154" s="34"/>
      <c r="CJ154" s="34"/>
      <c r="CK154" s="34"/>
      <c r="CL154" s="34"/>
      <c r="CM154" s="34"/>
      <c r="CN154" s="34"/>
      <c r="CO154" s="34"/>
      <c r="CP154" s="34"/>
      <c r="CQ154" s="34"/>
      <c r="CR154" s="34"/>
      <c r="CS154" s="34"/>
      <c r="CT154" s="34"/>
      <c r="CU154" s="34"/>
      <c r="CV154" s="34"/>
      <c r="CW154" s="34"/>
      <c r="CX154" s="34"/>
      <c r="CY154" s="34"/>
      <c r="CZ154" s="34"/>
      <c r="DA154" s="34"/>
      <c r="DB154" s="34"/>
      <c r="DC154" s="34"/>
      <c r="DD154" s="34"/>
      <c r="DE154" s="34"/>
      <c r="DF154" s="34"/>
      <c r="DG154" s="34"/>
      <c r="DH154" s="34"/>
      <c r="DI154" s="34"/>
      <c r="DJ154" s="34"/>
      <c r="DK154" s="34"/>
      <c r="DL154" s="34"/>
      <c r="DM154" s="34"/>
      <c r="DN154" s="34"/>
    </row>
    <row r="155" spans="2:118" ht="18.75" customHeight="1">
      <c r="B155" s="43"/>
      <c r="C155" s="34"/>
      <c r="D155" s="34"/>
      <c r="E155" s="34"/>
      <c r="F155" s="34"/>
      <c r="G155" s="34"/>
      <c r="H155" s="34"/>
      <c r="I155" s="34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  <c r="AF155" s="43"/>
      <c r="AG155" s="43"/>
      <c r="AH155" s="43"/>
      <c r="AI155" s="43"/>
      <c r="AJ155" s="43"/>
      <c r="AK155" s="43"/>
      <c r="AL155" s="43"/>
      <c r="AM155" s="43"/>
      <c r="AN155" s="43"/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3"/>
      <c r="BA155" s="43"/>
      <c r="BB155" s="43"/>
      <c r="BC155" s="43"/>
      <c r="BD155" s="43"/>
      <c r="BE155" s="43"/>
      <c r="BF155" s="43"/>
      <c r="BG155" s="43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34"/>
      <c r="BW155" s="43"/>
      <c r="BX155" s="43"/>
      <c r="BY155" s="43"/>
      <c r="BZ155" s="43"/>
      <c r="CA155" s="34"/>
      <c r="CB155" s="34"/>
      <c r="CC155" s="34"/>
      <c r="CD155" s="34"/>
      <c r="CE155" s="43"/>
      <c r="CF155" s="34"/>
      <c r="CG155" s="34"/>
      <c r="CH155" s="34"/>
      <c r="CI155" s="34"/>
      <c r="CJ155" s="34"/>
      <c r="CK155" s="34"/>
      <c r="CL155" s="34"/>
      <c r="CM155" s="34"/>
      <c r="CN155" s="34"/>
      <c r="CO155" s="34"/>
      <c r="CP155" s="34"/>
      <c r="CQ155" s="34"/>
      <c r="CR155" s="34"/>
      <c r="CS155" s="34"/>
      <c r="CT155" s="34"/>
      <c r="CU155" s="34"/>
      <c r="CV155" s="34"/>
      <c r="CW155" s="34"/>
      <c r="CX155" s="34"/>
      <c r="CY155" s="34"/>
      <c r="CZ155" s="34"/>
      <c r="DA155" s="34"/>
      <c r="DB155" s="34"/>
      <c r="DC155" s="34"/>
      <c r="DD155" s="34"/>
      <c r="DE155" s="34"/>
      <c r="DF155" s="34"/>
      <c r="DG155" s="34"/>
      <c r="DH155" s="34"/>
      <c r="DI155" s="34"/>
      <c r="DJ155" s="34"/>
      <c r="DK155" s="34"/>
      <c r="DL155" s="34"/>
      <c r="DM155" s="34"/>
      <c r="DN155" s="34"/>
    </row>
    <row r="156" spans="2:118" ht="18.75" customHeight="1">
      <c r="B156" s="43"/>
      <c r="C156" s="34"/>
      <c r="D156" s="34"/>
      <c r="E156" s="34"/>
      <c r="F156" s="34"/>
      <c r="G156" s="34"/>
      <c r="H156" s="34"/>
      <c r="I156" s="34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  <c r="AF156" s="43"/>
      <c r="AG156" s="43"/>
      <c r="AH156" s="43"/>
      <c r="AI156" s="43"/>
      <c r="AJ156" s="43"/>
      <c r="AK156" s="43"/>
      <c r="AL156" s="43"/>
      <c r="AM156" s="43"/>
      <c r="AN156" s="43"/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3"/>
      <c r="BA156" s="43"/>
      <c r="BB156" s="43"/>
      <c r="BC156" s="43"/>
      <c r="BD156" s="43"/>
      <c r="BE156" s="43"/>
      <c r="BF156" s="43"/>
      <c r="BG156" s="43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  <c r="BR156" s="34"/>
      <c r="BS156" s="34"/>
      <c r="BT156" s="34"/>
      <c r="BU156" s="34"/>
      <c r="BV156" s="34"/>
      <c r="BW156" s="43"/>
      <c r="BX156" s="43"/>
      <c r="BY156" s="43"/>
      <c r="BZ156" s="43"/>
      <c r="CA156" s="34"/>
      <c r="CB156" s="34"/>
      <c r="CC156" s="34"/>
      <c r="CD156" s="34"/>
      <c r="CE156" s="43"/>
      <c r="CF156" s="34"/>
      <c r="CG156" s="34"/>
      <c r="CH156" s="34"/>
      <c r="CI156" s="34"/>
      <c r="CJ156" s="34"/>
      <c r="CK156" s="34"/>
      <c r="CL156" s="34"/>
      <c r="CM156" s="34"/>
      <c r="CN156" s="34"/>
      <c r="CO156" s="34"/>
      <c r="CP156" s="34"/>
      <c r="CQ156" s="34"/>
      <c r="CR156" s="34"/>
      <c r="CS156" s="34"/>
      <c r="CT156" s="34"/>
      <c r="CU156" s="34"/>
      <c r="CV156" s="34"/>
      <c r="CW156" s="34"/>
      <c r="CX156" s="34"/>
      <c r="CY156" s="34"/>
      <c r="CZ156" s="34"/>
      <c r="DA156" s="34"/>
      <c r="DB156" s="34"/>
      <c r="DC156" s="34"/>
      <c r="DD156" s="34"/>
      <c r="DE156" s="34"/>
      <c r="DF156" s="34"/>
      <c r="DG156" s="34"/>
      <c r="DH156" s="34"/>
      <c r="DI156" s="34"/>
      <c r="DJ156" s="34"/>
      <c r="DK156" s="34"/>
      <c r="DL156" s="34"/>
      <c r="DM156" s="34"/>
      <c r="DN156" s="34"/>
    </row>
    <row r="157" spans="2:118" ht="18.75" customHeight="1">
      <c r="B157" s="43"/>
      <c r="C157" s="34"/>
      <c r="D157" s="34"/>
      <c r="E157" s="34"/>
      <c r="F157" s="34"/>
      <c r="G157" s="34"/>
      <c r="H157" s="34"/>
      <c r="I157" s="34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3"/>
      <c r="BA157" s="43"/>
      <c r="BB157" s="43"/>
      <c r="BC157" s="43"/>
      <c r="BD157" s="43"/>
      <c r="BE157" s="43"/>
      <c r="BF157" s="43"/>
      <c r="BG157" s="43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43"/>
      <c r="BX157" s="43"/>
      <c r="BY157" s="43"/>
      <c r="BZ157" s="43"/>
      <c r="CA157" s="34"/>
      <c r="CB157" s="34"/>
      <c r="CC157" s="34"/>
      <c r="CD157" s="34"/>
      <c r="CE157" s="43"/>
      <c r="CF157" s="34"/>
      <c r="CG157" s="34"/>
      <c r="CH157" s="34"/>
      <c r="CI157" s="34"/>
      <c r="CJ157" s="34"/>
      <c r="CK157" s="34"/>
      <c r="CL157" s="34"/>
      <c r="CM157" s="34"/>
      <c r="CN157" s="34"/>
      <c r="CO157" s="34"/>
      <c r="CP157" s="34"/>
      <c r="CQ157" s="34"/>
      <c r="CR157" s="34"/>
      <c r="CS157" s="34"/>
      <c r="CT157" s="34"/>
      <c r="CU157" s="34"/>
      <c r="CV157" s="34"/>
      <c r="CW157" s="34"/>
      <c r="CX157" s="34"/>
      <c r="CY157" s="34"/>
      <c r="CZ157" s="34"/>
      <c r="DA157" s="34"/>
      <c r="DB157" s="34"/>
      <c r="DC157" s="34"/>
      <c r="DD157" s="34"/>
      <c r="DE157" s="34"/>
      <c r="DF157" s="34"/>
      <c r="DG157" s="34"/>
      <c r="DH157" s="34"/>
      <c r="DI157" s="34"/>
      <c r="DJ157" s="34"/>
      <c r="DK157" s="34"/>
      <c r="DL157" s="34"/>
      <c r="DM157" s="34"/>
      <c r="DN157" s="34"/>
    </row>
    <row r="158" spans="2:118" ht="18.75" customHeight="1">
      <c r="B158" s="43"/>
      <c r="C158" s="34"/>
      <c r="D158" s="34"/>
      <c r="E158" s="34"/>
      <c r="F158" s="34"/>
      <c r="G158" s="34"/>
      <c r="H158" s="34"/>
      <c r="I158" s="34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  <c r="AK158" s="43"/>
      <c r="AL158" s="43"/>
      <c r="AM158" s="43"/>
      <c r="AN158" s="43"/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3"/>
      <c r="BA158" s="43"/>
      <c r="BB158" s="43"/>
      <c r="BC158" s="43"/>
      <c r="BD158" s="43"/>
      <c r="BE158" s="43"/>
      <c r="BF158" s="43"/>
      <c r="BG158" s="43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34"/>
      <c r="BU158" s="34"/>
      <c r="BV158" s="34"/>
      <c r="BW158" s="43"/>
      <c r="BX158" s="43"/>
      <c r="BY158" s="43"/>
      <c r="BZ158" s="43"/>
      <c r="CA158" s="34"/>
      <c r="CB158" s="34"/>
      <c r="CC158" s="34"/>
      <c r="CD158" s="34"/>
      <c r="CE158" s="43"/>
      <c r="CF158" s="34"/>
      <c r="CG158" s="34"/>
      <c r="CH158" s="34"/>
      <c r="CI158" s="34"/>
      <c r="CJ158" s="34"/>
      <c r="CK158" s="34"/>
      <c r="CL158" s="34"/>
      <c r="CM158" s="34"/>
      <c r="CN158" s="34"/>
      <c r="CO158" s="34"/>
      <c r="CP158" s="34"/>
      <c r="CQ158" s="34"/>
      <c r="CR158" s="34"/>
      <c r="CS158" s="34"/>
      <c r="CT158" s="34"/>
      <c r="CU158" s="34"/>
      <c r="CV158" s="34"/>
      <c r="CW158" s="34"/>
      <c r="CX158" s="34"/>
      <c r="CY158" s="34"/>
      <c r="CZ158" s="34"/>
      <c r="DA158" s="34"/>
      <c r="DB158" s="34"/>
      <c r="DC158" s="34"/>
      <c r="DD158" s="34"/>
      <c r="DE158" s="34"/>
      <c r="DF158" s="34"/>
      <c r="DG158" s="34"/>
      <c r="DH158" s="34"/>
      <c r="DI158" s="34"/>
      <c r="DJ158" s="34"/>
      <c r="DK158" s="34"/>
      <c r="DL158" s="34"/>
      <c r="DM158" s="34"/>
      <c r="DN158" s="34"/>
    </row>
    <row r="159" spans="2:118" ht="18.75" customHeight="1">
      <c r="B159" s="43"/>
      <c r="C159" s="34"/>
      <c r="D159" s="34"/>
      <c r="E159" s="34"/>
      <c r="F159" s="34"/>
      <c r="G159" s="34"/>
      <c r="H159" s="34"/>
      <c r="I159" s="34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  <c r="AK159" s="43"/>
      <c r="AL159" s="43"/>
      <c r="AM159" s="43"/>
      <c r="AN159" s="43"/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3"/>
      <c r="BA159" s="43"/>
      <c r="BB159" s="43"/>
      <c r="BC159" s="43"/>
      <c r="BD159" s="43"/>
      <c r="BE159" s="43"/>
      <c r="BF159" s="43"/>
      <c r="BG159" s="43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43"/>
      <c r="BX159" s="43"/>
      <c r="BY159" s="43"/>
      <c r="BZ159" s="43"/>
      <c r="CA159" s="34"/>
      <c r="CB159" s="34"/>
      <c r="CC159" s="34"/>
      <c r="CD159" s="34"/>
      <c r="CE159" s="43"/>
      <c r="CF159" s="34"/>
      <c r="CG159" s="34"/>
      <c r="CH159" s="34"/>
      <c r="CI159" s="34"/>
      <c r="CJ159" s="34"/>
      <c r="CK159" s="34"/>
      <c r="CL159" s="34"/>
      <c r="CM159" s="34"/>
      <c r="CN159" s="34"/>
      <c r="CO159" s="34"/>
      <c r="CP159" s="34"/>
      <c r="CQ159" s="34"/>
      <c r="CR159" s="34"/>
      <c r="CS159" s="34"/>
      <c r="CT159" s="34"/>
      <c r="CU159" s="34"/>
      <c r="CV159" s="34"/>
      <c r="CW159" s="34"/>
      <c r="CX159" s="34"/>
      <c r="CY159" s="34"/>
      <c r="CZ159" s="34"/>
      <c r="DA159" s="34"/>
      <c r="DB159" s="34"/>
      <c r="DC159" s="34"/>
      <c r="DD159" s="34"/>
      <c r="DE159" s="34"/>
      <c r="DF159" s="34"/>
      <c r="DG159" s="34"/>
      <c r="DH159" s="34"/>
      <c r="DI159" s="34"/>
      <c r="DJ159" s="34"/>
      <c r="DK159" s="34"/>
      <c r="DL159" s="34"/>
      <c r="DM159" s="34"/>
      <c r="DN159" s="34"/>
    </row>
    <row r="160" spans="2:118" ht="18.75" customHeight="1">
      <c r="B160" s="43"/>
      <c r="C160" s="34"/>
      <c r="D160" s="34"/>
      <c r="E160" s="34"/>
      <c r="F160" s="34"/>
      <c r="G160" s="34"/>
      <c r="H160" s="34"/>
      <c r="I160" s="34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3"/>
      <c r="BA160" s="43"/>
      <c r="BB160" s="43"/>
      <c r="BC160" s="43"/>
      <c r="BD160" s="43"/>
      <c r="BE160" s="43"/>
      <c r="BF160" s="43"/>
      <c r="BG160" s="43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34"/>
      <c r="BW160" s="43"/>
      <c r="BX160" s="43"/>
      <c r="BY160" s="43"/>
      <c r="BZ160" s="43"/>
      <c r="CA160" s="34"/>
      <c r="CB160" s="34"/>
      <c r="CC160" s="34"/>
      <c r="CD160" s="34"/>
      <c r="CE160" s="43"/>
      <c r="CF160" s="34"/>
      <c r="CG160" s="34"/>
      <c r="CH160" s="34"/>
      <c r="CI160" s="34"/>
      <c r="CJ160" s="34"/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B160" s="34"/>
      <c r="DC160" s="34"/>
      <c r="DD160" s="34"/>
      <c r="DE160" s="34"/>
      <c r="DF160" s="34"/>
      <c r="DG160" s="34"/>
      <c r="DH160" s="34"/>
      <c r="DI160" s="34"/>
      <c r="DJ160" s="34"/>
      <c r="DK160" s="34"/>
      <c r="DL160" s="34"/>
      <c r="DM160" s="34"/>
      <c r="DN160" s="34"/>
    </row>
    <row r="161" spans="2:118" ht="18.75" customHeight="1">
      <c r="B161" s="43"/>
      <c r="C161" s="34"/>
      <c r="D161" s="34"/>
      <c r="E161" s="34"/>
      <c r="F161" s="34"/>
      <c r="G161" s="34"/>
      <c r="H161" s="34"/>
      <c r="I161" s="34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  <c r="AJ161" s="43"/>
      <c r="AK161" s="43"/>
      <c r="AL161" s="43"/>
      <c r="AM161" s="43"/>
      <c r="AN161" s="43"/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3"/>
      <c r="BA161" s="43"/>
      <c r="BB161" s="43"/>
      <c r="BC161" s="43"/>
      <c r="BD161" s="43"/>
      <c r="BE161" s="43"/>
      <c r="BF161" s="43"/>
      <c r="BG161" s="43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43"/>
      <c r="BX161" s="43"/>
      <c r="BY161" s="43"/>
      <c r="BZ161" s="43"/>
      <c r="CA161" s="34"/>
      <c r="CB161" s="34"/>
      <c r="CC161" s="34"/>
      <c r="CD161" s="34"/>
      <c r="CE161" s="43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  <c r="DN161" s="34"/>
    </row>
    <row r="162" spans="2:118" ht="18.75" customHeight="1">
      <c r="B162" s="43"/>
      <c r="C162" s="34"/>
      <c r="D162" s="34"/>
      <c r="E162" s="34"/>
      <c r="F162" s="34"/>
      <c r="G162" s="34"/>
      <c r="H162" s="34"/>
      <c r="I162" s="34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  <c r="AJ162" s="43"/>
      <c r="AK162" s="43"/>
      <c r="AL162" s="43"/>
      <c r="AM162" s="43"/>
      <c r="AN162" s="43"/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3"/>
      <c r="BA162" s="43"/>
      <c r="BB162" s="43"/>
      <c r="BC162" s="43"/>
      <c r="BD162" s="43"/>
      <c r="BE162" s="43"/>
      <c r="BF162" s="43"/>
      <c r="BG162" s="43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43"/>
      <c r="BX162" s="43"/>
      <c r="BY162" s="43"/>
      <c r="BZ162" s="43"/>
      <c r="CA162" s="34"/>
      <c r="CB162" s="34"/>
      <c r="CC162" s="34"/>
      <c r="CD162" s="34"/>
      <c r="CE162" s="43"/>
      <c r="CF162" s="34"/>
      <c r="CG162" s="34"/>
      <c r="CH162" s="34"/>
      <c r="CI162" s="34"/>
      <c r="CJ162" s="34"/>
      <c r="CK162" s="34"/>
      <c r="CL162" s="34"/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B162" s="34"/>
      <c r="DC162" s="34"/>
      <c r="DD162" s="34"/>
      <c r="DE162" s="34"/>
      <c r="DF162" s="34"/>
      <c r="DG162" s="34"/>
      <c r="DH162" s="34"/>
      <c r="DI162" s="34"/>
      <c r="DJ162" s="34"/>
      <c r="DK162" s="34"/>
      <c r="DL162" s="34"/>
      <c r="DM162" s="34"/>
      <c r="DN162" s="34"/>
    </row>
    <row r="163" spans="2:118" ht="18.75" customHeight="1">
      <c r="B163" s="43"/>
      <c r="C163" s="34"/>
      <c r="D163" s="34"/>
      <c r="E163" s="34"/>
      <c r="F163" s="34"/>
      <c r="G163" s="34"/>
      <c r="H163" s="34"/>
      <c r="I163" s="34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  <c r="AF163" s="43"/>
      <c r="AG163" s="43"/>
      <c r="AH163" s="43"/>
      <c r="AI163" s="43"/>
      <c r="AJ163" s="43"/>
      <c r="AK163" s="43"/>
      <c r="AL163" s="43"/>
      <c r="AM163" s="43"/>
      <c r="AN163" s="43"/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3"/>
      <c r="BA163" s="43"/>
      <c r="BB163" s="43"/>
      <c r="BC163" s="43"/>
      <c r="BD163" s="43"/>
      <c r="BE163" s="43"/>
      <c r="BF163" s="43"/>
      <c r="BG163" s="43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43"/>
      <c r="BX163" s="43"/>
      <c r="BY163" s="43"/>
      <c r="BZ163" s="43"/>
      <c r="CA163" s="34"/>
      <c r="CB163" s="34"/>
      <c r="CC163" s="34"/>
      <c r="CD163" s="34"/>
      <c r="CE163" s="43"/>
      <c r="CF163" s="34"/>
      <c r="CG163" s="34"/>
      <c r="CH163" s="34"/>
      <c r="CI163" s="34"/>
      <c r="CJ163" s="34"/>
      <c r="CK163" s="34"/>
      <c r="CL163" s="34"/>
      <c r="CM163" s="34"/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B163" s="34"/>
      <c r="DC163" s="34"/>
      <c r="DD163" s="34"/>
      <c r="DE163" s="34"/>
      <c r="DF163" s="34"/>
      <c r="DG163" s="34"/>
      <c r="DH163" s="34"/>
      <c r="DI163" s="34"/>
      <c r="DJ163" s="34"/>
      <c r="DK163" s="34"/>
      <c r="DL163" s="34"/>
      <c r="DM163" s="34"/>
      <c r="DN163" s="34"/>
    </row>
    <row r="164" spans="2:118" ht="18.75" customHeight="1">
      <c r="B164" s="43"/>
      <c r="C164" s="34"/>
      <c r="D164" s="34"/>
      <c r="E164" s="34"/>
      <c r="F164" s="34"/>
      <c r="G164" s="34"/>
      <c r="H164" s="34"/>
      <c r="I164" s="34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  <c r="AH164" s="43"/>
      <c r="AI164" s="43"/>
      <c r="AJ164" s="43"/>
      <c r="AK164" s="43"/>
      <c r="AL164" s="43"/>
      <c r="AM164" s="43"/>
      <c r="AN164" s="43"/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3"/>
      <c r="BA164" s="43"/>
      <c r="BB164" s="43"/>
      <c r="BC164" s="43"/>
      <c r="BD164" s="43"/>
      <c r="BE164" s="43"/>
      <c r="BF164" s="43"/>
      <c r="BG164" s="43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43"/>
      <c r="BX164" s="43"/>
      <c r="BY164" s="43"/>
      <c r="BZ164" s="43"/>
      <c r="CA164" s="34"/>
      <c r="CB164" s="34"/>
      <c r="CC164" s="34"/>
      <c r="CD164" s="34"/>
      <c r="CE164" s="43"/>
      <c r="CF164" s="34"/>
      <c r="CG164" s="34"/>
      <c r="CH164" s="34"/>
      <c r="CI164" s="34"/>
      <c r="CJ164" s="34"/>
      <c r="CK164" s="34"/>
      <c r="CL164" s="34"/>
      <c r="CM164" s="34"/>
      <c r="CN164" s="34"/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B164" s="34"/>
      <c r="DC164" s="34"/>
      <c r="DD164" s="34"/>
      <c r="DE164" s="34"/>
      <c r="DF164" s="34"/>
      <c r="DG164" s="34"/>
      <c r="DH164" s="34"/>
      <c r="DI164" s="34"/>
      <c r="DJ164" s="34"/>
      <c r="DK164" s="34"/>
      <c r="DL164" s="34"/>
      <c r="DM164" s="34"/>
      <c r="DN164" s="34"/>
    </row>
    <row r="165" spans="2:118" ht="18.75" customHeight="1">
      <c r="B165" s="43"/>
      <c r="C165" s="34"/>
      <c r="D165" s="34"/>
      <c r="E165" s="34"/>
      <c r="F165" s="34"/>
      <c r="G165" s="34"/>
      <c r="H165" s="34"/>
      <c r="I165" s="34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  <c r="AF165" s="43"/>
      <c r="AG165" s="43"/>
      <c r="AH165" s="43"/>
      <c r="AI165" s="43"/>
      <c r="AJ165" s="43"/>
      <c r="AK165" s="43"/>
      <c r="AL165" s="43"/>
      <c r="AM165" s="43"/>
      <c r="AN165" s="43"/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3"/>
      <c r="BA165" s="43"/>
      <c r="BB165" s="43"/>
      <c r="BC165" s="43"/>
      <c r="BD165" s="43"/>
      <c r="BE165" s="43"/>
      <c r="BF165" s="43"/>
      <c r="BG165" s="43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34"/>
      <c r="BW165" s="43"/>
      <c r="BX165" s="43"/>
      <c r="BY165" s="43"/>
      <c r="BZ165" s="43"/>
      <c r="CA165" s="34"/>
      <c r="CB165" s="34"/>
      <c r="CC165" s="34"/>
      <c r="CD165" s="34"/>
      <c r="CE165" s="43"/>
      <c r="CF165" s="34"/>
      <c r="CG165" s="34"/>
      <c r="CH165" s="34"/>
      <c r="CI165" s="34"/>
      <c r="CJ165" s="34"/>
      <c r="CK165" s="34"/>
      <c r="CL165" s="34"/>
      <c r="CM165" s="34"/>
      <c r="CN165" s="34"/>
      <c r="CO165" s="34"/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B165" s="34"/>
      <c r="DC165" s="34"/>
      <c r="DD165" s="34"/>
      <c r="DE165" s="34"/>
      <c r="DF165" s="34"/>
      <c r="DG165" s="34"/>
      <c r="DH165" s="34"/>
      <c r="DI165" s="34"/>
      <c r="DJ165" s="34"/>
      <c r="DK165" s="34"/>
      <c r="DL165" s="34"/>
      <c r="DM165" s="34"/>
      <c r="DN165" s="34"/>
    </row>
    <row r="166" spans="2:118" ht="18.75" customHeight="1">
      <c r="B166" s="43"/>
      <c r="C166" s="34"/>
      <c r="D166" s="34"/>
      <c r="E166" s="34"/>
      <c r="F166" s="34"/>
      <c r="G166" s="34"/>
      <c r="H166" s="34"/>
      <c r="I166" s="34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3"/>
      <c r="BA166" s="43"/>
      <c r="BB166" s="43"/>
      <c r="BC166" s="43"/>
      <c r="BD166" s="43"/>
      <c r="BE166" s="43"/>
      <c r="BF166" s="43"/>
      <c r="BG166" s="43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43"/>
      <c r="BX166" s="43"/>
      <c r="BY166" s="43"/>
      <c r="BZ166" s="43"/>
      <c r="CA166" s="34"/>
      <c r="CB166" s="34"/>
      <c r="CC166" s="34"/>
      <c r="CD166" s="34"/>
      <c r="CE166" s="43"/>
      <c r="CF166" s="34"/>
      <c r="CG166" s="34"/>
      <c r="CH166" s="34"/>
      <c r="CI166" s="34"/>
      <c r="CJ166" s="34"/>
      <c r="CK166" s="34"/>
      <c r="CL166" s="34"/>
      <c r="CM166" s="34"/>
      <c r="CN166" s="34"/>
      <c r="CO166" s="34"/>
      <c r="CP166" s="34"/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B166" s="34"/>
      <c r="DC166" s="34"/>
      <c r="DD166" s="34"/>
      <c r="DE166" s="34"/>
      <c r="DF166" s="34"/>
      <c r="DG166" s="34"/>
      <c r="DH166" s="34"/>
      <c r="DI166" s="34"/>
      <c r="DJ166" s="34"/>
      <c r="DK166" s="34"/>
      <c r="DL166" s="34"/>
      <c r="DM166" s="34"/>
      <c r="DN166" s="34"/>
    </row>
    <row r="167" spans="2:118" ht="18.75" customHeight="1">
      <c r="B167" s="43"/>
      <c r="C167" s="34"/>
      <c r="D167" s="34"/>
      <c r="E167" s="34"/>
      <c r="F167" s="34"/>
      <c r="G167" s="34"/>
      <c r="H167" s="34"/>
      <c r="I167" s="34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  <c r="BD167" s="43"/>
      <c r="BE167" s="43"/>
      <c r="BF167" s="43"/>
      <c r="BG167" s="43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43"/>
      <c r="BX167" s="43"/>
      <c r="BY167" s="43"/>
      <c r="BZ167" s="43"/>
      <c r="CA167" s="34"/>
      <c r="CB167" s="34"/>
      <c r="CC167" s="34"/>
      <c r="CD167" s="34"/>
      <c r="CE167" s="43"/>
      <c r="CF167" s="34"/>
      <c r="CG167" s="34"/>
      <c r="CH167" s="34"/>
      <c r="CI167" s="34"/>
      <c r="CJ167" s="34"/>
      <c r="CK167" s="34"/>
      <c r="CL167" s="34"/>
      <c r="CM167" s="34"/>
      <c r="CN167" s="34"/>
      <c r="CO167" s="34"/>
      <c r="CP167" s="34"/>
      <c r="CQ167" s="34"/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B167" s="34"/>
      <c r="DC167" s="34"/>
      <c r="DD167" s="34"/>
      <c r="DE167" s="34"/>
      <c r="DF167" s="34"/>
      <c r="DG167" s="34"/>
      <c r="DH167" s="34"/>
      <c r="DI167" s="34"/>
      <c r="DJ167" s="34"/>
      <c r="DK167" s="34"/>
      <c r="DL167" s="34"/>
      <c r="DM167" s="34"/>
      <c r="DN167" s="34"/>
    </row>
    <row r="168" spans="2:118" ht="18.75" customHeight="1">
      <c r="B168" s="43"/>
      <c r="C168" s="34"/>
      <c r="D168" s="34"/>
      <c r="E168" s="34"/>
      <c r="F168" s="34"/>
      <c r="G168" s="34"/>
      <c r="H168" s="34"/>
      <c r="I168" s="34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  <c r="AK168" s="43"/>
      <c r="AL168" s="43"/>
      <c r="AM168" s="43"/>
      <c r="AN168" s="43"/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3"/>
      <c r="BA168" s="43"/>
      <c r="BB168" s="43"/>
      <c r="BC168" s="43"/>
      <c r="BD168" s="43"/>
      <c r="BE168" s="43"/>
      <c r="BF168" s="43"/>
      <c r="BG168" s="43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34"/>
      <c r="BW168" s="43"/>
      <c r="BX168" s="43"/>
      <c r="BY168" s="43"/>
      <c r="BZ168" s="43"/>
      <c r="CA168" s="34"/>
      <c r="CB168" s="34"/>
      <c r="CC168" s="34"/>
      <c r="CD168" s="34"/>
      <c r="CE168" s="43"/>
      <c r="CF168" s="34"/>
      <c r="CG168" s="34"/>
      <c r="CH168" s="34"/>
      <c r="CI168" s="34"/>
      <c r="CJ168" s="34"/>
      <c r="CK168" s="34"/>
      <c r="CL168" s="34"/>
      <c r="CM168" s="34"/>
      <c r="CN168" s="34"/>
      <c r="CO168" s="34"/>
      <c r="CP168" s="34"/>
      <c r="CQ168" s="34"/>
      <c r="CR168" s="34"/>
      <c r="CS168" s="34"/>
      <c r="CT168" s="34"/>
      <c r="CU168" s="34"/>
      <c r="CV168" s="34"/>
      <c r="CW168" s="34"/>
      <c r="CX168" s="34"/>
      <c r="CY168" s="34"/>
      <c r="CZ168" s="34"/>
      <c r="DA168" s="34"/>
      <c r="DB168" s="34"/>
      <c r="DC168" s="34"/>
      <c r="DD168" s="34"/>
      <c r="DE168" s="34"/>
      <c r="DF168" s="34"/>
      <c r="DG168" s="34"/>
      <c r="DH168" s="34"/>
      <c r="DI168" s="34"/>
      <c r="DJ168" s="34"/>
      <c r="DK168" s="34"/>
      <c r="DL168" s="34"/>
      <c r="DM168" s="34"/>
      <c r="DN168" s="34"/>
    </row>
    <row r="169" spans="2:118" ht="18.75" customHeight="1">
      <c r="B169" s="43"/>
      <c r="C169" s="34"/>
      <c r="D169" s="34"/>
      <c r="E169" s="34"/>
      <c r="F169" s="34"/>
      <c r="G169" s="34"/>
      <c r="H169" s="34"/>
      <c r="I169" s="34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  <c r="AF169" s="43"/>
      <c r="AG169" s="43"/>
      <c r="AH169" s="43"/>
      <c r="AI169" s="43"/>
      <c r="AJ169" s="43"/>
      <c r="AK169" s="43"/>
      <c r="AL169" s="43"/>
      <c r="AM169" s="43"/>
      <c r="AN169" s="43"/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3"/>
      <c r="BA169" s="43"/>
      <c r="BB169" s="43"/>
      <c r="BC169" s="43"/>
      <c r="BD169" s="43"/>
      <c r="BE169" s="43"/>
      <c r="BF169" s="43"/>
      <c r="BG169" s="43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34"/>
      <c r="BW169" s="43"/>
      <c r="BX169" s="43"/>
      <c r="BY169" s="43"/>
      <c r="BZ169" s="43"/>
      <c r="CA169" s="34"/>
      <c r="CB169" s="34"/>
      <c r="CC169" s="34"/>
      <c r="CD169" s="34"/>
      <c r="CE169" s="43"/>
      <c r="CF169" s="34"/>
      <c r="CG169" s="34"/>
      <c r="CH169" s="34"/>
      <c r="CI169" s="34"/>
      <c r="CJ169" s="34"/>
      <c r="CK169" s="34"/>
      <c r="CL169" s="34"/>
      <c r="CM169" s="34"/>
      <c r="CN169" s="34"/>
      <c r="CO169" s="34"/>
      <c r="CP169" s="34"/>
      <c r="CQ169" s="34"/>
      <c r="CR169" s="34"/>
      <c r="CS169" s="34"/>
      <c r="CT169" s="34"/>
      <c r="CU169" s="34"/>
      <c r="CV169" s="34"/>
      <c r="CW169" s="34"/>
      <c r="CX169" s="34"/>
      <c r="CY169" s="34"/>
      <c r="CZ169" s="34"/>
      <c r="DA169" s="34"/>
      <c r="DB169" s="34"/>
      <c r="DC169" s="34"/>
      <c r="DD169" s="34"/>
      <c r="DE169" s="34"/>
      <c r="DF169" s="34"/>
      <c r="DG169" s="34"/>
      <c r="DH169" s="34"/>
      <c r="DI169" s="34"/>
      <c r="DJ169" s="34"/>
      <c r="DK169" s="34"/>
      <c r="DL169" s="34"/>
      <c r="DM169" s="34"/>
      <c r="DN169" s="34"/>
    </row>
    <row r="170" spans="2:118" ht="18.75" customHeight="1"/>
    <row r="171" spans="2:118" ht="18.75" customHeight="1"/>
    <row r="172" spans="2:118" ht="18.75" customHeight="1"/>
    <row r="173" spans="2:118" ht="18.75" customHeight="1"/>
    <row r="174" spans="2:118" ht="18.75" customHeight="1"/>
    <row r="175" spans="2:118" ht="18.75" customHeight="1"/>
    <row r="176" spans="2:118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5"/>
  <dataValidations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7" width="19.625" style="36" customWidth="1"/>
    <col min="8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1922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.625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1922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1922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2" style="36" customWidth="1"/>
    <col min="4" max="4" width="44.875" style="36" customWidth="1"/>
    <col min="5" max="5" width="22" style="36" customWidth="1"/>
    <col min="6" max="7" width="20.875" style="36" customWidth="1"/>
    <col min="8" max="8" width="23.625" style="36" customWidth="1"/>
    <col min="9" max="9" width="18.875" style="36" customWidth="1"/>
    <col min="10" max="10" width="26.25" style="36" customWidth="1"/>
    <col min="11" max="11" width="19" style="36" customWidth="1"/>
    <col min="12" max="13" width="18.875" style="36" customWidth="1"/>
    <col min="14" max="14" width="39.375" style="36" customWidth="1"/>
    <col min="15" max="15" width="20.875" style="36" customWidth="1"/>
    <col min="16" max="16" width="13.625" style="36" customWidth="1"/>
    <col min="17" max="17" width="12.625" style="36" customWidth="1"/>
    <col min="18" max="18" width="13.25" style="36" customWidth="1"/>
    <col min="19" max="19" width="16.375" style="36" customWidth="1"/>
    <col min="20" max="42" width="12.625" style="36" customWidth="1"/>
    <col min="43" max="16384" width="12.625" style="36"/>
  </cols>
  <sheetData>
    <row r="1" spans="1:42" ht="12" customHeight="1"/>
    <row r="2" spans="1:42" ht="40.5" customHeight="1">
      <c r="A2" s="55" t="s">
        <v>0</v>
      </c>
      <c r="B2" s="7" t="s">
        <v>630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631</v>
      </c>
      <c r="F4" s="3" t="s">
        <v>633</v>
      </c>
      <c r="G4" s="3" t="s">
        <v>208</v>
      </c>
      <c r="H4" s="3" t="s">
        <v>199</v>
      </c>
      <c r="I4" s="3" t="s">
        <v>636</v>
      </c>
      <c r="J4" s="3" t="s">
        <v>638</v>
      </c>
      <c r="K4" s="3" t="s">
        <v>641</v>
      </c>
      <c r="L4" s="3" t="s">
        <v>643</v>
      </c>
      <c r="M4" s="3" t="s">
        <v>644</v>
      </c>
      <c r="N4" s="3" t="s">
        <v>798</v>
      </c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55" t="s">
        <v>1922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626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173</v>
      </c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</row>
    <row r="9" spans="1:42" ht="76.5" customHeight="1">
      <c r="A9" s="55" t="s">
        <v>10</v>
      </c>
      <c r="B9" s="5" t="s">
        <v>11</v>
      </c>
      <c r="C9" s="5" t="s">
        <v>200</v>
      </c>
      <c r="D9" s="6" t="s">
        <v>201</v>
      </c>
      <c r="E9" s="9" t="s">
        <v>632</v>
      </c>
      <c r="F9" s="9" t="s">
        <v>634</v>
      </c>
      <c r="G9" s="9" t="s">
        <v>831</v>
      </c>
      <c r="H9" s="5" t="s">
        <v>635</v>
      </c>
      <c r="I9" s="6" t="s">
        <v>639</v>
      </c>
      <c r="J9" s="6" t="s">
        <v>640</v>
      </c>
      <c r="K9" s="6" t="s">
        <v>642</v>
      </c>
      <c r="L9" s="6" t="s">
        <v>646</v>
      </c>
      <c r="M9" s="6" t="s">
        <v>645</v>
      </c>
      <c r="N9" s="6" t="s">
        <v>799</v>
      </c>
      <c r="O9" s="9"/>
      <c r="P9" s="5"/>
      <c r="Q9" s="6"/>
      <c r="R9" s="5"/>
      <c r="S9" s="6"/>
      <c r="T9" s="6"/>
      <c r="U9" s="6"/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5"/>
      <c r="AI9" s="5"/>
      <c r="AJ9" s="5"/>
      <c r="AK9" s="5"/>
      <c r="AL9" s="5"/>
      <c r="AM9" s="5"/>
      <c r="AN9" s="5"/>
      <c r="AO9" s="5"/>
      <c r="AP9" s="5"/>
    </row>
    <row r="10" spans="1:42" ht="311.25" customHeight="1">
      <c r="A10" s="55" t="s">
        <v>12</v>
      </c>
      <c r="B10" s="5"/>
      <c r="C10" s="6"/>
      <c r="D10" s="6"/>
      <c r="E10" s="6" t="s">
        <v>764</v>
      </c>
      <c r="F10" s="6" t="s">
        <v>637</v>
      </c>
      <c r="G10" s="6" t="s">
        <v>795</v>
      </c>
      <c r="H10" s="6" t="s">
        <v>832</v>
      </c>
      <c r="I10" s="6"/>
      <c r="J10" s="6" t="s">
        <v>674</v>
      </c>
      <c r="K10" s="6"/>
      <c r="L10" s="6" t="s">
        <v>637</v>
      </c>
      <c r="M10" s="6" t="s">
        <v>647</v>
      </c>
      <c r="N10" s="6" t="s">
        <v>763</v>
      </c>
      <c r="O10" s="6"/>
      <c r="P10" s="6"/>
      <c r="Q10" s="6"/>
      <c r="R10" s="6"/>
      <c r="S10" s="6"/>
      <c r="T10" s="6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20.100000000000001" customHeight="1">
      <c r="A11" s="56" t="s">
        <v>107</v>
      </c>
      <c r="B11" s="26">
        <v>1</v>
      </c>
      <c r="C11" s="27" t="s">
        <v>648</v>
      </c>
      <c r="D11" s="27" t="s">
        <v>649</v>
      </c>
      <c r="E11" s="27">
        <v>1</v>
      </c>
      <c r="F11" s="27">
        <v>1</v>
      </c>
      <c r="G11" s="27">
        <v>2</v>
      </c>
      <c r="H11" s="27">
        <v>0</v>
      </c>
      <c r="I11" s="27" t="b">
        <v>0</v>
      </c>
      <c r="J11" s="27">
        <v>2</v>
      </c>
      <c r="K11" s="26">
        <v>0</v>
      </c>
      <c r="L11" s="26">
        <v>0</v>
      </c>
      <c r="M11" s="26">
        <v>0</v>
      </c>
      <c r="N11" s="26">
        <v>0</v>
      </c>
      <c r="O11" s="6"/>
      <c r="P11" s="5"/>
      <c r="Q11" s="5"/>
      <c r="R11" s="6"/>
      <c r="S11" s="5"/>
      <c r="T11" s="5"/>
      <c r="U11" s="5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42" ht="18.75" customHeight="1">
      <c r="A12" s="56"/>
      <c r="B12" s="28">
        <v>2</v>
      </c>
      <c r="C12" s="27" t="s">
        <v>650</v>
      </c>
      <c r="D12" s="27" t="s">
        <v>662</v>
      </c>
      <c r="E12" s="27">
        <v>1</v>
      </c>
      <c r="F12" s="27">
        <v>1</v>
      </c>
      <c r="G12" s="27">
        <v>2</v>
      </c>
      <c r="H12" s="27">
        <v>0</v>
      </c>
      <c r="I12" s="27" t="b">
        <v>0</v>
      </c>
      <c r="J12" s="27">
        <v>3</v>
      </c>
      <c r="K12" s="26">
        <v>0</v>
      </c>
      <c r="L12" s="26">
        <v>0</v>
      </c>
      <c r="M12" s="26">
        <v>0</v>
      </c>
      <c r="N12" s="28">
        <v>0</v>
      </c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56"/>
      <c r="B13" s="28">
        <v>3</v>
      </c>
      <c r="C13" s="27" t="s">
        <v>675</v>
      </c>
      <c r="D13" s="27" t="s">
        <v>676</v>
      </c>
      <c r="E13" s="27">
        <v>1</v>
      </c>
      <c r="F13" s="27">
        <v>1</v>
      </c>
      <c r="G13" s="27">
        <v>2</v>
      </c>
      <c r="H13" s="27">
        <v>0</v>
      </c>
      <c r="I13" s="27" t="b">
        <v>0</v>
      </c>
      <c r="J13" s="27">
        <v>4</v>
      </c>
      <c r="K13" s="26">
        <v>0</v>
      </c>
      <c r="L13" s="26">
        <v>0</v>
      </c>
      <c r="M13" s="26">
        <v>0</v>
      </c>
      <c r="N13" s="26">
        <v>0</v>
      </c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26">
        <v>4</v>
      </c>
      <c r="C14" s="27" t="s">
        <v>651</v>
      </c>
      <c r="D14" s="27" t="s">
        <v>663</v>
      </c>
      <c r="E14" s="27">
        <v>1</v>
      </c>
      <c r="F14" s="27">
        <v>1</v>
      </c>
      <c r="G14" s="27">
        <v>2</v>
      </c>
      <c r="H14" s="27">
        <v>0</v>
      </c>
      <c r="I14" s="27" t="b">
        <v>0</v>
      </c>
      <c r="J14" s="27">
        <v>5</v>
      </c>
      <c r="K14" s="26">
        <v>0</v>
      </c>
      <c r="L14" s="26">
        <v>0</v>
      </c>
      <c r="M14" s="26">
        <v>0</v>
      </c>
      <c r="N14" s="28">
        <v>0</v>
      </c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28">
        <v>5</v>
      </c>
      <c r="C15" s="27" t="s">
        <v>652</v>
      </c>
      <c r="D15" s="27" t="s">
        <v>664</v>
      </c>
      <c r="E15" s="27">
        <v>1</v>
      </c>
      <c r="F15" s="27">
        <v>1</v>
      </c>
      <c r="G15" s="27">
        <v>2</v>
      </c>
      <c r="H15" s="27">
        <v>0</v>
      </c>
      <c r="I15" s="27" t="b">
        <v>0</v>
      </c>
      <c r="J15" s="27">
        <v>7</v>
      </c>
      <c r="K15" s="26">
        <v>0</v>
      </c>
      <c r="L15" s="26">
        <v>0</v>
      </c>
      <c r="M15" s="26">
        <v>0</v>
      </c>
      <c r="N15" s="26">
        <v>0</v>
      </c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28">
        <v>6</v>
      </c>
      <c r="C16" s="27" t="s">
        <v>653</v>
      </c>
      <c r="D16" s="27" t="s">
        <v>665</v>
      </c>
      <c r="E16" s="27">
        <v>1</v>
      </c>
      <c r="F16" s="27">
        <v>1</v>
      </c>
      <c r="G16" s="27">
        <v>2</v>
      </c>
      <c r="H16" s="27">
        <v>0</v>
      </c>
      <c r="I16" s="27" t="b">
        <v>0</v>
      </c>
      <c r="J16" s="27">
        <v>8</v>
      </c>
      <c r="K16" s="26">
        <v>0</v>
      </c>
      <c r="L16" s="26">
        <v>0</v>
      </c>
      <c r="M16" s="26">
        <v>0</v>
      </c>
      <c r="N16" s="28">
        <v>0</v>
      </c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26">
        <v>7</v>
      </c>
      <c r="C17" s="27" t="s">
        <v>654</v>
      </c>
      <c r="D17" s="27" t="s">
        <v>666</v>
      </c>
      <c r="E17" s="27">
        <v>1</v>
      </c>
      <c r="F17" s="27">
        <v>1</v>
      </c>
      <c r="G17" s="27">
        <v>2</v>
      </c>
      <c r="H17" s="27">
        <v>0</v>
      </c>
      <c r="I17" s="27" t="b">
        <v>0</v>
      </c>
      <c r="J17" s="27">
        <v>9</v>
      </c>
      <c r="K17" s="26">
        <v>0</v>
      </c>
      <c r="L17" s="26">
        <v>0</v>
      </c>
      <c r="M17" s="26">
        <v>0</v>
      </c>
      <c r="N17" s="26">
        <v>0</v>
      </c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28">
        <v>8</v>
      </c>
      <c r="C18" s="27" t="s">
        <v>655</v>
      </c>
      <c r="D18" s="27" t="s">
        <v>667</v>
      </c>
      <c r="E18" s="27">
        <v>1</v>
      </c>
      <c r="F18" s="27">
        <v>1</v>
      </c>
      <c r="G18" s="27">
        <v>2</v>
      </c>
      <c r="H18" s="27">
        <v>0</v>
      </c>
      <c r="I18" s="27" t="b">
        <v>0</v>
      </c>
      <c r="J18" s="27">
        <v>10</v>
      </c>
      <c r="K18" s="26">
        <v>0</v>
      </c>
      <c r="L18" s="26">
        <v>0</v>
      </c>
      <c r="M18" s="26">
        <v>0</v>
      </c>
      <c r="N18" s="28">
        <v>0</v>
      </c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28">
        <v>9</v>
      </c>
      <c r="C19" s="27" t="s">
        <v>656</v>
      </c>
      <c r="D19" s="27" t="s">
        <v>668</v>
      </c>
      <c r="E19" s="27">
        <v>1</v>
      </c>
      <c r="F19" s="27">
        <v>2</v>
      </c>
      <c r="G19" s="27">
        <v>2</v>
      </c>
      <c r="H19" s="27">
        <v>0</v>
      </c>
      <c r="I19" s="27" t="b">
        <v>0</v>
      </c>
      <c r="J19" s="27">
        <v>11</v>
      </c>
      <c r="K19" s="26">
        <v>0</v>
      </c>
      <c r="L19" s="26">
        <v>0</v>
      </c>
      <c r="M19" s="26">
        <v>0</v>
      </c>
      <c r="N19" s="26">
        <v>0</v>
      </c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26">
        <v>10</v>
      </c>
      <c r="C20" s="27" t="s">
        <v>657</v>
      </c>
      <c r="D20" s="27" t="s">
        <v>669</v>
      </c>
      <c r="E20" s="27">
        <v>1</v>
      </c>
      <c r="F20" s="27">
        <v>1</v>
      </c>
      <c r="G20" s="27">
        <v>2</v>
      </c>
      <c r="H20" s="27">
        <v>0</v>
      </c>
      <c r="I20" s="27" t="b">
        <v>0</v>
      </c>
      <c r="J20" s="27">
        <v>12</v>
      </c>
      <c r="K20" s="26">
        <v>0</v>
      </c>
      <c r="L20" s="26">
        <v>0</v>
      </c>
      <c r="M20" s="26">
        <v>0</v>
      </c>
      <c r="N20" s="28">
        <v>0</v>
      </c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28">
        <v>11</v>
      </c>
      <c r="C21" s="27" t="s">
        <v>677</v>
      </c>
      <c r="D21" s="27" t="s">
        <v>678</v>
      </c>
      <c r="E21" s="27">
        <v>1</v>
      </c>
      <c r="F21" s="27">
        <v>1</v>
      </c>
      <c r="G21" s="27">
        <v>2</v>
      </c>
      <c r="H21" s="27">
        <v>0</v>
      </c>
      <c r="I21" s="27" t="b">
        <v>0</v>
      </c>
      <c r="J21" s="27">
        <v>13</v>
      </c>
      <c r="K21" s="26">
        <v>0</v>
      </c>
      <c r="L21" s="26">
        <v>0</v>
      </c>
      <c r="M21" s="26">
        <v>0</v>
      </c>
      <c r="N21" s="26">
        <v>0</v>
      </c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28">
        <v>12</v>
      </c>
      <c r="C22" s="27" t="s">
        <v>658</v>
      </c>
      <c r="D22" s="27" t="s">
        <v>670</v>
      </c>
      <c r="E22" s="27">
        <v>1</v>
      </c>
      <c r="F22" s="27">
        <v>1</v>
      </c>
      <c r="G22" s="27">
        <v>2</v>
      </c>
      <c r="H22" s="27">
        <v>0</v>
      </c>
      <c r="I22" s="27" t="b">
        <v>0</v>
      </c>
      <c r="J22" s="27">
        <v>14</v>
      </c>
      <c r="K22" s="26">
        <v>0</v>
      </c>
      <c r="L22" s="26">
        <v>0</v>
      </c>
      <c r="M22" s="26">
        <v>0</v>
      </c>
      <c r="N22" s="28">
        <v>0</v>
      </c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26">
        <v>13</v>
      </c>
      <c r="C23" s="27" t="s">
        <v>659</v>
      </c>
      <c r="D23" s="27" t="s">
        <v>671</v>
      </c>
      <c r="E23" s="27">
        <v>1</v>
      </c>
      <c r="F23" s="27">
        <v>1</v>
      </c>
      <c r="G23" s="27">
        <v>2</v>
      </c>
      <c r="H23" s="27">
        <v>0</v>
      </c>
      <c r="I23" s="27" t="b">
        <v>0</v>
      </c>
      <c r="J23" s="27">
        <v>15</v>
      </c>
      <c r="K23" s="26">
        <v>0</v>
      </c>
      <c r="L23" s="26">
        <v>0</v>
      </c>
      <c r="M23" s="26">
        <v>0</v>
      </c>
      <c r="N23" s="26">
        <v>0</v>
      </c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28">
        <v>14</v>
      </c>
      <c r="C24" s="27" t="s">
        <v>660</v>
      </c>
      <c r="D24" s="27" t="s">
        <v>672</v>
      </c>
      <c r="E24" s="27">
        <v>1</v>
      </c>
      <c r="F24" s="27">
        <v>1</v>
      </c>
      <c r="G24" s="27">
        <v>2</v>
      </c>
      <c r="H24" s="27">
        <v>0</v>
      </c>
      <c r="I24" s="27" t="b">
        <v>0</v>
      </c>
      <c r="J24" s="27">
        <v>16</v>
      </c>
      <c r="K24" s="26">
        <v>0</v>
      </c>
      <c r="L24" s="26">
        <v>0</v>
      </c>
      <c r="M24" s="26">
        <v>0</v>
      </c>
      <c r="N24" s="28">
        <v>0</v>
      </c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28">
        <v>15</v>
      </c>
      <c r="C25" s="27" t="s">
        <v>661</v>
      </c>
      <c r="D25" s="27" t="s">
        <v>673</v>
      </c>
      <c r="E25" s="27">
        <v>1</v>
      </c>
      <c r="F25" s="27">
        <v>1</v>
      </c>
      <c r="G25" s="27">
        <v>2</v>
      </c>
      <c r="H25" s="27">
        <v>0</v>
      </c>
      <c r="I25" s="27" t="b">
        <v>0</v>
      </c>
      <c r="J25" s="27">
        <v>17</v>
      </c>
      <c r="K25" s="26">
        <v>0</v>
      </c>
      <c r="L25" s="26">
        <v>0</v>
      </c>
      <c r="M25" s="26">
        <v>0</v>
      </c>
      <c r="N25" s="26">
        <v>0</v>
      </c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26">
        <v>16</v>
      </c>
      <c r="C26" s="27" t="s">
        <v>785</v>
      </c>
      <c r="D26" s="27" t="s">
        <v>693</v>
      </c>
      <c r="E26" s="27">
        <v>2</v>
      </c>
      <c r="F26" s="27">
        <v>2</v>
      </c>
      <c r="G26" s="27">
        <v>2</v>
      </c>
      <c r="H26" s="27">
        <v>0</v>
      </c>
      <c r="I26" s="27" t="b">
        <v>0</v>
      </c>
      <c r="J26" s="27">
        <v>2</v>
      </c>
      <c r="K26" s="26">
        <v>0</v>
      </c>
      <c r="L26" s="26">
        <v>0</v>
      </c>
      <c r="M26" s="26">
        <v>0</v>
      </c>
      <c r="N26" s="28">
        <v>0</v>
      </c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28">
        <v>17</v>
      </c>
      <c r="C27" s="27" t="s">
        <v>679</v>
      </c>
      <c r="D27" s="27" t="s">
        <v>694</v>
      </c>
      <c r="E27" s="27">
        <v>2</v>
      </c>
      <c r="F27" s="27">
        <v>2</v>
      </c>
      <c r="G27" s="27">
        <v>2</v>
      </c>
      <c r="H27" s="27">
        <v>0</v>
      </c>
      <c r="I27" s="27" t="b">
        <v>0</v>
      </c>
      <c r="J27" s="27">
        <v>3</v>
      </c>
      <c r="K27" s="26">
        <v>0</v>
      </c>
      <c r="L27" s="26">
        <v>0</v>
      </c>
      <c r="M27" s="26">
        <v>0</v>
      </c>
      <c r="N27" s="26">
        <v>0</v>
      </c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28">
        <v>18</v>
      </c>
      <c r="C28" s="27" t="s">
        <v>680</v>
      </c>
      <c r="D28" s="27" t="s">
        <v>695</v>
      </c>
      <c r="E28" s="27">
        <v>2</v>
      </c>
      <c r="F28" s="27">
        <v>2</v>
      </c>
      <c r="G28" s="27">
        <v>2</v>
      </c>
      <c r="H28" s="27">
        <v>0</v>
      </c>
      <c r="I28" s="27" t="b">
        <v>0</v>
      </c>
      <c r="J28" s="27">
        <v>4</v>
      </c>
      <c r="K28" s="26">
        <v>0</v>
      </c>
      <c r="L28" s="26">
        <v>0</v>
      </c>
      <c r="M28" s="26">
        <v>0</v>
      </c>
      <c r="N28" s="28">
        <v>0</v>
      </c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26">
        <v>19</v>
      </c>
      <c r="C29" s="27" t="s">
        <v>681</v>
      </c>
      <c r="D29" s="27" t="s">
        <v>696</v>
      </c>
      <c r="E29" s="27">
        <v>2</v>
      </c>
      <c r="F29" s="27">
        <v>2</v>
      </c>
      <c r="G29" s="27">
        <v>2</v>
      </c>
      <c r="H29" s="27">
        <v>0</v>
      </c>
      <c r="I29" s="27" t="b">
        <v>0</v>
      </c>
      <c r="J29" s="27">
        <v>5</v>
      </c>
      <c r="K29" s="26">
        <v>0</v>
      </c>
      <c r="L29" s="26">
        <v>0</v>
      </c>
      <c r="M29" s="26">
        <v>0</v>
      </c>
      <c r="N29" s="26">
        <v>0</v>
      </c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28">
        <v>20</v>
      </c>
      <c r="C30" s="27" t="s">
        <v>682</v>
      </c>
      <c r="D30" s="27" t="s">
        <v>697</v>
      </c>
      <c r="E30" s="27">
        <v>2</v>
      </c>
      <c r="F30" s="27">
        <v>2</v>
      </c>
      <c r="G30" s="27">
        <v>2</v>
      </c>
      <c r="H30" s="27">
        <v>0</v>
      </c>
      <c r="I30" s="27" t="b">
        <v>0</v>
      </c>
      <c r="J30" s="27">
        <v>7</v>
      </c>
      <c r="K30" s="26">
        <v>0</v>
      </c>
      <c r="L30" s="26">
        <v>0</v>
      </c>
      <c r="M30" s="26">
        <v>0</v>
      </c>
      <c r="N30" s="28">
        <v>0</v>
      </c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28">
        <v>21</v>
      </c>
      <c r="C31" s="27" t="s">
        <v>683</v>
      </c>
      <c r="D31" s="27" t="s">
        <v>698</v>
      </c>
      <c r="E31" s="27">
        <v>2</v>
      </c>
      <c r="F31" s="27">
        <v>2</v>
      </c>
      <c r="G31" s="27">
        <v>2</v>
      </c>
      <c r="H31" s="27">
        <v>0</v>
      </c>
      <c r="I31" s="27" t="b">
        <v>0</v>
      </c>
      <c r="J31" s="27">
        <v>8</v>
      </c>
      <c r="K31" s="26">
        <v>0</v>
      </c>
      <c r="L31" s="26">
        <v>0</v>
      </c>
      <c r="M31" s="26">
        <v>0</v>
      </c>
      <c r="N31" s="26">
        <v>0</v>
      </c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26">
        <v>22</v>
      </c>
      <c r="C32" s="27" t="s">
        <v>684</v>
      </c>
      <c r="D32" s="27" t="s">
        <v>699</v>
      </c>
      <c r="E32" s="27">
        <v>2</v>
      </c>
      <c r="F32" s="27">
        <v>2</v>
      </c>
      <c r="G32" s="27">
        <v>2</v>
      </c>
      <c r="H32" s="27">
        <v>0</v>
      </c>
      <c r="I32" s="27" t="b">
        <v>0</v>
      </c>
      <c r="J32" s="27">
        <v>9</v>
      </c>
      <c r="K32" s="26">
        <v>0</v>
      </c>
      <c r="L32" s="26">
        <v>0</v>
      </c>
      <c r="M32" s="26">
        <v>0</v>
      </c>
      <c r="N32" s="28">
        <v>0</v>
      </c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28">
        <v>23</v>
      </c>
      <c r="C33" s="27" t="s">
        <v>685</v>
      </c>
      <c r="D33" s="27" t="s">
        <v>700</v>
      </c>
      <c r="E33" s="27">
        <v>2</v>
      </c>
      <c r="F33" s="27">
        <v>2</v>
      </c>
      <c r="G33" s="27">
        <v>2</v>
      </c>
      <c r="H33" s="27">
        <v>0</v>
      </c>
      <c r="I33" s="27" t="b">
        <v>0</v>
      </c>
      <c r="J33" s="27">
        <v>10</v>
      </c>
      <c r="K33" s="26">
        <v>0</v>
      </c>
      <c r="L33" s="26">
        <v>0</v>
      </c>
      <c r="M33" s="26">
        <v>0</v>
      </c>
      <c r="N33" s="26">
        <v>0</v>
      </c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28">
        <v>24</v>
      </c>
      <c r="C34" s="27" t="s">
        <v>686</v>
      </c>
      <c r="D34" s="27" t="s">
        <v>701</v>
      </c>
      <c r="E34" s="27">
        <v>2</v>
      </c>
      <c r="F34" s="27">
        <v>1</v>
      </c>
      <c r="G34" s="27">
        <v>2</v>
      </c>
      <c r="H34" s="27">
        <v>0</v>
      </c>
      <c r="I34" s="27" t="b">
        <v>0</v>
      </c>
      <c r="J34" s="27">
        <v>11</v>
      </c>
      <c r="K34" s="26">
        <v>0</v>
      </c>
      <c r="L34" s="26">
        <v>0</v>
      </c>
      <c r="M34" s="26">
        <v>0</v>
      </c>
      <c r="N34" s="28">
        <v>0</v>
      </c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26">
        <v>25</v>
      </c>
      <c r="C35" s="27" t="s">
        <v>687</v>
      </c>
      <c r="D35" s="27" t="s">
        <v>702</v>
      </c>
      <c r="E35" s="27">
        <v>2</v>
      </c>
      <c r="F35" s="27">
        <v>2</v>
      </c>
      <c r="G35" s="27">
        <v>2</v>
      </c>
      <c r="H35" s="27">
        <v>0</v>
      </c>
      <c r="I35" s="27" t="b">
        <v>0</v>
      </c>
      <c r="J35" s="27">
        <v>12</v>
      </c>
      <c r="K35" s="26">
        <v>0</v>
      </c>
      <c r="L35" s="26">
        <v>0</v>
      </c>
      <c r="M35" s="26">
        <v>0</v>
      </c>
      <c r="N35" s="26">
        <v>0</v>
      </c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28">
        <v>26</v>
      </c>
      <c r="C36" s="27" t="s">
        <v>688</v>
      </c>
      <c r="D36" s="27" t="s">
        <v>703</v>
      </c>
      <c r="E36" s="27">
        <v>2</v>
      </c>
      <c r="F36" s="27">
        <v>2</v>
      </c>
      <c r="G36" s="27">
        <v>2</v>
      </c>
      <c r="H36" s="27">
        <v>0</v>
      </c>
      <c r="I36" s="27" t="b">
        <v>0</v>
      </c>
      <c r="J36" s="27">
        <v>13</v>
      </c>
      <c r="K36" s="26">
        <v>0</v>
      </c>
      <c r="L36" s="26">
        <v>0</v>
      </c>
      <c r="M36" s="26">
        <v>0</v>
      </c>
      <c r="N36" s="28">
        <v>0</v>
      </c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28">
        <v>27</v>
      </c>
      <c r="C37" s="27" t="s">
        <v>689</v>
      </c>
      <c r="D37" s="27" t="s">
        <v>704</v>
      </c>
      <c r="E37" s="27">
        <v>2</v>
      </c>
      <c r="F37" s="27">
        <v>2</v>
      </c>
      <c r="G37" s="27">
        <v>2</v>
      </c>
      <c r="H37" s="27">
        <v>0</v>
      </c>
      <c r="I37" s="27" t="b">
        <v>0</v>
      </c>
      <c r="J37" s="27">
        <v>14</v>
      </c>
      <c r="K37" s="26">
        <v>0</v>
      </c>
      <c r="L37" s="26">
        <v>0</v>
      </c>
      <c r="M37" s="26">
        <v>0</v>
      </c>
      <c r="N37" s="26">
        <v>0</v>
      </c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26">
        <v>28</v>
      </c>
      <c r="C38" s="27" t="s">
        <v>690</v>
      </c>
      <c r="D38" s="27" t="s">
        <v>705</v>
      </c>
      <c r="E38" s="27">
        <v>2</v>
      </c>
      <c r="F38" s="27">
        <v>2</v>
      </c>
      <c r="G38" s="27">
        <v>2</v>
      </c>
      <c r="H38" s="27">
        <v>0</v>
      </c>
      <c r="I38" s="27" t="b">
        <v>0</v>
      </c>
      <c r="J38" s="27">
        <v>15</v>
      </c>
      <c r="K38" s="26">
        <v>0</v>
      </c>
      <c r="L38" s="26">
        <v>0</v>
      </c>
      <c r="M38" s="26">
        <v>0</v>
      </c>
      <c r="N38" s="28">
        <v>0</v>
      </c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28">
        <v>29</v>
      </c>
      <c r="C39" s="27" t="s">
        <v>691</v>
      </c>
      <c r="D39" s="27" t="s">
        <v>706</v>
      </c>
      <c r="E39" s="27">
        <v>2</v>
      </c>
      <c r="F39" s="27">
        <v>2</v>
      </c>
      <c r="G39" s="27">
        <v>2</v>
      </c>
      <c r="H39" s="27">
        <v>0</v>
      </c>
      <c r="I39" s="27" t="b">
        <v>0</v>
      </c>
      <c r="J39" s="27">
        <v>16</v>
      </c>
      <c r="K39" s="26">
        <v>0</v>
      </c>
      <c r="L39" s="26">
        <v>0</v>
      </c>
      <c r="M39" s="26">
        <v>0</v>
      </c>
      <c r="N39" s="26">
        <v>0</v>
      </c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28">
        <v>30</v>
      </c>
      <c r="C40" s="27" t="s">
        <v>692</v>
      </c>
      <c r="D40" s="27" t="s">
        <v>707</v>
      </c>
      <c r="E40" s="27">
        <v>2</v>
      </c>
      <c r="F40" s="27">
        <v>2</v>
      </c>
      <c r="G40" s="27">
        <v>2</v>
      </c>
      <c r="H40" s="27">
        <v>0</v>
      </c>
      <c r="I40" s="27" t="b">
        <v>0</v>
      </c>
      <c r="J40" s="27">
        <v>17</v>
      </c>
      <c r="K40" s="26">
        <v>0</v>
      </c>
      <c r="L40" s="26">
        <v>0</v>
      </c>
      <c r="M40" s="26">
        <v>0</v>
      </c>
      <c r="N40" s="28">
        <v>0</v>
      </c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26">
        <v>31</v>
      </c>
      <c r="C41" s="28" t="s">
        <v>709</v>
      </c>
      <c r="D41" s="28" t="s">
        <v>716</v>
      </c>
      <c r="E41" s="28">
        <v>3</v>
      </c>
      <c r="F41" s="28">
        <v>2</v>
      </c>
      <c r="G41" s="27">
        <v>2</v>
      </c>
      <c r="H41" s="27">
        <v>0</v>
      </c>
      <c r="I41" s="28" t="b">
        <v>0</v>
      </c>
      <c r="J41" s="28">
        <v>0</v>
      </c>
      <c r="K41" s="28">
        <v>0</v>
      </c>
      <c r="L41" s="28">
        <v>0</v>
      </c>
      <c r="M41" s="28">
        <v>0</v>
      </c>
      <c r="N41" s="26">
        <v>0</v>
      </c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28">
        <v>32</v>
      </c>
      <c r="C42" s="28" t="s">
        <v>708</v>
      </c>
      <c r="D42" s="28" t="s">
        <v>717</v>
      </c>
      <c r="E42" s="28">
        <v>3</v>
      </c>
      <c r="F42" s="28">
        <v>2</v>
      </c>
      <c r="G42" s="27">
        <v>2</v>
      </c>
      <c r="H42" s="27">
        <v>0</v>
      </c>
      <c r="I42" s="28" t="b">
        <v>0</v>
      </c>
      <c r="J42" s="28">
        <v>0</v>
      </c>
      <c r="K42" s="28">
        <v>0</v>
      </c>
      <c r="L42" s="28">
        <v>0</v>
      </c>
      <c r="M42" s="28">
        <v>0</v>
      </c>
      <c r="N42" s="28">
        <v>0</v>
      </c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33</v>
      </c>
      <c r="C43" s="7" t="s">
        <v>710</v>
      </c>
      <c r="D43" s="7" t="s">
        <v>718</v>
      </c>
      <c r="E43" s="7">
        <v>3</v>
      </c>
      <c r="F43" s="7">
        <v>2</v>
      </c>
      <c r="G43" s="27">
        <v>2</v>
      </c>
      <c r="H43" s="27">
        <v>0</v>
      </c>
      <c r="I43" s="7" t="b">
        <v>0</v>
      </c>
      <c r="J43" s="7">
        <v>0</v>
      </c>
      <c r="K43" s="7">
        <v>0</v>
      </c>
      <c r="L43" s="7">
        <v>0</v>
      </c>
      <c r="M43" s="7">
        <v>0</v>
      </c>
      <c r="N43" s="26">
        <v>0</v>
      </c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>
        <v>34</v>
      </c>
      <c r="C44" s="7" t="s">
        <v>711</v>
      </c>
      <c r="D44" s="7" t="s">
        <v>719</v>
      </c>
      <c r="E44" s="7">
        <v>3</v>
      </c>
      <c r="F44" s="7">
        <v>2</v>
      </c>
      <c r="G44" s="27">
        <v>2</v>
      </c>
      <c r="H44" s="27">
        <v>0</v>
      </c>
      <c r="I44" s="7" t="b">
        <v>0</v>
      </c>
      <c r="J44" s="7">
        <v>0</v>
      </c>
      <c r="K44" s="7">
        <v>0</v>
      </c>
      <c r="L44" s="7">
        <v>0</v>
      </c>
      <c r="M44" s="7">
        <v>0</v>
      </c>
      <c r="N44" s="28">
        <v>0</v>
      </c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35</v>
      </c>
      <c r="C45" s="7" t="s">
        <v>712</v>
      </c>
      <c r="D45" s="7" t="s">
        <v>720</v>
      </c>
      <c r="E45" s="7">
        <v>3</v>
      </c>
      <c r="F45" s="7">
        <v>2</v>
      </c>
      <c r="G45" s="27">
        <v>2</v>
      </c>
      <c r="H45" s="27">
        <v>0</v>
      </c>
      <c r="I45" s="7" t="b">
        <v>0</v>
      </c>
      <c r="J45" s="7">
        <v>0</v>
      </c>
      <c r="K45" s="7">
        <v>0</v>
      </c>
      <c r="L45" s="7">
        <v>0</v>
      </c>
      <c r="M45" s="7">
        <v>0</v>
      </c>
      <c r="N45" s="26">
        <v>0</v>
      </c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36</v>
      </c>
      <c r="C46" s="7" t="s">
        <v>713</v>
      </c>
      <c r="D46" s="7" t="s">
        <v>721</v>
      </c>
      <c r="E46" s="7">
        <v>4</v>
      </c>
      <c r="F46" s="7">
        <v>2</v>
      </c>
      <c r="G46" s="27">
        <v>2</v>
      </c>
      <c r="H46" s="27">
        <v>0</v>
      </c>
      <c r="I46" s="7" t="b">
        <v>0</v>
      </c>
      <c r="J46" s="7">
        <v>0</v>
      </c>
      <c r="K46" s="7">
        <v>0</v>
      </c>
      <c r="L46" s="7">
        <v>0</v>
      </c>
      <c r="M46" s="7">
        <v>0</v>
      </c>
      <c r="N46" s="28">
        <v>0</v>
      </c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5">
        <v>37</v>
      </c>
      <c r="C47" s="7" t="s">
        <v>714</v>
      </c>
      <c r="D47" s="7" t="s">
        <v>722</v>
      </c>
      <c r="E47" s="7">
        <v>5</v>
      </c>
      <c r="F47" s="7">
        <v>2</v>
      </c>
      <c r="G47" s="27">
        <v>2</v>
      </c>
      <c r="H47" s="27">
        <v>0</v>
      </c>
      <c r="I47" s="7" t="b">
        <v>0</v>
      </c>
      <c r="J47" s="7">
        <v>0</v>
      </c>
      <c r="K47" s="7">
        <v>0</v>
      </c>
      <c r="L47" s="7">
        <v>0</v>
      </c>
      <c r="M47" s="7">
        <v>0</v>
      </c>
      <c r="N47" s="26">
        <v>0</v>
      </c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38</v>
      </c>
      <c r="C48" s="7" t="s">
        <v>715</v>
      </c>
      <c r="D48" s="7" t="s">
        <v>723</v>
      </c>
      <c r="E48" s="7">
        <v>6</v>
      </c>
      <c r="F48" s="7">
        <v>2</v>
      </c>
      <c r="G48" s="27">
        <v>2</v>
      </c>
      <c r="H48" s="27">
        <v>0</v>
      </c>
      <c r="I48" s="7" t="b">
        <v>0</v>
      </c>
      <c r="J48" s="7">
        <v>0</v>
      </c>
      <c r="K48" s="7">
        <v>0</v>
      </c>
      <c r="L48" s="7">
        <v>0</v>
      </c>
      <c r="M48" s="7">
        <v>0</v>
      </c>
      <c r="N48" s="28">
        <v>0</v>
      </c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>
        <v>39</v>
      </c>
      <c r="C49" s="7" t="s">
        <v>724</v>
      </c>
      <c r="D49" s="7" t="s">
        <v>725</v>
      </c>
      <c r="E49" s="7">
        <v>7</v>
      </c>
      <c r="F49" s="7">
        <v>1</v>
      </c>
      <c r="G49" s="27">
        <v>2</v>
      </c>
      <c r="H49" s="27">
        <v>0</v>
      </c>
      <c r="I49" s="7" t="b">
        <v>0</v>
      </c>
      <c r="J49" s="7">
        <v>0</v>
      </c>
      <c r="K49" s="7">
        <v>0</v>
      </c>
      <c r="L49" s="7">
        <v>0</v>
      </c>
      <c r="M49" s="7">
        <v>0</v>
      </c>
      <c r="N49" s="26">
        <v>0</v>
      </c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>
        <v>40</v>
      </c>
      <c r="C50" s="7" t="s">
        <v>727</v>
      </c>
      <c r="D50" s="7" t="s">
        <v>726</v>
      </c>
      <c r="E50" s="7">
        <v>8</v>
      </c>
      <c r="F50" s="7">
        <v>1</v>
      </c>
      <c r="G50" s="27">
        <v>2</v>
      </c>
      <c r="H50" s="27">
        <v>0</v>
      </c>
      <c r="I50" s="7" t="b">
        <v>0</v>
      </c>
      <c r="J50" s="7">
        <v>0</v>
      </c>
      <c r="K50" s="7">
        <v>31</v>
      </c>
      <c r="L50" s="7">
        <v>0</v>
      </c>
      <c r="M50" s="7">
        <v>0</v>
      </c>
      <c r="N50" s="28">
        <v>0</v>
      </c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>
        <v>41</v>
      </c>
      <c r="C51" s="7" t="s">
        <v>728</v>
      </c>
      <c r="D51" s="7" t="s">
        <v>765</v>
      </c>
      <c r="E51" s="7">
        <v>8</v>
      </c>
      <c r="F51" s="7">
        <v>1</v>
      </c>
      <c r="G51" s="27">
        <v>2</v>
      </c>
      <c r="H51" s="27">
        <v>0</v>
      </c>
      <c r="I51" s="7" t="b">
        <v>0</v>
      </c>
      <c r="J51" s="7">
        <v>0</v>
      </c>
      <c r="K51" s="7">
        <v>32</v>
      </c>
      <c r="L51" s="7">
        <v>0</v>
      </c>
      <c r="M51" s="7">
        <v>0</v>
      </c>
      <c r="N51" s="26">
        <v>0</v>
      </c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7">
        <v>42</v>
      </c>
      <c r="C52" s="7" t="s">
        <v>729</v>
      </c>
      <c r="D52" s="7" t="s">
        <v>766</v>
      </c>
      <c r="E52" s="7">
        <v>8</v>
      </c>
      <c r="F52" s="7">
        <v>1</v>
      </c>
      <c r="G52" s="27">
        <v>2</v>
      </c>
      <c r="H52" s="27">
        <v>0</v>
      </c>
      <c r="I52" s="7" t="b">
        <v>0</v>
      </c>
      <c r="J52" s="7">
        <v>0</v>
      </c>
      <c r="K52" s="7">
        <v>33</v>
      </c>
      <c r="L52" s="7">
        <v>0</v>
      </c>
      <c r="M52" s="7">
        <v>0</v>
      </c>
      <c r="N52" s="28">
        <v>0</v>
      </c>
      <c r="O52" s="13"/>
    </row>
    <row r="53" spans="1:42" ht="18.75" customHeight="1">
      <c r="B53" s="5">
        <v>43</v>
      </c>
      <c r="C53" s="7" t="s">
        <v>730</v>
      </c>
      <c r="D53" s="7" t="s">
        <v>767</v>
      </c>
      <c r="E53" s="7">
        <v>8</v>
      </c>
      <c r="F53" s="7">
        <v>1</v>
      </c>
      <c r="G53" s="27">
        <v>2</v>
      </c>
      <c r="H53" s="27">
        <v>0</v>
      </c>
      <c r="I53" s="7" t="b">
        <v>0</v>
      </c>
      <c r="J53" s="7">
        <v>0</v>
      </c>
      <c r="K53" s="7">
        <v>34</v>
      </c>
      <c r="L53" s="7">
        <v>0</v>
      </c>
      <c r="M53" s="7">
        <v>0</v>
      </c>
      <c r="N53" s="26">
        <v>0</v>
      </c>
      <c r="O53" s="13"/>
    </row>
    <row r="54" spans="1:42" ht="18.75" customHeight="1">
      <c r="B54" s="7">
        <v>44</v>
      </c>
      <c r="C54" s="7" t="s">
        <v>731</v>
      </c>
      <c r="D54" s="7" t="s">
        <v>768</v>
      </c>
      <c r="E54" s="7">
        <v>8</v>
      </c>
      <c r="F54" s="7">
        <v>1</v>
      </c>
      <c r="G54" s="27">
        <v>2</v>
      </c>
      <c r="H54" s="27">
        <v>0</v>
      </c>
      <c r="I54" s="7" t="b">
        <v>0</v>
      </c>
      <c r="J54" s="7">
        <v>0</v>
      </c>
      <c r="K54" s="7">
        <v>35</v>
      </c>
      <c r="L54" s="7">
        <v>0</v>
      </c>
      <c r="M54" s="7">
        <v>0</v>
      </c>
      <c r="N54" s="28">
        <v>0</v>
      </c>
      <c r="O54" s="13"/>
    </row>
    <row r="55" spans="1:42" ht="18.75" customHeight="1">
      <c r="B55" s="7">
        <v>45</v>
      </c>
      <c r="C55" s="7" t="s">
        <v>732</v>
      </c>
      <c r="D55" s="7" t="s">
        <v>769</v>
      </c>
      <c r="E55" s="7">
        <v>8</v>
      </c>
      <c r="F55" s="7">
        <v>1</v>
      </c>
      <c r="G55" s="27">
        <v>2</v>
      </c>
      <c r="H55" s="27">
        <v>0</v>
      </c>
      <c r="I55" s="7" t="b">
        <v>0</v>
      </c>
      <c r="J55" s="7">
        <v>0</v>
      </c>
      <c r="K55" s="7">
        <v>36</v>
      </c>
      <c r="L55" s="7">
        <v>0</v>
      </c>
      <c r="M55" s="7">
        <v>0</v>
      </c>
      <c r="N55" s="26">
        <v>0</v>
      </c>
      <c r="O55" s="13"/>
    </row>
    <row r="56" spans="1:42" ht="18.75" customHeight="1">
      <c r="B56" s="5">
        <v>46</v>
      </c>
      <c r="C56" s="7" t="s">
        <v>733</v>
      </c>
      <c r="D56" s="7" t="s">
        <v>770</v>
      </c>
      <c r="E56" s="7">
        <v>8</v>
      </c>
      <c r="F56" s="7">
        <v>1</v>
      </c>
      <c r="G56" s="27">
        <v>2</v>
      </c>
      <c r="H56" s="27">
        <v>0</v>
      </c>
      <c r="I56" s="7" t="b">
        <v>0</v>
      </c>
      <c r="J56" s="7">
        <v>0</v>
      </c>
      <c r="K56" s="7">
        <v>37</v>
      </c>
      <c r="L56" s="7">
        <v>0</v>
      </c>
      <c r="M56" s="7">
        <v>0</v>
      </c>
      <c r="N56" s="28">
        <v>0</v>
      </c>
      <c r="O56" s="13"/>
    </row>
    <row r="57" spans="1:42" ht="18.75" customHeight="1">
      <c r="B57" s="7">
        <v>47</v>
      </c>
      <c r="C57" s="7" t="s">
        <v>734</v>
      </c>
      <c r="D57" s="7" t="s">
        <v>771</v>
      </c>
      <c r="E57" s="7">
        <v>8</v>
      </c>
      <c r="F57" s="7">
        <v>1</v>
      </c>
      <c r="G57" s="27">
        <v>2</v>
      </c>
      <c r="H57" s="27">
        <v>0</v>
      </c>
      <c r="I57" s="7" t="b">
        <v>0</v>
      </c>
      <c r="J57" s="7">
        <v>0</v>
      </c>
      <c r="K57" s="7">
        <v>38</v>
      </c>
      <c r="L57" s="7">
        <v>0</v>
      </c>
      <c r="M57" s="7">
        <v>0</v>
      </c>
      <c r="N57" s="26">
        <v>0</v>
      </c>
      <c r="O57" s="13"/>
    </row>
    <row r="58" spans="1:42" ht="18.75" customHeight="1">
      <c r="B58" s="7">
        <v>48</v>
      </c>
      <c r="C58" s="7" t="s">
        <v>786</v>
      </c>
      <c r="D58" s="7" t="s">
        <v>735</v>
      </c>
      <c r="E58" s="7">
        <v>9</v>
      </c>
      <c r="F58" s="7">
        <v>1</v>
      </c>
      <c r="G58" s="27">
        <v>2</v>
      </c>
      <c r="H58" s="27">
        <v>0</v>
      </c>
      <c r="I58" s="7" t="b">
        <v>0</v>
      </c>
      <c r="J58" s="7">
        <v>0</v>
      </c>
      <c r="K58" s="7">
        <v>0</v>
      </c>
      <c r="L58" s="7">
        <v>1</v>
      </c>
      <c r="M58" s="7">
        <v>0</v>
      </c>
      <c r="N58" s="28">
        <v>0</v>
      </c>
      <c r="O58" s="13"/>
    </row>
    <row r="59" spans="1:42" ht="18.75" customHeight="1">
      <c r="B59" s="5">
        <v>49</v>
      </c>
      <c r="C59" s="7" t="s">
        <v>787</v>
      </c>
      <c r="D59" s="7" t="s">
        <v>736</v>
      </c>
      <c r="E59" s="7">
        <v>9</v>
      </c>
      <c r="F59" s="7">
        <v>1</v>
      </c>
      <c r="G59" s="27">
        <v>2</v>
      </c>
      <c r="H59" s="27">
        <v>0</v>
      </c>
      <c r="I59" s="7" t="b">
        <v>0</v>
      </c>
      <c r="J59" s="7">
        <v>0</v>
      </c>
      <c r="K59" s="7">
        <v>0</v>
      </c>
      <c r="L59" s="7">
        <v>2</v>
      </c>
      <c r="M59" s="7">
        <v>0</v>
      </c>
      <c r="N59" s="26">
        <v>0</v>
      </c>
      <c r="O59" s="13"/>
    </row>
    <row r="60" spans="1:42" ht="18.75" customHeight="1">
      <c r="B60" s="7">
        <v>50</v>
      </c>
      <c r="C60" s="7" t="s">
        <v>737</v>
      </c>
      <c r="D60" s="7" t="s">
        <v>745</v>
      </c>
      <c r="E60" s="7">
        <v>11</v>
      </c>
      <c r="F60" s="7">
        <v>1</v>
      </c>
      <c r="G60" s="27">
        <v>2</v>
      </c>
      <c r="H60" s="27">
        <v>0</v>
      </c>
      <c r="I60" s="7" t="b">
        <v>0</v>
      </c>
      <c r="J60" s="7">
        <v>0</v>
      </c>
      <c r="K60" s="7">
        <v>31</v>
      </c>
      <c r="L60" s="7">
        <v>0</v>
      </c>
      <c r="M60" s="7">
        <v>0</v>
      </c>
      <c r="N60" s="28">
        <v>0</v>
      </c>
      <c r="O60" s="13"/>
    </row>
    <row r="61" spans="1:42" ht="18.75" customHeight="1">
      <c r="B61" s="7">
        <v>51</v>
      </c>
      <c r="C61" s="7" t="s">
        <v>738</v>
      </c>
      <c r="D61" s="7" t="s">
        <v>746</v>
      </c>
      <c r="E61" s="7">
        <v>11</v>
      </c>
      <c r="F61" s="7">
        <v>1</v>
      </c>
      <c r="G61" s="27">
        <v>2</v>
      </c>
      <c r="H61" s="27">
        <v>0</v>
      </c>
      <c r="I61" s="7" t="b">
        <v>0</v>
      </c>
      <c r="J61" s="7">
        <v>0</v>
      </c>
      <c r="K61" s="7">
        <v>32</v>
      </c>
      <c r="L61" s="7">
        <v>0</v>
      </c>
      <c r="M61" s="7">
        <v>0</v>
      </c>
      <c r="N61" s="26">
        <v>0</v>
      </c>
      <c r="O61" s="13"/>
    </row>
    <row r="62" spans="1:42" ht="18.75" customHeight="1">
      <c r="B62" s="5">
        <v>52</v>
      </c>
      <c r="C62" s="7" t="s">
        <v>739</v>
      </c>
      <c r="D62" s="7" t="s">
        <v>747</v>
      </c>
      <c r="E62" s="7">
        <v>11</v>
      </c>
      <c r="F62" s="7">
        <v>1</v>
      </c>
      <c r="G62" s="27">
        <v>2</v>
      </c>
      <c r="H62" s="27">
        <v>0</v>
      </c>
      <c r="I62" s="7" t="b">
        <v>0</v>
      </c>
      <c r="J62" s="7">
        <v>0</v>
      </c>
      <c r="K62" s="7">
        <v>33</v>
      </c>
      <c r="L62" s="7">
        <v>0</v>
      </c>
      <c r="M62" s="7">
        <v>0</v>
      </c>
      <c r="N62" s="28">
        <v>0</v>
      </c>
      <c r="O62" s="13"/>
    </row>
    <row r="63" spans="1:42" ht="18.75" customHeight="1">
      <c r="B63" s="7">
        <v>53</v>
      </c>
      <c r="C63" s="7" t="s">
        <v>740</v>
      </c>
      <c r="D63" s="7" t="s">
        <v>748</v>
      </c>
      <c r="E63" s="7">
        <v>11</v>
      </c>
      <c r="F63" s="7">
        <v>1</v>
      </c>
      <c r="G63" s="27">
        <v>2</v>
      </c>
      <c r="H63" s="27">
        <v>0</v>
      </c>
      <c r="I63" s="7" t="b">
        <v>0</v>
      </c>
      <c r="J63" s="7">
        <v>0</v>
      </c>
      <c r="K63" s="7">
        <v>34</v>
      </c>
      <c r="L63" s="7">
        <v>0</v>
      </c>
      <c r="M63" s="7">
        <v>0</v>
      </c>
      <c r="N63" s="26">
        <v>0</v>
      </c>
      <c r="O63" s="13"/>
    </row>
    <row r="64" spans="1:42" ht="18.75" customHeight="1">
      <c r="B64" s="7">
        <v>54</v>
      </c>
      <c r="C64" s="7" t="s">
        <v>741</v>
      </c>
      <c r="D64" s="7" t="s">
        <v>749</v>
      </c>
      <c r="E64" s="7">
        <v>11</v>
      </c>
      <c r="F64" s="7">
        <v>1</v>
      </c>
      <c r="G64" s="27">
        <v>2</v>
      </c>
      <c r="H64" s="27">
        <v>0</v>
      </c>
      <c r="I64" s="7" t="b">
        <v>0</v>
      </c>
      <c r="J64" s="7">
        <v>0</v>
      </c>
      <c r="K64" s="7">
        <v>35</v>
      </c>
      <c r="L64" s="7">
        <v>0</v>
      </c>
      <c r="M64" s="7">
        <v>0</v>
      </c>
      <c r="N64" s="28">
        <v>0</v>
      </c>
      <c r="O64" s="13"/>
    </row>
    <row r="65" spans="2:15" ht="18.75" customHeight="1">
      <c r="B65" s="5">
        <v>55</v>
      </c>
      <c r="C65" s="7" t="s">
        <v>742</v>
      </c>
      <c r="D65" s="7" t="s">
        <v>750</v>
      </c>
      <c r="E65" s="7">
        <v>11</v>
      </c>
      <c r="F65" s="7">
        <v>1</v>
      </c>
      <c r="G65" s="27">
        <v>2</v>
      </c>
      <c r="H65" s="27">
        <v>0</v>
      </c>
      <c r="I65" s="7" t="b">
        <v>0</v>
      </c>
      <c r="J65" s="7">
        <v>0</v>
      </c>
      <c r="K65" s="7">
        <v>36</v>
      </c>
      <c r="L65" s="7">
        <v>0</v>
      </c>
      <c r="M65" s="7">
        <v>0</v>
      </c>
      <c r="N65" s="26">
        <v>0</v>
      </c>
      <c r="O65" s="13"/>
    </row>
    <row r="66" spans="2:15" ht="18.75" customHeight="1">
      <c r="B66" s="7">
        <v>56</v>
      </c>
      <c r="C66" s="7" t="s">
        <v>743</v>
      </c>
      <c r="D66" s="7" t="s">
        <v>751</v>
      </c>
      <c r="E66" s="7">
        <v>11</v>
      </c>
      <c r="F66" s="7">
        <v>1</v>
      </c>
      <c r="G66" s="27">
        <v>2</v>
      </c>
      <c r="H66" s="27">
        <v>0</v>
      </c>
      <c r="I66" s="7" t="b">
        <v>0</v>
      </c>
      <c r="J66" s="7">
        <v>0</v>
      </c>
      <c r="K66" s="7">
        <v>37</v>
      </c>
      <c r="L66" s="7">
        <v>0</v>
      </c>
      <c r="M66" s="7">
        <v>0</v>
      </c>
      <c r="N66" s="28">
        <v>0</v>
      </c>
      <c r="O66" s="13"/>
    </row>
    <row r="67" spans="2:15" ht="18.75" customHeight="1">
      <c r="B67" s="7">
        <v>57</v>
      </c>
      <c r="C67" s="7" t="s">
        <v>744</v>
      </c>
      <c r="D67" s="7" t="s">
        <v>752</v>
      </c>
      <c r="E67" s="7">
        <v>11</v>
      </c>
      <c r="F67" s="7">
        <v>1</v>
      </c>
      <c r="G67" s="27">
        <v>2</v>
      </c>
      <c r="H67" s="27">
        <v>0</v>
      </c>
      <c r="I67" s="7" t="b">
        <v>0</v>
      </c>
      <c r="J67" s="7">
        <v>0</v>
      </c>
      <c r="K67" s="7">
        <v>38</v>
      </c>
      <c r="L67" s="7">
        <v>0</v>
      </c>
      <c r="M67" s="7">
        <v>0</v>
      </c>
      <c r="N67" s="26">
        <v>0</v>
      </c>
      <c r="O67" s="13"/>
    </row>
    <row r="68" spans="2:15" ht="18.75" customHeight="1">
      <c r="B68" s="5">
        <v>58</v>
      </c>
      <c r="C68" s="7" t="s">
        <v>753</v>
      </c>
      <c r="D68" s="7" t="s">
        <v>754</v>
      </c>
      <c r="E68" s="7">
        <v>10</v>
      </c>
      <c r="F68" s="7">
        <v>1</v>
      </c>
      <c r="G68" s="27">
        <v>2</v>
      </c>
      <c r="H68" s="27">
        <v>0</v>
      </c>
      <c r="I68" s="7" t="b">
        <v>0</v>
      </c>
      <c r="J68" s="7">
        <v>0</v>
      </c>
      <c r="K68" s="7">
        <v>0</v>
      </c>
      <c r="L68" s="7">
        <v>0</v>
      </c>
      <c r="M68" s="7">
        <v>1</v>
      </c>
      <c r="N68" s="28">
        <v>0</v>
      </c>
      <c r="O68" s="13"/>
    </row>
    <row r="69" spans="2:15" ht="18.75" customHeight="1">
      <c r="B69" s="7">
        <v>59</v>
      </c>
      <c r="C69" s="7" t="s">
        <v>755</v>
      </c>
      <c r="D69" s="7" t="s">
        <v>759</v>
      </c>
      <c r="E69" s="7">
        <v>10</v>
      </c>
      <c r="F69" s="7">
        <v>1</v>
      </c>
      <c r="G69" s="27">
        <v>2</v>
      </c>
      <c r="H69" s="27">
        <v>0</v>
      </c>
      <c r="I69" s="7" t="b">
        <v>0</v>
      </c>
      <c r="J69" s="7">
        <v>0</v>
      </c>
      <c r="K69" s="7">
        <v>0</v>
      </c>
      <c r="L69" s="7">
        <v>0</v>
      </c>
      <c r="M69" s="7">
        <v>2</v>
      </c>
      <c r="N69" s="26">
        <v>0</v>
      </c>
      <c r="O69" s="13"/>
    </row>
    <row r="70" spans="2:15" ht="18.75" customHeight="1">
      <c r="B70" s="7">
        <v>60</v>
      </c>
      <c r="C70" s="7" t="s">
        <v>756</v>
      </c>
      <c r="D70" s="7" t="s">
        <v>760</v>
      </c>
      <c r="E70" s="7">
        <v>10</v>
      </c>
      <c r="F70" s="7">
        <v>1</v>
      </c>
      <c r="G70" s="27">
        <v>2</v>
      </c>
      <c r="H70" s="27">
        <v>0</v>
      </c>
      <c r="I70" s="7" t="b">
        <v>0</v>
      </c>
      <c r="J70" s="7">
        <v>0</v>
      </c>
      <c r="K70" s="7">
        <v>0</v>
      </c>
      <c r="L70" s="7">
        <v>0</v>
      </c>
      <c r="M70" s="7">
        <v>3</v>
      </c>
      <c r="N70" s="28">
        <v>0</v>
      </c>
      <c r="O70" s="13"/>
    </row>
    <row r="71" spans="2:15" ht="18.75" customHeight="1">
      <c r="B71" s="5">
        <v>61</v>
      </c>
      <c r="C71" s="7" t="s">
        <v>757</v>
      </c>
      <c r="D71" s="7" t="s">
        <v>761</v>
      </c>
      <c r="E71" s="7">
        <v>10</v>
      </c>
      <c r="F71" s="7">
        <v>1</v>
      </c>
      <c r="G71" s="27">
        <v>2</v>
      </c>
      <c r="H71" s="27">
        <v>0</v>
      </c>
      <c r="I71" s="7" t="b">
        <v>0</v>
      </c>
      <c r="J71" s="7">
        <v>0</v>
      </c>
      <c r="K71" s="7">
        <v>0</v>
      </c>
      <c r="L71" s="7">
        <v>0</v>
      </c>
      <c r="M71" s="7">
        <v>4</v>
      </c>
      <c r="N71" s="26">
        <v>0</v>
      </c>
      <c r="O71" s="13"/>
    </row>
    <row r="72" spans="2:15" ht="18.75" customHeight="1">
      <c r="B72" s="7">
        <v>62</v>
      </c>
      <c r="C72" s="7" t="s">
        <v>758</v>
      </c>
      <c r="D72" s="7" t="s">
        <v>762</v>
      </c>
      <c r="E72" s="7">
        <v>10</v>
      </c>
      <c r="F72" s="7">
        <v>1</v>
      </c>
      <c r="G72" s="27">
        <v>2</v>
      </c>
      <c r="H72" s="27">
        <v>0</v>
      </c>
      <c r="I72" s="7" t="b">
        <v>0</v>
      </c>
      <c r="J72" s="7">
        <v>0</v>
      </c>
      <c r="K72" s="7">
        <v>0</v>
      </c>
      <c r="L72" s="7">
        <v>0</v>
      </c>
      <c r="M72" s="7">
        <v>5</v>
      </c>
      <c r="N72" s="28">
        <v>0</v>
      </c>
      <c r="O72" s="13"/>
    </row>
    <row r="73" spans="2:15" ht="18.75" customHeight="1">
      <c r="B73" s="7">
        <v>63</v>
      </c>
      <c r="C73" s="7" t="s">
        <v>788</v>
      </c>
      <c r="D73" s="7" t="s">
        <v>792</v>
      </c>
      <c r="E73" s="7">
        <v>14</v>
      </c>
      <c r="F73" s="7">
        <v>2</v>
      </c>
      <c r="G73" s="27">
        <v>2</v>
      </c>
      <c r="H73" s="7">
        <v>3</v>
      </c>
      <c r="I73" s="7" t="b">
        <v>0</v>
      </c>
      <c r="J73" s="7">
        <v>0</v>
      </c>
      <c r="K73" s="7">
        <v>0</v>
      </c>
      <c r="L73" s="7">
        <v>0</v>
      </c>
      <c r="M73" s="7">
        <v>0</v>
      </c>
      <c r="N73" s="26">
        <v>1</v>
      </c>
      <c r="O73" s="13"/>
    </row>
    <row r="74" spans="2:15" ht="18.75" customHeight="1">
      <c r="B74" s="5">
        <v>64</v>
      </c>
      <c r="C74" s="7" t="s">
        <v>789</v>
      </c>
      <c r="D74" s="7" t="s">
        <v>792</v>
      </c>
      <c r="E74" s="7">
        <v>14</v>
      </c>
      <c r="F74" s="7">
        <v>2</v>
      </c>
      <c r="G74" s="27">
        <v>2</v>
      </c>
      <c r="H74" s="7">
        <v>3</v>
      </c>
      <c r="I74" s="7" t="b">
        <v>0</v>
      </c>
      <c r="J74" s="7">
        <v>0</v>
      </c>
      <c r="K74" s="7">
        <v>0</v>
      </c>
      <c r="L74" s="7">
        <v>0</v>
      </c>
      <c r="M74" s="7">
        <v>0</v>
      </c>
      <c r="N74" s="28">
        <v>1</v>
      </c>
      <c r="O74" s="13"/>
    </row>
    <row r="75" spans="2:15" ht="18.75" customHeight="1">
      <c r="B75" s="7">
        <v>65</v>
      </c>
      <c r="C75" s="7" t="s">
        <v>790</v>
      </c>
      <c r="D75" s="7" t="s">
        <v>792</v>
      </c>
      <c r="E75" s="7">
        <v>14</v>
      </c>
      <c r="F75" s="7">
        <v>2</v>
      </c>
      <c r="G75" s="27">
        <v>2</v>
      </c>
      <c r="H75" s="7">
        <v>3</v>
      </c>
      <c r="I75" s="7" t="b">
        <v>0</v>
      </c>
      <c r="J75" s="7">
        <v>0</v>
      </c>
      <c r="K75" s="7">
        <v>0</v>
      </c>
      <c r="L75" s="7">
        <v>0</v>
      </c>
      <c r="M75" s="7">
        <v>0</v>
      </c>
      <c r="N75" s="26">
        <v>1</v>
      </c>
      <c r="O75" s="13"/>
    </row>
    <row r="76" spans="2:15" ht="18.75" customHeight="1">
      <c r="B76" s="7">
        <v>66</v>
      </c>
      <c r="C76" s="7" t="s">
        <v>791</v>
      </c>
      <c r="D76" s="7" t="s">
        <v>793</v>
      </c>
      <c r="E76" s="7">
        <v>14</v>
      </c>
      <c r="F76" s="7">
        <v>1</v>
      </c>
      <c r="G76" s="27">
        <v>2</v>
      </c>
      <c r="H76" s="7">
        <v>3</v>
      </c>
      <c r="I76" s="7" t="b">
        <v>0</v>
      </c>
      <c r="J76" s="7">
        <v>0</v>
      </c>
      <c r="K76" s="7">
        <v>0</v>
      </c>
      <c r="L76" s="7">
        <v>0</v>
      </c>
      <c r="M76" s="7">
        <v>0</v>
      </c>
      <c r="N76" s="28">
        <v>2</v>
      </c>
      <c r="O76" s="13"/>
    </row>
    <row r="77" spans="2:15" ht="18.75" customHeight="1">
      <c r="B77" s="5">
        <v>67</v>
      </c>
      <c r="C77" s="7" t="s">
        <v>863</v>
      </c>
      <c r="D77" s="7" t="s">
        <v>862</v>
      </c>
      <c r="E77" s="7">
        <v>8</v>
      </c>
      <c r="F77" s="7">
        <v>1</v>
      </c>
      <c r="G77" s="27">
        <v>2</v>
      </c>
      <c r="H77" s="27">
        <v>0</v>
      </c>
      <c r="I77" s="7" t="b">
        <v>0</v>
      </c>
      <c r="J77" s="7">
        <v>0</v>
      </c>
      <c r="K77" s="7">
        <v>63</v>
      </c>
      <c r="L77" s="7">
        <v>0</v>
      </c>
      <c r="M77" s="7">
        <v>0</v>
      </c>
      <c r="N77" s="28">
        <v>0</v>
      </c>
      <c r="O77" s="13"/>
    </row>
    <row r="78" spans="2:15" ht="18.75" customHeight="1">
      <c r="B78" s="7">
        <v>68</v>
      </c>
      <c r="C78" s="7" t="s">
        <v>864</v>
      </c>
      <c r="D78" s="7" t="s">
        <v>867</v>
      </c>
      <c r="E78" s="7">
        <v>8</v>
      </c>
      <c r="F78" s="7">
        <v>1</v>
      </c>
      <c r="G78" s="27">
        <v>2</v>
      </c>
      <c r="H78" s="27">
        <v>0</v>
      </c>
      <c r="I78" s="7" t="b">
        <v>0</v>
      </c>
      <c r="J78" s="7">
        <v>0</v>
      </c>
      <c r="K78" s="7">
        <v>64</v>
      </c>
      <c r="L78" s="7">
        <v>0</v>
      </c>
      <c r="M78" s="7">
        <v>0</v>
      </c>
      <c r="N78" s="28">
        <v>0</v>
      </c>
      <c r="O78" s="13"/>
    </row>
    <row r="79" spans="2:15" ht="18.75" customHeight="1">
      <c r="B79" s="7">
        <v>69</v>
      </c>
      <c r="C79" s="7" t="s">
        <v>865</v>
      </c>
      <c r="D79" s="7" t="s">
        <v>868</v>
      </c>
      <c r="E79" s="7">
        <v>8</v>
      </c>
      <c r="F79" s="7">
        <v>1</v>
      </c>
      <c r="G79" s="27">
        <v>2</v>
      </c>
      <c r="H79" s="27">
        <v>0</v>
      </c>
      <c r="I79" s="7" t="b">
        <v>0</v>
      </c>
      <c r="J79" s="7">
        <v>0</v>
      </c>
      <c r="K79" s="7">
        <v>65</v>
      </c>
      <c r="L79" s="7">
        <v>0</v>
      </c>
      <c r="M79" s="7">
        <v>0</v>
      </c>
      <c r="N79" s="28">
        <v>0</v>
      </c>
      <c r="O79" s="13"/>
    </row>
    <row r="80" spans="2:15" ht="18.75" customHeight="1">
      <c r="B80" s="5">
        <v>70</v>
      </c>
      <c r="C80" s="7" t="s">
        <v>866</v>
      </c>
      <c r="D80" s="7" t="s">
        <v>869</v>
      </c>
      <c r="E80" s="7">
        <v>8</v>
      </c>
      <c r="F80" s="7">
        <v>1</v>
      </c>
      <c r="G80" s="27">
        <v>2</v>
      </c>
      <c r="H80" s="27">
        <v>0</v>
      </c>
      <c r="I80" s="7" t="b">
        <v>0</v>
      </c>
      <c r="J80" s="7">
        <v>0</v>
      </c>
      <c r="K80" s="7">
        <v>66</v>
      </c>
      <c r="L80" s="7">
        <v>0</v>
      </c>
      <c r="M80" s="7">
        <v>0</v>
      </c>
      <c r="N80" s="28">
        <v>0</v>
      </c>
      <c r="O80" s="13"/>
    </row>
    <row r="81" spans="2:15" ht="18.75" customHeight="1">
      <c r="B81" s="7">
        <v>71</v>
      </c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O81" s="13"/>
    </row>
    <row r="82" spans="2:15" ht="18.75" customHeight="1">
      <c r="B82" s="7">
        <v>72</v>
      </c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O82" s="13"/>
    </row>
    <row r="83" spans="2:15" ht="18.75" customHeight="1">
      <c r="B83" s="5">
        <v>73</v>
      </c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O83" s="13"/>
    </row>
    <row r="84" spans="2:15" ht="18.75" customHeight="1">
      <c r="B84" s="5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O84" s="13"/>
    </row>
    <row r="85" spans="2:15" ht="18.75" customHeight="1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O85" s="13"/>
    </row>
    <row r="86" spans="2:15" ht="18.75" customHeight="1">
      <c r="B86" s="5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O86" s="13"/>
    </row>
    <row r="87" spans="2:15" ht="18.75" customHeight="1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O87" s="13"/>
    </row>
    <row r="88" spans="2:15" ht="18.75" customHeight="1">
      <c r="B88" s="5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O88" s="13"/>
    </row>
    <row r="89" spans="2:15" ht="18.75" customHeight="1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O89" s="13"/>
    </row>
    <row r="90" spans="2:15" ht="18.75" customHeight="1">
      <c r="B90" s="5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O90" s="13"/>
    </row>
    <row r="91" spans="2:15" ht="18.75" customHeight="1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O91" s="13"/>
    </row>
    <row r="92" spans="2:15" ht="18.75" customHeight="1">
      <c r="B92" s="5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O92" s="13"/>
    </row>
    <row r="93" spans="2:15" ht="18.75" customHeight="1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O93" s="13"/>
    </row>
    <row r="94" spans="2:15" ht="18.75" customHeight="1">
      <c r="B94" s="5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O94" s="13"/>
    </row>
    <row r="95" spans="2:15" ht="18.75" customHeight="1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O95" s="13"/>
    </row>
    <row r="96" spans="2:15" ht="18.75" customHeight="1">
      <c r="B96" s="5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O96" s="13"/>
    </row>
    <row r="97" spans="2:15" ht="18.75" customHeight="1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O97" s="13"/>
    </row>
    <row r="98" spans="2:15" ht="18.75" customHeight="1">
      <c r="B98" s="5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O98" s="13"/>
    </row>
    <row r="99" spans="2:15" ht="18.75" customHeight="1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O99" s="13"/>
    </row>
    <row r="100" spans="2:15" ht="18.75" customHeight="1">
      <c r="B100" s="5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O100" s="13"/>
    </row>
    <row r="101" spans="2:15" ht="18.75" customHeight="1"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O101" s="13"/>
    </row>
    <row r="102" spans="2:15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O102" s="13"/>
    </row>
    <row r="103" spans="2:15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O103" s="13"/>
    </row>
    <row r="104" spans="2:15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O104" s="13"/>
    </row>
    <row r="105" spans="2:15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O105" s="13"/>
    </row>
    <row r="106" spans="2:15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O106" s="13"/>
    </row>
    <row r="107" spans="2:15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O107" s="13"/>
    </row>
    <row r="108" spans="2:15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O108" s="13"/>
    </row>
    <row r="109" spans="2:15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O109" s="13"/>
    </row>
    <row r="110" spans="2:15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O110" s="13"/>
    </row>
    <row r="111" spans="2:15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O111" s="13"/>
    </row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dataValidations count="1">
    <dataValidation type="list" allowBlank="1" showErrorMessage="1" sqref="B8:AP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T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3.5" style="36" customWidth="1"/>
    <col min="3" max="3" width="24.375" style="36" customWidth="1"/>
    <col min="4" max="4" width="94.25" style="36" customWidth="1"/>
    <col min="5" max="7" width="18.875" style="36" customWidth="1"/>
    <col min="8" max="8" width="28.625" style="36" customWidth="1"/>
    <col min="9" max="9" width="17.625" style="36" customWidth="1"/>
    <col min="10" max="11" width="18.875" style="36" customWidth="1"/>
    <col min="12" max="12" width="25.625" style="36" customWidth="1"/>
    <col min="13" max="20" width="18.875" style="36" customWidth="1"/>
    <col min="21" max="21" width="17" style="36" customWidth="1"/>
    <col min="22" max="22" width="12.625" style="36" customWidth="1"/>
    <col min="23" max="23" width="25.75" style="36" customWidth="1"/>
    <col min="24" max="46" width="12.625" style="36" customWidth="1"/>
    <col min="47" max="16384" width="12.625" style="36"/>
  </cols>
  <sheetData>
    <row r="1" spans="1:46" ht="12" customHeight="1"/>
    <row r="2" spans="1:46" ht="40.5" customHeight="1">
      <c r="A2" s="55" t="s">
        <v>0</v>
      </c>
      <c r="B2" s="7" t="s">
        <v>192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</row>
    <row r="3" spans="1:46" ht="18.75" customHeight="1">
      <c r="A3" s="1"/>
      <c r="B3" s="30" t="s">
        <v>1</v>
      </c>
      <c r="C3" s="30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</row>
    <row r="4" spans="1:46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880</v>
      </c>
      <c r="G4" s="3" t="s">
        <v>213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</row>
    <row r="5" spans="1:46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>
        <v>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</row>
    <row r="6" spans="1:46" ht="18.75" customHeight="1">
      <c r="A6" s="55" t="s">
        <v>5</v>
      </c>
      <c r="B6" s="3"/>
      <c r="C6" s="3"/>
      <c r="D6" s="3"/>
      <c r="E6" s="3"/>
      <c r="F6" s="3"/>
      <c r="G6" s="3" t="s">
        <v>196</v>
      </c>
      <c r="H6" s="3" t="s">
        <v>199</v>
      </c>
      <c r="I6" s="3" t="s">
        <v>856</v>
      </c>
      <c r="J6" s="3" t="s">
        <v>208</v>
      </c>
      <c r="K6" s="3" t="s">
        <v>617</v>
      </c>
      <c r="L6" s="3" t="s">
        <v>194</v>
      </c>
      <c r="M6" s="3" t="s">
        <v>195</v>
      </c>
      <c r="N6" s="3" t="s">
        <v>197</v>
      </c>
      <c r="O6" s="3" t="s">
        <v>619</v>
      </c>
      <c r="P6" s="3" t="s">
        <v>621</v>
      </c>
      <c r="Q6" s="3" t="s">
        <v>623</v>
      </c>
      <c r="R6" s="3" t="s">
        <v>217</v>
      </c>
      <c r="S6" s="3" t="s">
        <v>628</v>
      </c>
      <c r="T6" s="3" t="s">
        <v>198</v>
      </c>
      <c r="U6" s="3" t="s">
        <v>625</v>
      </c>
      <c r="V6" s="3" t="s">
        <v>196</v>
      </c>
      <c r="W6" s="3" t="s">
        <v>199</v>
      </c>
      <c r="X6" s="3" t="s">
        <v>208</v>
      </c>
      <c r="Y6" s="3" t="s">
        <v>617</v>
      </c>
      <c r="Z6" s="3" t="s">
        <v>194</v>
      </c>
      <c r="AA6" s="3" t="s">
        <v>195</v>
      </c>
      <c r="AB6" s="3" t="s">
        <v>197</v>
      </c>
      <c r="AC6" s="3" t="s">
        <v>619</v>
      </c>
      <c r="AD6" s="3" t="s">
        <v>621</v>
      </c>
      <c r="AE6" s="3" t="s">
        <v>623</v>
      </c>
      <c r="AF6" s="3" t="s">
        <v>217</v>
      </c>
      <c r="AG6" s="3" t="s">
        <v>628</v>
      </c>
      <c r="AH6" s="3" t="s">
        <v>198</v>
      </c>
      <c r="AI6" s="3" t="s">
        <v>625</v>
      </c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</row>
    <row r="7" spans="1:46" ht="18.75" customHeight="1">
      <c r="A7" s="55" t="s">
        <v>1922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6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7</v>
      </c>
      <c r="H8" s="4" t="s">
        <v>20</v>
      </c>
      <c r="I8" s="4" t="s">
        <v>857</v>
      </c>
      <c r="J8" s="4" t="s">
        <v>173</v>
      </c>
      <c r="K8" s="4" t="s">
        <v>173</v>
      </c>
      <c r="L8" s="4" t="s">
        <v>7</v>
      </c>
      <c r="M8" s="4" t="s">
        <v>7</v>
      </c>
      <c r="N8" s="4" t="s">
        <v>7</v>
      </c>
      <c r="O8" s="4" t="s">
        <v>9</v>
      </c>
      <c r="P8" s="4" t="s">
        <v>173</v>
      </c>
      <c r="Q8" s="4" t="s">
        <v>173</v>
      </c>
      <c r="R8" s="4" t="s">
        <v>173</v>
      </c>
      <c r="S8" s="4" t="s">
        <v>173</v>
      </c>
      <c r="T8" s="4" t="s">
        <v>7</v>
      </c>
      <c r="U8" s="4" t="s">
        <v>626</v>
      </c>
      <c r="V8" s="4" t="s">
        <v>7</v>
      </c>
      <c r="W8" s="4" t="s">
        <v>20</v>
      </c>
      <c r="X8" s="4" t="s">
        <v>173</v>
      </c>
      <c r="Y8" s="4" t="s">
        <v>173</v>
      </c>
      <c r="Z8" s="4" t="s">
        <v>7</v>
      </c>
      <c r="AA8" s="4" t="s">
        <v>7</v>
      </c>
      <c r="AB8" s="4" t="s">
        <v>7</v>
      </c>
      <c r="AC8" s="4" t="s">
        <v>9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7</v>
      </c>
      <c r="AI8" s="4" t="s">
        <v>626</v>
      </c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</row>
    <row r="9" spans="1:46" ht="76.5" customHeight="1">
      <c r="A9" s="55" t="s">
        <v>10</v>
      </c>
      <c r="B9" s="5" t="s">
        <v>1426</v>
      </c>
      <c r="C9" s="5" t="s">
        <v>200</v>
      </c>
      <c r="D9" s="6" t="s">
        <v>201</v>
      </c>
      <c r="E9" s="6" t="s">
        <v>209</v>
      </c>
      <c r="F9" s="6" t="s">
        <v>881</v>
      </c>
      <c r="G9" s="5" t="s">
        <v>205</v>
      </c>
      <c r="H9" s="6" t="s">
        <v>202</v>
      </c>
      <c r="I9" s="6" t="s">
        <v>858</v>
      </c>
      <c r="J9" s="6" t="s">
        <v>209</v>
      </c>
      <c r="K9" s="6" t="s">
        <v>618</v>
      </c>
      <c r="L9" s="6" t="s">
        <v>203</v>
      </c>
      <c r="M9" s="5" t="s">
        <v>204</v>
      </c>
      <c r="N9" s="6" t="s">
        <v>206</v>
      </c>
      <c r="O9" s="6" t="s">
        <v>620</v>
      </c>
      <c r="P9" s="6" t="s">
        <v>622</v>
      </c>
      <c r="Q9" s="6" t="s">
        <v>624</v>
      </c>
      <c r="R9" s="6" t="s">
        <v>218</v>
      </c>
      <c r="S9" s="6" t="s">
        <v>629</v>
      </c>
      <c r="T9" s="6" t="s">
        <v>207</v>
      </c>
      <c r="U9" s="6" t="s">
        <v>627</v>
      </c>
      <c r="V9" s="5" t="s">
        <v>205</v>
      </c>
      <c r="W9" s="6" t="s">
        <v>202</v>
      </c>
      <c r="X9" s="6" t="s">
        <v>209</v>
      </c>
      <c r="Y9" s="6" t="s">
        <v>618</v>
      </c>
      <c r="Z9" s="6" t="s">
        <v>203</v>
      </c>
      <c r="AA9" s="5" t="s">
        <v>204</v>
      </c>
      <c r="AB9" s="6" t="s">
        <v>206</v>
      </c>
      <c r="AC9" s="6" t="s">
        <v>620</v>
      </c>
      <c r="AD9" s="6" t="s">
        <v>622</v>
      </c>
      <c r="AE9" s="6" t="s">
        <v>624</v>
      </c>
      <c r="AF9" s="6" t="s">
        <v>218</v>
      </c>
      <c r="AG9" s="6" t="s">
        <v>629</v>
      </c>
      <c r="AH9" s="6" t="s">
        <v>207</v>
      </c>
      <c r="AI9" s="6" t="s">
        <v>627</v>
      </c>
      <c r="AJ9" s="6"/>
      <c r="AK9" s="6"/>
      <c r="AL9" s="5"/>
      <c r="AM9" s="5"/>
      <c r="AN9" s="5"/>
      <c r="AO9" s="5"/>
      <c r="AP9" s="5"/>
      <c r="AQ9" s="5"/>
      <c r="AR9" s="5"/>
      <c r="AS9" s="5"/>
      <c r="AT9" s="5"/>
    </row>
    <row r="10" spans="1:46" ht="327.75" customHeight="1">
      <c r="A10" s="55" t="s">
        <v>12</v>
      </c>
      <c r="B10" s="6" t="s">
        <v>1285</v>
      </c>
      <c r="C10" s="6"/>
      <c r="D10" s="6"/>
      <c r="E10" s="6" t="s">
        <v>795</v>
      </c>
      <c r="F10" s="6" t="s">
        <v>882</v>
      </c>
      <c r="G10" s="6" t="s">
        <v>763</v>
      </c>
      <c r="H10" s="6" t="s">
        <v>838</v>
      </c>
      <c r="I10" s="6"/>
      <c r="J10" s="6" t="s">
        <v>1275</v>
      </c>
      <c r="K10" s="6"/>
      <c r="L10" s="6" t="s">
        <v>883</v>
      </c>
      <c r="M10" s="6" t="s">
        <v>879</v>
      </c>
      <c r="N10" s="6"/>
      <c r="O10" s="6"/>
      <c r="P10" s="6" t="s">
        <v>879</v>
      </c>
      <c r="Q10" s="6"/>
      <c r="R10" s="5"/>
      <c r="S10" s="5"/>
      <c r="T10" s="6" t="s">
        <v>211</v>
      </c>
      <c r="U10" s="5"/>
      <c r="V10" s="6" t="s">
        <v>763</v>
      </c>
      <c r="W10" s="6" t="s">
        <v>838</v>
      </c>
      <c r="X10" s="6" t="s">
        <v>1275</v>
      </c>
      <c r="Y10" s="6"/>
      <c r="Z10" s="6" t="s">
        <v>794</v>
      </c>
      <c r="AA10" s="6" t="s">
        <v>879</v>
      </c>
      <c r="AB10" s="6"/>
      <c r="AC10" s="6"/>
      <c r="AD10" s="6" t="s">
        <v>879</v>
      </c>
      <c r="AE10" s="6"/>
      <c r="AF10" s="5"/>
      <c r="AG10" s="5"/>
      <c r="AH10" s="6" t="s">
        <v>211</v>
      </c>
      <c r="AI10" s="5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</row>
    <row r="11" spans="1:46" ht="20.100000000000001" customHeight="1">
      <c r="A11" s="56" t="s">
        <v>107</v>
      </c>
      <c r="B11" s="5">
        <v>100010001</v>
      </c>
      <c r="C11" s="6" t="s">
        <v>346</v>
      </c>
      <c r="D11" s="6" t="s">
        <v>415</v>
      </c>
      <c r="E11" s="6">
        <v>2</v>
      </c>
      <c r="F11" s="6">
        <v>0</v>
      </c>
      <c r="G11" s="6">
        <v>1</v>
      </c>
      <c r="H11" s="6">
        <v>25</v>
      </c>
      <c r="I11" s="6">
        <v>0</v>
      </c>
      <c r="J11" s="6">
        <v>2</v>
      </c>
      <c r="K11" s="6">
        <v>30</v>
      </c>
      <c r="L11" s="6">
        <v>14</v>
      </c>
      <c r="M11" s="6">
        <v>2</v>
      </c>
      <c r="N11" s="6">
        <v>67</v>
      </c>
      <c r="O11" s="6" t="b">
        <v>0</v>
      </c>
      <c r="P11" s="6">
        <v>0</v>
      </c>
      <c r="Q11" s="6">
        <v>0</v>
      </c>
      <c r="R11" s="5">
        <v>1</v>
      </c>
      <c r="S11" s="5">
        <v>0</v>
      </c>
      <c r="T11" s="5">
        <v>0</v>
      </c>
      <c r="U11" s="5" t="b">
        <v>1</v>
      </c>
      <c r="V11" s="5"/>
      <c r="W11" s="5"/>
      <c r="X11" s="5"/>
      <c r="Y11" s="5"/>
      <c r="Z11" s="6"/>
      <c r="AA11" s="6"/>
      <c r="AB11" s="6"/>
      <c r="AC11" s="6"/>
      <c r="AD11" s="6"/>
      <c r="AE11" s="6"/>
      <c r="AF11" s="6"/>
      <c r="AG11" s="6"/>
      <c r="AH11" s="5"/>
      <c r="AI11" s="5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</row>
    <row r="12" spans="1:46" ht="20.100000000000001" customHeight="1">
      <c r="A12" s="56"/>
      <c r="B12" s="5">
        <v>100010002</v>
      </c>
      <c r="C12" s="6" t="s">
        <v>1286</v>
      </c>
      <c r="D12" s="6" t="s">
        <v>415</v>
      </c>
      <c r="E12" s="6">
        <v>2</v>
      </c>
      <c r="F12" s="6">
        <v>0</v>
      </c>
      <c r="G12" s="6">
        <v>1</v>
      </c>
      <c r="H12" s="6">
        <v>25</v>
      </c>
      <c r="I12" s="6">
        <v>0</v>
      </c>
      <c r="J12" s="6">
        <v>2</v>
      </c>
      <c r="K12" s="6">
        <v>30</v>
      </c>
      <c r="L12" s="6">
        <v>14</v>
      </c>
      <c r="M12" s="6">
        <v>2</v>
      </c>
      <c r="N12" s="6">
        <v>67</v>
      </c>
      <c r="O12" s="6" t="b">
        <v>0</v>
      </c>
      <c r="P12" s="6">
        <v>0</v>
      </c>
      <c r="Q12" s="6">
        <v>0</v>
      </c>
      <c r="R12" s="5">
        <v>1</v>
      </c>
      <c r="S12" s="5">
        <v>0</v>
      </c>
      <c r="T12" s="5">
        <v>0</v>
      </c>
      <c r="U12" s="5" t="b">
        <v>1</v>
      </c>
      <c r="V12" s="5"/>
      <c r="W12" s="5"/>
      <c r="X12" s="5"/>
      <c r="Y12" s="5"/>
      <c r="Z12" s="6"/>
      <c r="AA12" s="6"/>
      <c r="AB12" s="6"/>
      <c r="AC12" s="6"/>
      <c r="AD12" s="6"/>
      <c r="AE12" s="6"/>
      <c r="AF12" s="6"/>
      <c r="AG12" s="6"/>
      <c r="AH12" s="5"/>
      <c r="AI12" s="5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</row>
    <row r="13" spans="1:46" ht="20.100000000000001" customHeight="1">
      <c r="A13" s="56"/>
      <c r="B13" s="5">
        <v>100010003</v>
      </c>
      <c r="C13" s="6" t="s">
        <v>1287</v>
      </c>
      <c r="D13" s="6" t="s">
        <v>415</v>
      </c>
      <c r="E13" s="6">
        <v>2</v>
      </c>
      <c r="F13" s="6">
        <v>0</v>
      </c>
      <c r="G13" s="6">
        <v>1</v>
      </c>
      <c r="H13" s="6">
        <v>25</v>
      </c>
      <c r="I13" s="6">
        <v>0</v>
      </c>
      <c r="J13" s="6">
        <v>2</v>
      </c>
      <c r="K13" s="6">
        <v>30</v>
      </c>
      <c r="L13" s="6">
        <v>14</v>
      </c>
      <c r="M13" s="6">
        <v>2</v>
      </c>
      <c r="N13" s="6">
        <v>67</v>
      </c>
      <c r="O13" s="6" t="b">
        <v>0</v>
      </c>
      <c r="P13" s="6">
        <v>0</v>
      </c>
      <c r="Q13" s="6">
        <v>0</v>
      </c>
      <c r="R13" s="5">
        <v>1</v>
      </c>
      <c r="S13" s="5">
        <v>0</v>
      </c>
      <c r="T13" s="5">
        <v>0</v>
      </c>
      <c r="U13" s="5" t="b">
        <v>1</v>
      </c>
      <c r="V13" s="5"/>
      <c r="W13" s="5"/>
      <c r="X13" s="5"/>
      <c r="Y13" s="5"/>
      <c r="Z13" s="6"/>
      <c r="AA13" s="6"/>
      <c r="AB13" s="6"/>
      <c r="AC13" s="6"/>
      <c r="AD13" s="6"/>
      <c r="AE13" s="6"/>
      <c r="AF13" s="6"/>
      <c r="AG13" s="6"/>
      <c r="AH13" s="5"/>
      <c r="AI13" s="5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</row>
    <row r="14" spans="1:46" ht="18.75" customHeight="1">
      <c r="A14" s="56"/>
      <c r="B14" s="7">
        <v>200010001</v>
      </c>
      <c r="C14" s="6" t="s">
        <v>347</v>
      </c>
      <c r="D14" s="10" t="s">
        <v>796</v>
      </c>
      <c r="E14" s="7">
        <v>4</v>
      </c>
      <c r="F14" s="7">
        <v>1</v>
      </c>
      <c r="G14" s="7">
        <v>3</v>
      </c>
      <c r="H14" s="7">
        <v>6</v>
      </c>
      <c r="I14" s="6">
        <v>0</v>
      </c>
      <c r="J14" s="7">
        <v>4</v>
      </c>
      <c r="K14" s="6">
        <v>100</v>
      </c>
      <c r="L14" s="7">
        <v>1</v>
      </c>
      <c r="M14" s="10">
        <v>0</v>
      </c>
      <c r="N14" s="7">
        <v>64</v>
      </c>
      <c r="O14" s="6" t="b">
        <v>0</v>
      </c>
      <c r="P14" s="6">
        <v>0</v>
      </c>
      <c r="Q14" s="6">
        <v>0</v>
      </c>
      <c r="R14" s="7">
        <v>3</v>
      </c>
      <c r="S14" s="5">
        <v>2</v>
      </c>
      <c r="T14" s="7">
        <v>3</v>
      </c>
      <c r="U14" s="5" t="b">
        <v>1</v>
      </c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</row>
    <row r="15" spans="1:46" ht="18.75" customHeight="1">
      <c r="A15" s="56"/>
      <c r="B15" s="7">
        <v>200010002</v>
      </c>
      <c r="C15" s="6" t="s">
        <v>1288</v>
      </c>
      <c r="D15" s="10" t="s">
        <v>796</v>
      </c>
      <c r="E15" s="7">
        <v>4</v>
      </c>
      <c r="F15" s="7">
        <v>1</v>
      </c>
      <c r="G15" s="7">
        <v>3</v>
      </c>
      <c r="H15" s="7">
        <v>6</v>
      </c>
      <c r="I15" s="6">
        <v>0</v>
      </c>
      <c r="J15" s="7">
        <v>4</v>
      </c>
      <c r="K15" s="6">
        <v>100</v>
      </c>
      <c r="L15" s="7">
        <v>1</v>
      </c>
      <c r="M15" s="10">
        <v>0</v>
      </c>
      <c r="N15" s="7">
        <v>64</v>
      </c>
      <c r="O15" s="6" t="b">
        <v>0</v>
      </c>
      <c r="P15" s="6">
        <v>0</v>
      </c>
      <c r="Q15" s="6">
        <v>0</v>
      </c>
      <c r="R15" s="7">
        <v>3</v>
      </c>
      <c r="S15" s="5">
        <v>2</v>
      </c>
      <c r="T15" s="7">
        <v>3</v>
      </c>
      <c r="U15" s="5" t="b">
        <v>1</v>
      </c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</row>
    <row r="16" spans="1:46" ht="18.75" customHeight="1">
      <c r="A16" s="56"/>
      <c r="B16" s="7">
        <v>200010003</v>
      </c>
      <c r="C16" s="6" t="s">
        <v>1289</v>
      </c>
      <c r="D16" s="10" t="s">
        <v>796</v>
      </c>
      <c r="E16" s="7">
        <v>4</v>
      </c>
      <c r="F16" s="7">
        <v>1</v>
      </c>
      <c r="G16" s="7">
        <v>3</v>
      </c>
      <c r="H16" s="7">
        <v>6</v>
      </c>
      <c r="I16" s="6">
        <v>0</v>
      </c>
      <c r="J16" s="7">
        <v>4</v>
      </c>
      <c r="K16" s="6">
        <v>100</v>
      </c>
      <c r="L16" s="7">
        <v>1</v>
      </c>
      <c r="M16" s="10">
        <v>0</v>
      </c>
      <c r="N16" s="7">
        <v>64</v>
      </c>
      <c r="O16" s="6" t="b">
        <v>0</v>
      </c>
      <c r="P16" s="6">
        <v>0</v>
      </c>
      <c r="Q16" s="6">
        <v>0</v>
      </c>
      <c r="R16" s="7">
        <v>3</v>
      </c>
      <c r="S16" s="5">
        <v>2</v>
      </c>
      <c r="T16" s="7">
        <v>3</v>
      </c>
      <c r="U16" s="5" t="b">
        <v>1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</row>
    <row r="17" spans="1:46" ht="18.75" customHeight="1">
      <c r="A17" s="8"/>
      <c r="B17" s="5">
        <v>300010001</v>
      </c>
      <c r="C17" s="6" t="s">
        <v>348</v>
      </c>
      <c r="D17" s="10" t="s">
        <v>416</v>
      </c>
      <c r="E17" s="7">
        <v>2</v>
      </c>
      <c r="F17" s="6">
        <v>0</v>
      </c>
      <c r="G17" s="7">
        <v>3</v>
      </c>
      <c r="H17" s="7">
        <v>24</v>
      </c>
      <c r="I17" s="6">
        <v>0</v>
      </c>
      <c r="J17" s="7">
        <v>2</v>
      </c>
      <c r="K17" s="6">
        <v>100</v>
      </c>
      <c r="L17" s="7">
        <v>30</v>
      </c>
      <c r="M17" s="7">
        <v>0</v>
      </c>
      <c r="N17" s="7">
        <v>5</v>
      </c>
      <c r="O17" s="6" t="b">
        <v>0</v>
      </c>
      <c r="P17" s="6">
        <v>0</v>
      </c>
      <c r="Q17" s="6">
        <v>0</v>
      </c>
      <c r="R17" s="7">
        <v>3</v>
      </c>
      <c r="S17" s="5">
        <v>16</v>
      </c>
      <c r="T17" s="7">
        <v>3</v>
      </c>
      <c r="U17" s="5" t="b">
        <v>1</v>
      </c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</row>
    <row r="18" spans="1:46" ht="18.75" customHeight="1">
      <c r="A18" s="8"/>
      <c r="B18" s="5">
        <v>300010002</v>
      </c>
      <c r="C18" s="6" t="s">
        <v>1290</v>
      </c>
      <c r="D18" s="10" t="s">
        <v>416</v>
      </c>
      <c r="E18" s="7">
        <v>2</v>
      </c>
      <c r="F18" s="6">
        <v>0</v>
      </c>
      <c r="G18" s="7">
        <v>3</v>
      </c>
      <c r="H18" s="7">
        <v>24</v>
      </c>
      <c r="I18" s="6">
        <v>0</v>
      </c>
      <c r="J18" s="7">
        <v>2</v>
      </c>
      <c r="K18" s="6">
        <v>100</v>
      </c>
      <c r="L18" s="7">
        <v>30</v>
      </c>
      <c r="M18" s="7">
        <v>0</v>
      </c>
      <c r="N18" s="7">
        <v>5</v>
      </c>
      <c r="O18" s="6" t="b">
        <v>0</v>
      </c>
      <c r="P18" s="6">
        <v>0</v>
      </c>
      <c r="Q18" s="6">
        <v>0</v>
      </c>
      <c r="R18" s="7">
        <v>3</v>
      </c>
      <c r="S18" s="5">
        <v>16</v>
      </c>
      <c r="T18" s="7">
        <v>3</v>
      </c>
      <c r="U18" s="5" t="b">
        <v>1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</row>
    <row r="19" spans="1:46" ht="18.75" customHeight="1">
      <c r="A19" s="8"/>
      <c r="B19" s="5">
        <v>300010003</v>
      </c>
      <c r="C19" s="6" t="s">
        <v>1358</v>
      </c>
      <c r="D19" s="10" t="s">
        <v>416</v>
      </c>
      <c r="E19" s="7">
        <v>2</v>
      </c>
      <c r="F19" s="6">
        <v>0</v>
      </c>
      <c r="G19" s="7">
        <v>3</v>
      </c>
      <c r="H19" s="7">
        <v>24</v>
      </c>
      <c r="I19" s="6">
        <v>0</v>
      </c>
      <c r="J19" s="7">
        <v>2</v>
      </c>
      <c r="K19" s="6">
        <v>100</v>
      </c>
      <c r="L19" s="7">
        <v>30</v>
      </c>
      <c r="M19" s="7">
        <v>0</v>
      </c>
      <c r="N19" s="7">
        <v>5</v>
      </c>
      <c r="O19" s="6" t="b">
        <v>0</v>
      </c>
      <c r="P19" s="6">
        <v>0</v>
      </c>
      <c r="Q19" s="6">
        <v>0</v>
      </c>
      <c r="R19" s="7">
        <v>3</v>
      </c>
      <c r="S19" s="5">
        <v>16</v>
      </c>
      <c r="T19" s="7">
        <v>3</v>
      </c>
      <c r="U19" s="5" t="b">
        <v>1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</row>
    <row r="20" spans="1:46" ht="18.75" customHeight="1">
      <c r="A20" s="8"/>
      <c r="B20" s="5">
        <v>400010001</v>
      </c>
      <c r="C20" s="6" t="s">
        <v>349</v>
      </c>
      <c r="D20" s="10" t="s">
        <v>417</v>
      </c>
      <c r="E20" s="7">
        <v>2</v>
      </c>
      <c r="F20" s="7">
        <v>0</v>
      </c>
      <c r="G20" s="7">
        <v>3</v>
      </c>
      <c r="H20" s="7">
        <v>24</v>
      </c>
      <c r="I20" s="6">
        <v>0</v>
      </c>
      <c r="J20" s="7">
        <v>2</v>
      </c>
      <c r="K20" s="6">
        <v>100</v>
      </c>
      <c r="L20" s="7">
        <v>30</v>
      </c>
      <c r="M20" s="7">
        <v>0</v>
      </c>
      <c r="N20" s="7">
        <v>3</v>
      </c>
      <c r="O20" s="6" t="b">
        <v>0</v>
      </c>
      <c r="P20" s="6">
        <v>0</v>
      </c>
      <c r="Q20" s="6">
        <v>0</v>
      </c>
      <c r="R20" s="7">
        <v>3</v>
      </c>
      <c r="S20" s="5">
        <v>22</v>
      </c>
      <c r="T20" s="7">
        <v>3</v>
      </c>
      <c r="U20" s="5" t="b">
        <v>1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</row>
    <row r="21" spans="1:46" ht="18.75" customHeight="1">
      <c r="A21" s="8"/>
      <c r="B21" s="5">
        <v>400010002</v>
      </c>
      <c r="C21" s="6" t="s">
        <v>1291</v>
      </c>
      <c r="D21" s="10" t="s">
        <v>417</v>
      </c>
      <c r="E21" s="7">
        <v>2</v>
      </c>
      <c r="F21" s="7">
        <v>0</v>
      </c>
      <c r="G21" s="7">
        <v>3</v>
      </c>
      <c r="H21" s="7">
        <v>24</v>
      </c>
      <c r="I21" s="6">
        <v>0</v>
      </c>
      <c r="J21" s="7">
        <v>2</v>
      </c>
      <c r="K21" s="6">
        <v>100</v>
      </c>
      <c r="L21" s="7">
        <v>30</v>
      </c>
      <c r="M21" s="7">
        <v>0</v>
      </c>
      <c r="N21" s="7">
        <v>3</v>
      </c>
      <c r="O21" s="6" t="b">
        <v>0</v>
      </c>
      <c r="P21" s="6">
        <v>0</v>
      </c>
      <c r="Q21" s="6">
        <v>0</v>
      </c>
      <c r="R21" s="7">
        <v>3</v>
      </c>
      <c r="S21" s="5">
        <v>22</v>
      </c>
      <c r="T21" s="7">
        <v>3</v>
      </c>
      <c r="U21" s="5" t="b">
        <v>1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</row>
    <row r="22" spans="1:46" ht="18.75" customHeight="1">
      <c r="A22" s="8"/>
      <c r="B22" s="5">
        <v>400010003</v>
      </c>
      <c r="C22" s="6" t="s">
        <v>1359</v>
      </c>
      <c r="D22" s="10" t="s">
        <v>417</v>
      </c>
      <c r="E22" s="7">
        <v>2</v>
      </c>
      <c r="F22" s="7">
        <v>0</v>
      </c>
      <c r="G22" s="7">
        <v>3</v>
      </c>
      <c r="H22" s="7">
        <v>24</v>
      </c>
      <c r="I22" s="6">
        <v>0</v>
      </c>
      <c r="J22" s="7">
        <v>2</v>
      </c>
      <c r="K22" s="6">
        <v>100</v>
      </c>
      <c r="L22" s="7">
        <v>30</v>
      </c>
      <c r="M22" s="7">
        <v>0</v>
      </c>
      <c r="N22" s="7">
        <v>3</v>
      </c>
      <c r="O22" s="6" t="b">
        <v>0</v>
      </c>
      <c r="P22" s="6">
        <v>0</v>
      </c>
      <c r="Q22" s="6">
        <v>0</v>
      </c>
      <c r="R22" s="7">
        <v>3</v>
      </c>
      <c r="S22" s="5">
        <v>22</v>
      </c>
      <c r="T22" s="7">
        <v>3</v>
      </c>
      <c r="U22" s="5" t="b">
        <v>1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</row>
    <row r="23" spans="1:46" ht="18.75" customHeight="1">
      <c r="A23" s="8"/>
      <c r="B23" s="7">
        <v>500010001</v>
      </c>
      <c r="C23" s="6" t="s">
        <v>350</v>
      </c>
      <c r="D23" s="10" t="s">
        <v>797</v>
      </c>
      <c r="E23" s="7">
        <v>2</v>
      </c>
      <c r="F23" s="6">
        <v>0</v>
      </c>
      <c r="G23" s="7">
        <v>3</v>
      </c>
      <c r="H23" s="7">
        <v>25</v>
      </c>
      <c r="I23" s="6">
        <v>0</v>
      </c>
      <c r="J23" s="7">
        <v>2</v>
      </c>
      <c r="K23" s="6">
        <v>30</v>
      </c>
      <c r="L23" s="7">
        <v>14</v>
      </c>
      <c r="M23" s="7">
        <v>2</v>
      </c>
      <c r="N23" s="7">
        <v>20</v>
      </c>
      <c r="O23" s="6" t="b">
        <v>0</v>
      </c>
      <c r="P23" s="6">
        <v>0</v>
      </c>
      <c r="Q23" s="6">
        <v>0</v>
      </c>
      <c r="R23" s="7">
        <v>3</v>
      </c>
      <c r="S23" s="5">
        <v>64</v>
      </c>
      <c r="T23" s="7">
        <v>2</v>
      </c>
      <c r="U23" s="5" t="b">
        <v>1</v>
      </c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</row>
    <row r="24" spans="1:46" ht="18.75" customHeight="1">
      <c r="A24" s="8"/>
      <c r="B24" s="5">
        <v>500010002</v>
      </c>
      <c r="C24" s="6" t="s">
        <v>1292</v>
      </c>
      <c r="D24" s="10" t="s">
        <v>797</v>
      </c>
      <c r="E24" s="7">
        <v>2</v>
      </c>
      <c r="F24" s="6">
        <v>0</v>
      </c>
      <c r="G24" s="7">
        <v>3</v>
      </c>
      <c r="H24" s="7">
        <v>25</v>
      </c>
      <c r="I24" s="6">
        <v>0</v>
      </c>
      <c r="J24" s="7">
        <v>2</v>
      </c>
      <c r="K24" s="6">
        <v>30</v>
      </c>
      <c r="L24" s="7">
        <v>14</v>
      </c>
      <c r="M24" s="7">
        <v>2</v>
      </c>
      <c r="N24" s="7">
        <v>20</v>
      </c>
      <c r="O24" s="6" t="b">
        <v>0</v>
      </c>
      <c r="P24" s="6">
        <v>0</v>
      </c>
      <c r="Q24" s="6">
        <v>0</v>
      </c>
      <c r="R24" s="7">
        <v>3</v>
      </c>
      <c r="S24" s="5">
        <v>64</v>
      </c>
      <c r="T24" s="7">
        <v>2</v>
      </c>
      <c r="U24" s="5" t="b">
        <v>1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</row>
    <row r="25" spans="1:46" ht="18.75" customHeight="1">
      <c r="A25" s="8"/>
      <c r="B25" s="5">
        <v>500010003</v>
      </c>
      <c r="C25" s="6" t="s">
        <v>1360</v>
      </c>
      <c r="D25" s="10" t="s">
        <v>797</v>
      </c>
      <c r="E25" s="7">
        <v>2</v>
      </c>
      <c r="F25" s="6">
        <v>0</v>
      </c>
      <c r="G25" s="7">
        <v>3</v>
      </c>
      <c r="H25" s="7">
        <v>25</v>
      </c>
      <c r="I25" s="6">
        <v>0</v>
      </c>
      <c r="J25" s="7">
        <v>2</v>
      </c>
      <c r="K25" s="6">
        <v>30</v>
      </c>
      <c r="L25" s="7">
        <v>14</v>
      </c>
      <c r="M25" s="7">
        <v>2</v>
      </c>
      <c r="N25" s="7">
        <v>20</v>
      </c>
      <c r="O25" s="6" t="b">
        <v>0</v>
      </c>
      <c r="P25" s="6">
        <v>0</v>
      </c>
      <c r="Q25" s="6">
        <v>0</v>
      </c>
      <c r="R25" s="7">
        <v>3</v>
      </c>
      <c r="S25" s="5">
        <v>64</v>
      </c>
      <c r="T25" s="7">
        <v>2</v>
      </c>
      <c r="U25" s="5" t="b">
        <v>1</v>
      </c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</row>
    <row r="26" spans="1:46" ht="18.75" customHeight="1">
      <c r="A26" s="8"/>
      <c r="B26" s="5">
        <v>600010001</v>
      </c>
      <c r="C26" s="6" t="s">
        <v>351</v>
      </c>
      <c r="D26" s="10" t="s">
        <v>802</v>
      </c>
      <c r="E26" s="6">
        <v>2</v>
      </c>
      <c r="F26" s="7">
        <v>0</v>
      </c>
      <c r="G26" s="6">
        <v>3</v>
      </c>
      <c r="H26" s="6">
        <v>16</v>
      </c>
      <c r="I26" s="6">
        <v>0</v>
      </c>
      <c r="J26" s="6">
        <v>2</v>
      </c>
      <c r="K26" s="6">
        <v>100</v>
      </c>
      <c r="L26" s="6">
        <v>30</v>
      </c>
      <c r="M26" s="6">
        <v>2</v>
      </c>
      <c r="N26" s="6">
        <v>18</v>
      </c>
      <c r="O26" s="6" t="b">
        <v>0</v>
      </c>
      <c r="P26" s="6">
        <v>0</v>
      </c>
      <c r="Q26" s="6">
        <v>0</v>
      </c>
      <c r="R26" s="5">
        <v>3</v>
      </c>
      <c r="S26" s="5">
        <v>63</v>
      </c>
      <c r="T26" s="5">
        <v>2</v>
      </c>
      <c r="U26" s="5" t="b">
        <v>1</v>
      </c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</row>
    <row r="27" spans="1:46" ht="18.75" customHeight="1">
      <c r="A27" s="8"/>
      <c r="B27" s="5">
        <v>600010002</v>
      </c>
      <c r="C27" s="6" t="s">
        <v>1293</v>
      </c>
      <c r="D27" s="10" t="s">
        <v>802</v>
      </c>
      <c r="E27" s="6">
        <v>2</v>
      </c>
      <c r="F27" s="7">
        <v>0</v>
      </c>
      <c r="G27" s="6">
        <v>3</v>
      </c>
      <c r="H27" s="6">
        <v>16</v>
      </c>
      <c r="I27" s="6">
        <v>0</v>
      </c>
      <c r="J27" s="6">
        <v>2</v>
      </c>
      <c r="K27" s="6">
        <v>100</v>
      </c>
      <c r="L27" s="6">
        <v>30</v>
      </c>
      <c r="M27" s="6">
        <v>2</v>
      </c>
      <c r="N27" s="6">
        <v>18</v>
      </c>
      <c r="O27" s="6" t="b">
        <v>0</v>
      </c>
      <c r="P27" s="6">
        <v>0</v>
      </c>
      <c r="Q27" s="6">
        <v>0</v>
      </c>
      <c r="R27" s="5">
        <v>3</v>
      </c>
      <c r="S27" s="5">
        <v>63</v>
      </c>
      <c r="T27" s="5">
        <v>2</v>
      </c>
      <c r="U27" s="5" t="b">
        <v>1</v>
      </c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</row>
    <row r="28" spans="1:46" ht="18.75" customHeight="1">
      <c r="A28" s="8"/>
      <c r="B28" s="5">
        <v>600010003</v>
      </c>
      <c r="C28" s="6" t="s">
        <v>1361</v>
      </c>
      <c r="D28" s="10" t="s">
        <v>802</v>
      </c>
      <c r="E28" s="6">
        <v>2</v>
      </c>
      <c r="F28" s="7">
        <v>0</v>
      </c>
      <c r="G28" s="6">
        <v>3</v>
      </c>
      <c r="H28" s="6">
        <v>16</v>
      </c>
      <c r="I28" s="6">
        <v>0</v>
      </c>
      <c r="J28" s="6">
        <v>2</v>
      </c>
      <c r="K28" s="6">
        <v>100</v>
      </c>
      <c r="L28" s="6">
        <v>30</v>
      </c>
      <c r="M28" s="6">
        <v>2</v>
      </c>
      <c r="N28" s="6">
        <v>18</v>
      </c>
      <c r="O28" s="6" t="b">
        <v>0</v>
      </c>
      <c r="P28" s="6">
        <v>0</v>
      </c>
      <c r="Q28" s="6">
        <v>0</v>
      </c>
      <c r="R28" s="5">
        <v>3</v>
      </c>
      <c r="S28" s="5">
        <v>63</v>
      </c>
      <c r="T28" s="5">
        <v>2</v>
      </c>
      <c r="U28" s="5" t="b">
        <v>1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</row>
    <row r="29" spans="1:46" ht="18.75" customHeight="1">
      <c r="A29" s="8"/>
      <c r="B29" s="5">
        <v>700010001</v>
      </c>
      <c r="C29" s="6" t="s">
        <v>352</v>
      </c>
      <c r="D29" s="10" t="s">
        <v>803</v>
      </c>
      <c r="E29" s="7">
        <v>2</v>
      </c>
      <c r="F29" s="6">
        <v>0</v>
      </c>
      <c r="G29" s="7">
        <v>2</v>
      </c>
      <c r="H29" s="7">
        <v>24</v>
      </c>
      <c r="I29" s="6">
        <v>0</v>
      </c>
      <c r="J29" s="7">
        <v>5</v>
      </c>
      <c r="K29" s="6">
        <v>100</v>
      </c>
      <c r="L29" s="7">
        <v>1</v>
      </c>
      <c r="M29" s="7">
        <v>4</v>
      </c>
      <c r="N29" s="7">
        <v>25</v>
      </c>
      <c r="O29" s="6" t="b">
        <v>0</v>
      </c>
      <c r="P29" s="6">
        <v>0</v>
      </c>
      <c r="Q29" s="6">
        <v>0</v>
      </c>
      <c r="R29" s="7">
        <v>49</v>
      </c>
      <c r="S29" s="5">
        <v>0</v>
      </c>
      <c r="T29" s="7">
        <v>0</v>
      </c>
      <c r="U29" s="5" t="b">
        <v>1</v>
      </c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</row>
    <row r="30" spans="1:46" ht="18.75" customHeight="1">
      <c r="A30" s="8"/>
      <c r="B30" s="5">
        <v>700010002</v>
      </c>
      <c r="C30" s="6" t="s">
        <v>1294</v>
      </c>
      <c r="D30" s="10" t="s">
        <v>803</v>
      </c>
      <c r="E30" s="7">
        <v>2</v>
      </c>
      <c r="F30" s="6">
        <v>0</v>
      </c>
      <c r="G30" s="7">
        <v>2</v>
      </c>
      <c r="H30" s="7">
        <v>24</v>
      </c>
      <c r="I30" s="6">
        <v>0</v>
      </c>
      <c r="J30" s="7">
        <v>5</v>
      </c>
      <c r="K30" s="6">
        <v>100</v>
      </c>
      <c r="L30" s="7">
        <v>1</v>
      </c>
      <c r="M30" s="7">
        <v>4</v>
      </c>
      <c r="N30" s="7">
        <v>25</v>
      </c>
      <c r="O30" s="6" t="b">
        <v>0</v>
      </c>
      <c r="P30" s="6">
        <v>0</v>
      </c>
      <c r="Q30" s="6">
        <v>0</v>
      </c>
      <c r="R30" s="7">
        <v>49</v>
      </c>
      <c r="S30" s="5">
        <v>0</v>
      </c>
      <c r="T30" s="7">
        <v>0</v>
      </c>
      <c r="U30" s="5" t="b">
        <v>1</v>
      </c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</row>
    <row r="31" spans="1:46" ht="18.75" customHeight="1">
      <c r="A31" s="8"/>
      <c r="B31" s="5">
        <v>700010003</v>
      </c>
      <c r="C31" s="6" t="s">
        <v>1362</v>
      </c>
      <c r="D31" s="10" t="s">
        <v>803</v>
      </c>
      <c r="E31" s="7">
        <v>2</v>
      </c>
      <c r="F31" s="6">
        <v>0</v>
      </c>
      <c r="G31" s="7">
        <v>2</v>
      </c>
      <c r="H31" s="7">
        <v>24</v>
      </c>
      <c r="I31" s="6">
        <v>0</v>
      </c>
      <c r="J31" s="7">
        <v>5</v>
      </c>
      <c r="K31" s="6">
        <v>100</v>
      </c>
      <c r="L31" s="7">
        <v>1</v>
      </c>
      <c r="M31" s="7">
        <v>4</v>
      </c>
      <c r="N31" s="7">
        <v>25</v>
      </c>
      <c r="O31" s="6" t="b">
        <v>0</v>
      </c>
      <c r="P31" s="6">
        <v>0</v>
      </c>
      <c r="Q31" s="6">
        <v>0</v>
      </c>
      <c r="R31" s="7">
        <v>49</v>
      </c>
      <c r="S31" s="5">
        <v>0</v>
      </c>
      <c r="T31" s="7">
        <v>0</v>
      </c>
      <c r="U31" s="5" t="b">
        <v>1</v>
      </c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</row>
    <row r="32" spans="1:46" ht="18.75" customHeight="1">
      <c r="A32" s="8"/>
      <c r="B32" s="7">
        <v>800010001</v>
      </c>
      <c r="C32" s="6" t="s">
        <v>353</v>
      </c>
      <c r="D32" s="6" t="s">
        <v>415</v>
      </c>
      <c r="E32" s="7">
        <v>2</v>
      </c>
      <c r="F32" s="7">
        <v>0</v>
      </c>
      <c r="G32" s="7">
        <v>1</v>
      </c>
      <c r="H32" s="7">
        <v>25</v>
      </c>
      <c r="I32" s="6">
        <v>0</v>
      </c>
      <c r="J32" s="7">
        <v>2</v>
      </c>
      <c r="K32" s="6">
        <v>100</v>
      </c>
      <c r="L32" s="7">
        <v>14</v>
      </c>
      <c r="M32" s="7">
        <v>2</v>
      </c>
      <c r="N32" s="7">
        <v>67</v>
      </c>
      <c r="O32" s="6" t="b">
        <v>0</v>
      </c>
      <c r="P32" s="6">
        <v>0</v>
      </c>
      <c r="Q32" s="6">
        <v>0</v>
      </c>
      <c r="R32" s="7">
        <v>1</v>
      </c>
      <c r="S32" s="5">
        <v>0</v>
      </c>
      <c r="T32" s="7">
        <v>0</v>
      </c>
      <c r="U32" s="5" t="b">
        <v>1</v>
      </c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</row>
    <row r="33" spans="1:46" ht="18.75" customHeight="1">
      <c r="A33" s="8"/>
      <c r="B33" s="5">
        <v>800010002</v>
      </c>
      <c r="C33" s="6" t="s">
        <v>1295</v>
      </c>
      <c r="D33" s="6" t="s">
        <v>415</v>
      </c>
      <c r="E33" s="7">
        <v>2</v>
      </c>
      <c r="F33" s="7">
        <v>0</v>
      </c>
      <c r="G33" s="7">
        <v>1</v>
      </c>
      <c r="H33" s="7">
        <v>25</v>
      </c>
      <c r="I33" s="6">
        <v>0</v>
      </c>
      <c r="J33" s="7">
        <v>2</v>
      </c>
      <c r="K33" s="6">
        <v>100</v>
      </c>
      <c r="L33" s="7">
        <v>14</v>
      </c>
      <c r="M33" s="7">
        <v>2</v>
      </c>
      <c r="N33" s="7">
        <v>67</v>
      </c>
      <c r="O33" s="6" t="b">
        <v>0</v>
      </c>
      <c r="P33" s="6">
        <v>0</v>
      </c>
      <c r="Q33" s="6">
        <v>0</v>
      </c>
      <c r="R33" s="7">
        <v>1</v>
      </c>
      <c r="S33" s="5">
        <v>0</v>
      </c>
      <c r="T33" s="7">
        <v>0</v>
      </c>
      <c r="U33" s="5" t="b">
        <v>1</v>
      </c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</row>
    <row r="34" spans="1:46" ht="18.75" customHeight="1">
      <c r="A34" s="8"/>
      <c r="B34" s="5">
        <v>800010003</v>
      </c>
      <c r="C34" s="6" t="s">
        <v>1363</v>
      </c>
      <c r="D34" s="6" t="s">
        <v>415</v>
      </c>
      <c r="E34" s="7">
        <v>2</v>
      </c>
      <c r="F34" s="7">
        <v>0</v>
      </c>
      <c r="G34" s="7">
        <v>1</v>
      </c>
      <c r="H34" s="7">
        <v>25</v>
      </c>
      <c r="I34" s="6">
        <v>0</v>
      </c>
      <c r="J34" s="7">
        <v>2</v>
      </c>
      <c r="K34" s="6">
        <v>100</v>
      </c>
      <c r="L34" s="7">
        <v>14</v>
      </c>
      <c r="M34" s="7">
        <v>2</v>
      </c>
      <c r="N34" s="7">
        <v>67</v>
      </c>
      <c r="O34" s="6" t="b">
        <v>0</v>
      </c>
      <c r="P34" s="6">
        <v>0</v>
      </c>
      <c r="Q34" s="6">
        <v>0</v>
      </c>
      <c r="R34" s="7">
        <v>1</v>
      </c>
      <c r="S34" s="5">
        <v>0</v>
      </c>
      <c r="T34" s="7">
        <v>0</v>
      </c>
      <c r="U34" s="5" t="b">
        <v>1</v>
      </c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</row>
    <row r="35" spans="1:46" ht="18.75" customHeight="1">
      <c r="A35" s="8"/>
      <c r="B35" s="5">
        <v>900010001</v>
      </c>
      <c r="C35" s="6" t="s">
        <v>354</v>
      </c>
      <c r="D35" s="10" t="s">
        <v>823</v>
      </c>
      <c r="E35" s="7">
        <v>4</v>
      </c>
      <c r="F35" s="6">
        <v>1</v>
      </c>
      <c r="G35" s="7">
        <v>3</v>
      </c>
      <c r="H35" s="7">
        <v>6</v>
      </c>
      <c r="I35" s="6">
        <v>0</v>
      </c>
      <c r="J35" s="7">
        <v>4</v>
      </c>
      <c r="K35" s="6">
        <v>100</v>
      </c>
      <c r="L35" s="7">
        <v>1</v>
      </c>
      <c r="M35" s="7">
        <v>0</v>
      </c>
      <c r="N35" s="7">
        <v>64</v>
      </c>
      <c r="O35" s="6" t="b">
        <v>0</v>
      </c>
      <c r="P35" s="6">
        <v>0</v>
      </c>
      <c r="Q35" s="6">
        <v>0</v>
      </c>
      <c r="R35" s="7">
        <v>3</v>
      </c>
      <c r="S35" s="5">
        <v>1</v>
      </c>
      <c r="T35" s="7">
        <v>3</v>
      </c>
      <c r="U35" s="5" t="b">
        <v>1</v>
      </c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</row>
    <row r="36" spans="1:46" ht="18.75" customHeight="1">
      <c r="A36" s="8"/>
      <c r="B36" s="5">
        <v>900010002</v>
      </c>
      <c r="C36" s="6" t="s">
        <v>1296</v>
      </c>
      <c r="D36" s="10" t="s">
        <v>823</v>
      </c>
      <c r="E36" s="7">
        <v>4</v>
      </c>
      <c r="F36" s="6">
        <v>1</v>
      </c>
      <c r="G36" s="7">
        <v>3</v>
      </c>
      <c r="H36" s="7">
        <v>6</v>
      </c>
      <c r="I36" s="6">
        <v>0</v>
      </c>
      <c r="J36" s="7">
        <v>4</v>
      </c>
      <c r="K36" s="6">
        <v>100</v>
      </c>
      <c r="L36" s="7">
        <v>1</v>
      </c>
      <c r="M36" s="7">
        <v>0</v>
      </c>
      <c r="N36" s="7">
        <v>64</v>
      </c>
      <c r="O36" s="6" t="b">
        <v>0</v>
      </c>
      <c r="P36" s="6">
        <v>0</v>
      </c>
      <c r="Q36" s="6">
        <v>0</v>
      </c>
      <c r="R36" s="7">
        <v>3</v>
      </c>
      <c r="S36" s="5">
        <v>1</v>
      </c>
      <c r="T36" s="7">
        <v>3</v>
      </c>
      <c r="U36" s="5" t="b">
        <v>1</v>
      </c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</row>
    <row r="37" spans="1:46" ht="18.75" customHeight="1">
      <c r="A37" s="8"/>
      <c r="B37" s="5">
        <v>900010003</v>
      </c>
      <c r="C37" s="6" t="s">
        <v>1364</v>
      </c>
      <c r="D37" s="10" t="s">
        <v>823</v>
      </c>
      <c r="E37" s="7">
        <v>4</v>
      </c>
      <c r="F37" s="6">
        <v>1</v>
      </c>
      <c r="G37" s="7">
        <v>3</v>
      </c>
      <c r="H37" s="7">
        <v>6</v>
      </c>
      <c r="I37" s="6">
        <v>0</v>
      </c>
      <c r="J37" s="7">
        <v>4</v>
      </c>
      <c r="K37" s="6">
        <v>100</v>
      </c>
      <c r="L37" s="7">
        <v>1</v>
      </c>
      <c r="M37" s="7">
        <v>0</v>
      </c>
      <c r="N37" s="7">
        <v>64</v>
      </c>
      <c r="O37" s="6" t="b">
        <v>0</v>
      </c>
      <c r="P37" s="6">
        <v>0</v>
      </c>
      <c r="Q37" s="6">
        <v>0</v>
      </c>
      <c r="R37" s="7">
        <v>3</v>
      </c>
      <c r="S37" s="5">
        <v>1</v>
      </c>
      <c r="T37" s="7">
        <v>3</v>
      </c>
      <c r="U37" s="5" t="b">
        <v>1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</row>
    <row r="38" spans="1:46" ht="18.75" customHeight="1">
      <c r="A38" s="8"/>
      <c r="B38" s="5">
        <v>1000010001</v>
      </c>
      <c r="C38" s="6" t="s">
        <v>355</v>
      </c>
      <c r="D38" s="10" t="s">
        <v>416</v>
      </c>
      <c r="E38" s="7">
        <v>2</v>
      </c>
      <c r="F38" s="7">
        <v>0</v>
      </c>
      <c r="G38" s="7">
        <v>3</v>
      </c>
      <c r="H38" s="7">
        <v>24</v>
      </c>
      <c r="I38" s="6">
        <v>0</v>
      </c>
      <c r="J38" s="7">
        <v>2</v>
      </c>
      <c r="K38" s="6">
        <v>100</v>
      </c>
      <c r="L38" s="7">
        <v>30</v>
      </c>
      <c r="M38" s="7">
        <v>0</v>
      </c>
      <c r="N38" s="7">
        <v>5</v>
      </c>
      <c r="O38" s="6" t="b">
        <v>0</v>
      </c>
      <c r="P38" s="6">
        <v>0</v>
      </c>
      <c r="Q38" s="6">
        <v>0</v>
      </c>
      <c r="R38" s="7">
        <v>3</v>
      </c>
      <c r="S38" s="5">
        <v>16</v>
      </c>
      <c r="T38" s="7">
        <v>3</v>
      </c>
      <c r="U38" s="5" t="b">
        <v>1</v>
      </c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</row>
    <row r="39" spans="1:46" ht="18.75" customHeight="1">
      <c r="A39" s="8"/>
      <c r="B39" s="5">
        <v>1000010002</v>
      </c>
      <c r="C39" s="6" t="s">
        <v>1297</v>
      </c>
      <c r="D39" s="10" t="s">
        <v>416</v>
      </c>
      <c r="E39" s="7">
        <v>2</v>
      </c>
      <c r="F39" s="7">
        <v>0</v>
      </c>
      <c r="G39" s="7">
        <v>3</v>
      </c>
      <c r="H39" s="7">
        <v>24</v>
      </c>
      <c r="I39" s="6">
        <v>0</v>
      </c>
      <c r="J39" s="7">
        <v>2</v>
      </c>
      <c r="K39" s="6">
        <v>100</v>
      </c>
      <c r="L39" s="7">
        <v>30</v>
      </c>
      <c r="M39" s="7">
        <v>0</v>
      </c>
      <c r="N39" s="7">
        <v>5</v>
      </c>
      <c r="O39" s="6" t="b">
        <v>0</v>
      </c>
      <c r="P39" s="6">
        <v>0</v>
      </c>
      <c r="Q39" s="6">
        <v>0</v>
      </c>
      <c r="R39" s="7">
        <v>3</v>
      </c>
      <c r="S39" s="5">
        <v>16</v>
      </c>
      <c r="T39" s="7">
        <v>3</v>
      </c>
      <c r="U39" s="5" t="b">
        <v>1</v>
      </c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</row>
    <row r="40" spans="1:46" ht="18.75" customHeight="1">
      <c r="A40" s="8"/>
      <c r="B40" s="5">
        <v>1000010003</v>
      </c>
      <c r="C40" s="6" t="s">
        <v>1365</v>
      </c>
      <c r="D40" s="10" t="s">
        <v>416</v>
      </c>
      <c r="E40" s="7">
        <v>2</v>
      </c>
      <c r="F40" s="7">
        <v>0</v>
      </c>
      <c r="G40" s="7">
        <v>3</v>
      </c>
      <c r="H40" s="7">
        <v>24</v>
      </c>
      <c r="I40" s="6">
        <v>0</v>
      </c>
      <c r="J40" s="7">
        <v>2</v>
      </c>
      <c r="K40" s="6">
        <v>100</v>
      </c>
      <c r="L40" s="7">
        <v>30</v>
      </c>
      <c r="M40" s="7">
        <v>0</v>
      </c>
      <c r="N40" s="7">
        <v>5</v>
      </c>
      <c r="O40" s="6" t="b">
        <v>0</v>
      </c>
      <c r="P40" s="6">
        <v>0</v>
      </c>
      <c r="Q40" s="6">
        <v>0</v>
      </c>
      <c r="R40" s="7">
        <v>3</v>
      </c>
      <c r="S40" s="5">
        <v>16</v>
      </c>
      <c r="T40" s="7">
        <v>3</v>
      </c>
      <c r="U40" s="5" t="b">
        <v>1</v>
      </c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</row>
    <row r="41" spans="1:46" ht="18.75" customHeight="1">
      <c r="A41" s="8"/>
      <c r="B41" s="7">
        <v>1100010001</v>
      </c>
      <c r="C41" s="6" t="s">
        <v>356</v>
      </c>
      <c r="D41" s="10" t="s">
        <v>417</v>
      </c>
      <c r="E41" s="6">
        <v>2</v>
      </c>
      <c r="F41" s="6">
        <v>0</v>
      </c>
      <c r="G41" s="6">
        <v>3</v>
      </c>
      <c r="H41" s="6">
        <v>24</v>
      </c>
      <c r="I41" s="6">
        <v>0</v>
      </c>
      <c r="J41" s="6">
        <v>2</v>
      </c>
      <c r="K41" s="6">
        <v>100</v>
      </c>
      <c r="L41" s="6">
        <v>30</v>
      </c>
      <c r="M41" s="6">
        <v>0</v>
      </c>
      <c r="N41" s="6">
        <v>5</v>
      </c>
      <c r="O41" s="6" t="b">
        <v>0</v>
      </c>
      <c r="P41" s="6">
        <v>0</v>
      </c>
      <c r="Q41" s="6">
        <v>0</v>
      </c>
      <c r="R41" s="5">
        <v>3</v>
      </c>
      <c r="S41" s="5">
        <v>22</v>
      </c>
      <c r="T41" s="5">
        <v>3</v>
      </c>
      <c r="U41" s="5" t="b">
        <v>1</v>
      </c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</row>
    <row r="42" spans="1:46" ht="18.75" customHeight="1">
      <c r="A42" s="8"/>
      <c r="B42" s="5">
        <v>1100010002</v>
      </c>
      <c r="C42" s="6" t="s">
        <v>1298</v>
      </c>
      <c r="D42" s="10" t="s">
        <v>417</v>
      </c>
      <c r="E42" s="6">
        <v>2</v>
      </c>
      <c r="F42" s="6">
        <v>0</v>
      </c>
      <c r="G42" s="6">
        <v>3</v>
      </c>
      <c r="H42" s="6">
        <v>24</v>
      </c>
      <c r="I42" s="6">
        <v>0</v>
      </c>
      <c r="J42" s="6">
        <v>2</v>
      </c>
      <c r="K42" s="6">
        <v>100</v>
      </c>
      <c r="L42" s="6">
        <v>30</v>
      </c>
      <c r="M42" s="6">
        <v>0</v>
      </c>
      <c r="N42" s="6">
        <v>5</v>
      </c>
      <c r="O42" s="6" t="b">
        <v>0</v>
      </c>
      <c r="P42" s="6">
        <v>0</v>
      </c>
      <c r="Q42" s="6">
        <v>0</v>
      </c>
      <c r="R42" s="5">
        <v>3</v>
      </c>
      <c r="S42" s="5">
        <v>22</v>
      </c>
      <c r="T42" s="5">
        <v>3</v>
      </c>
      <c r="U42" s="5" t="b">
        <v>1</v>
      </c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</row>
    <row r="43" spans="1:46" ht="18.75" customHeight="1">
      <c r="A43" s="8"/>
      <c r="B43" s="5">
        <v>1100010003</v>
      </c>
      <c r="C43" s="6" t="s">
        <v>1366</v>
      </c>
      <c r="D43" s="10" t="s">
        <v>417</v>
      </c>
      <c r="E43" s="6">
        <v>2</v>
      </c>
      <c r="F43" s="6">
        <v>0</v>
      </c>
      <c r="G43" s="6">
        <v>3</v>
      </c>
      <c r="H43" s="6">
        <v>24</v>
      </c>
      <c r="I43" s="6">
        <v>0</v>
      </c>
      <c r="J43" s="6">
        <v>2</v>
      </c>
      <c r="K43" s="6">
        <v>100</v>
      </c>
      <c r="L43" s="6">
        <v>30</v>
      </c>
      <c r="M43" s="6">
        <v>0</v>
      </c>
      <c r="N43" s="6">
        <v>5</v>
      </c>
      <c r="O43" s="6" t="b">
        <v>0</v>
      </c>
      <c r="P43" s="6">
        <v>0</v>
      </c>
      <c r="Q43" s="6">
        <v>0</v>
      </c>
      <c r="R43" s="5">
        <v>3</v>
      </c>
      <c r="S43" s="5">
        <v>22</v>
      </c>
      <c r="T43" s="5">
        <v>3</v>
      </c>
      <c r="U43" s="5" t="b">
        <v>1</v>
      </c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</row>
    <row r="44" spans="1:46" ht="18.75" customHeight="1">
      <c r="A44" s="8"/>
      <c r="B44" s="5">
        <v>1200010001</v>
      </c>
      <c r="C44" s="6" t="s">
        <v>357</v>
      </c>
      <c r="D44" s="10" t="s">
        <v>419</v>
      </c>
      <c r="E44" s="7">
        <v>2</v>
      </c>
      <c r="F44" s="7">
        <v>0</v>
      </c>
      <c r="G44" s="7">
        <v>3</v>
      </c>
      <c r="H44" s="7">
        <v>25</v>
      </c>
      <c r="I44" s="6">
        <v>0</v>
      </c>
      <c r="J44" s="7">
        <v>2</v>
      </c>
      <c r="K44" s="6">
        <v>30</v>
      </c>
      <c r="L44" s="7">
        <v>14</v>
      </c>
      <c r="M44" s="7">
        <v>2</v>
      </c>
      <c r="N44" s="7">
        <v>20</v>
      </c>
      <c r="O44" s="6" t="b">
        <v>0</v>
      </c>
      <c r="P44" s="6">
        <v>0</v>
      </c>
      <c r="Q44" s="6">
        <v>0</v>
      </c>
      <c r="R44" s="7">
        <v>1</v>
      </c>
      <c r="S44" s="5">
        <v>64</v>
      </c>
      <c r="T44" s="7">
        <v>2</v>
      </c>
      <c r="U44" s="5" t="b">
        <v>1</v>
      </c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</row>
    <row r="45" spans="1:46" ht="18.75" customHeight="1">
      <c r="A45" s="8"/>
      <c r="B45" s="5">
        <v>1200010002</v>
      </c>
      <c r="C45" s="6" t="s">
        <v>1299</v>
      </c>
      <c r="D45" s="10" t="s">
        <v>419</v>
      </c>
      <c r="E45" s="7">
        <v>2</v>
      </c>
      <c r="F45" s="7">
        <v>0</v>
      </c>
      <c r="G45" s="7">
        <v>3</v>
      </c>
      <c r="H45" s="7">
        <v>25</v>
      </c>
      <c r="I45" s="6">
        <v>0</v>
      </c>
      <c r="J45" s="7">
        <v>2</v>
      </c>
      <c r="K45" s="6">
        <v>30</v>
      </c>
      <c r="L45" s="7">
        <v>14</v>
      </c>
      <c r="M45" s="7">
        <v>2</v>
      </c>
      <c r="N45" s="7">
        <v>20</v>
      </c>
      <c r="O45" s="6" t="b">
        <v>0</v>
      </c>
      <c r="P45" s="6">
        <v>0</v>
      </c>
      <c r="Q45" s="6">
        <v>0</v>
      </c>
      <c r="R45" s="7">
        <v>1</v>
      </c>
      <c r="S45" s="5">
        <v>64</v>
      </c>
      <c r="T45" s="7">
        <v>2</v>
      </c>
      <c r="U45" s="5" t="b">
        <v>1</v>
      </c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</row>
    <row r="46" spans="1:46" ht="18.75" customHeight="1">
      <c r="A46" s="8"/>
      <c r="B46" s="5">
        <v>1200010003</v>
      </c>
      <c r="C46" s="6" t="s">
        <v>1367</v>
      </c>
      <c r="D46" s="10" t="s">
        <v>419</v>
      </c>
      <c r="E46" s="7">
        <v>2</v>
      </c>
      <c r="F46" s="7">
        <v>0</v>
      </c>
      <c r="G46" s="7">
        <v>3</v>
      </c>
      <c r="H46" s="7">
        <v>25</v>
      </c>
      <c r="I46" s="6">
        <v>0</v>
      </c>
      <c r="J46" s="7">
        <v>2</v>
      </c>
      <c r="K46" s="6">
        <v>30</v>
      </c>
      <c r="L46" s="7">
        <v>14</v>
      </c>
      <c r="M46" s="7">
        <v>2</v>
      </c>
      <c r="N46" s="7">
        <v>20</v>
      </c>
      <c r="O46" s="6" t="b">
        <v>0</v>
      </c>
      <c r="P46" s="6">
        <v>0</v>
      </c>
      <c r="Q46" s="6">
        <v>0</v>
      </c>
      <c r="R46" s="7">
        <v>1</v>
      </c>
      <c r="S46" s="5">
        <v>64</v>
      </c>
      <c r="T46" s="7">
        <v>2</v>
      </c>
      <c r="U46" s="5" t="b">
        <v>1</v>
      </c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</row>
    <row r="47" spans="1:46" ht="18.75" customHeight="1">
      <c r="A47" s="8"/>
      <c r="B47" s="5">
        <v>1300010001</v>
      </c>
      <c r="C47" s="6" t="s">
        <v>358</v>
      </c>
      <c r="D47" s="10" t="s">
        <v>418</v>
      </c>
      <c r="E47" s="7">
        <v>2</v>
      </c>
      <c r="F47" s="6">
        <v>0</v>
      </c>
      <c r="G47" s="7">
        <v>3</v>
      </c>
      <c r="H47" s="7">
        <v>16</v>
      </c>
      <c r="I47" s="6">
        <v>0</v>
      </c>
      <c r="J47" s="7">
        <v>2</v>
      </c>
      <c r="K47" s="6">
        <v>100</v>
      </c>
      <c r="L47" s="7">
        <v>30</v>
      </c>
      <c r="M47" s="7">
        <v>2</v>
      </c>
      <c r="N47" s="7">
        <v>18</v>
      </c>
      <c r="O47" s="6" t="b">
        <v>0</v>
      </c>
      <c r="P47" s="6">
        <v>0</v>
      </c>
      <c r="Q47" s="6">
        <v>0</v>
      </c>
      <c r="R47" s="7">
        <v>1</v>
      </c>
      <c r="S47" s="5">
        <v>65</v>
      </c>
      <c r="T47" s="7">
        <v>2</v>
      </c>
      <c r="U47" s="5" t="b">
        <v>1</v>
      </c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</row>
    <row r="48" spans="1:46" ht="18.75" customHeight="1">
      <c r="A48" s="8"/>
      <c r="B48" s="5">
        <v>1300010002</v>
      </c>
      <c r="C48" s="6" t="s">
        <v>1300</v>
      </c>
      <c r="D48" s="10" t="s">
        <v>418</v>
      </c>
      <c r="E48" s="7">
        <v>2</v>
      </c>
      <c r="F48" s="6">
        <v>0</v>
      </c>
      <c r="G48" s="7">
        <v>3</v>
      </c>
      <c r="H48" s="7">
        <v>16</v>
      </c>
      <c r="I48" s="6">
        <v>0</v>
      </c>
      <c r="J48" s="7">
        <v>2</v>
      </c>
      <c r="K48" s="6">
        <v>100</v>
      </c>
      <c r="L48" s="7">
        <v>30</v>
      </c>
      <c r="M48" s="7">
        <v>2</v>
      </c>
      <c r="N48" s="7">
        <v>18</v>
      </c>
      <c r="O48" s="6" t="b">
        <v>0</v>
      </c>
      <c r="P48" s="6">
        <v>0</v>
      </c>
      <c r="Q48" s="6">
        <v>0</v>
      </c>
      <c r="R48" s="7">
        <v>1</v>
      </c>
      <c r="S48" s="5">
        <v>65</v>
      </c>
      <c r="T48" s="7">
        <v>2</v>
      </c>
      <c r="U48" s="5" t="b">
        <v>1</v>
      </c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</row>
    <row r="49" spans="1:46" ht="18.75" customHeight="1">
      <c r="A49" s="8"/>
      <c r="B49" s="5">
        <v>1300010003</v>
      </c>
      <c r="C49" s="6" t="s">
        <v>1368</v>
      </c>
      <c r="D49" s="10" t="s">
        <v>418</v>
      </c>
      <c r="E49" s="7">
        <v>2</v>
      </c>
      <c r="F49" s="6">
        <v>0</v>
      </c>
      <c r="G49" s="7">
        <v>3</v>
      </c>
      <c r="H49" s="7">
        <v>16</v>
      </c>
      <c r="I49" s="6">
        <v>0</v>
      </c>
      <c r="J49" s="7">
        <v>2</v>
      </c>
      <c r="K49" s="6">
        <v>100</v>
      </c>
      <c r="L49" s="7">
        <v>30</v>
      </c>
      <c r="M49" s="7">
        <v>2</v>
      </c>
      <c r="N49" s="7">
        <v>18</v>
      </c>
      <c r="O49" s="6" t="b">
        <v>0</v>
      </c>
      <c r="P49" s="6">
        <v>0</v>
      </c>
      <c r="Q49" s="6">
        <v>0</v>
      </c>
      <c r="R49" s="7">
        <v>1</v>
      </c>
      <c r="S49" s="5">
        <v>65</v>
      </c>
      <c r="T49" s="7">
        <v>2</v>
      </c>
      <c r="U49" s="5" t="b">
        <v>1</v>
      </c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</row>
    <row r="50" spans="1:46" ht="18.75" customHeight="1">
      <c r="A50" s="8"/>
      <c r="B50" s="7">
        <v>1400010001</v>
      </c>
      <c r="C50" s="6" t="s">
        <v>359</v>
      </c>
      <c r="D50" s="10" t="s">
        <v>804</v>
      </c>
      <c r="E50" s="7">
        <v>2</v>
      </c>
      <c r="F50" s="7">
        <v>0</v>
      </c>
      <c r="G50" s="7">
        <v>2</v>
      </c>
      <c r="H50" s="7">
        <v>24</v>
      </c>
      <c r="I50" s="6">
        <v>0</v>
      </c>
      <c r="J50" s="7">
        <v>5</v>
      </c>
      <c r="K50" s="6">
        <v>100</v>
      </c>
      <c r="L50" s="7">
        <v>1</v>
      </c>
      <c r="M50" s="7">
        <v>4</v>
      </c>
      <c r="N50" s="7">
        <v>25</v>
      </c>
      <c r="O50" s="6" t="b">
        <v>0</v>
      </c>
      <c r="P50" s="6">
        <v>0</v>
      </c>
      <c r="Q50" s="6">
        <v>0</v>
      </c>
      <c r="R50" s="7">
        <v>49</v>
      </c>
      <c r="S50" s="5">
        <v>0</v>
      </c>
      <c r="T50" s="7">
        <v>0</v>
      </c>
      <c r="U50" s="5" t="b">
        <v>1</v>
      </c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</row>
    <row r="51" spans="1:46" ht="18.75" customHeight="1">
      <c r="A51" s="8"/>
      <c r="B51" s="5">
        <v>1400010002</v>
      </c>
      <c r="C51" s="6" t="s">
        <v>1301</v>
      </c>
      <c r="D51" s="10" t="s">
        <v>804</v>
      </c>
      <c r="E51" s="7">
        <v>2</v>
      </c>
      <c r="F51" s="7">
        <v>0</v>
      </c>
      <c r="G51" s="7">
        <v>2</v>
      </c>
      <c r="H51" s="7">
        <v>24</v>
      </c>
      <c r="I51" s="6">
        <v>0</v>
      </c>
      <c r="J51" s="7">
        <v>5</v>
      </c>
      <c r="K51" s="6">
        <v>100</v>
      </c>
      <c r="L51" s="7">
        <v>1</v>
      </c>
      <c r="M51" s="7">
        <v>4</v>
      </c>
      <c r="N51" s="7">
        <v>25</v>
      </c>
      <c r="O51" s="6" t="b">
        <v>0</v>
      </c>
      <c r="P51" s="6">
        <v>0</v>
      </c>
      <c r="Q51" s="6">
        <v>0</v>
      </c>
      <c r="R51" s="7">
        <v>49</v>
      </c>
      <c r="S51" s="5">
        <v>0</v>
      </c>
      <c r="T51" s="7">
        <v>0</v>
      </c>
      <c r="U51" s="5" t="b">
        <v>1</v>
      </c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</row>
    <row r="52" spans="1:46" ht="18.75" customHeight="1">
      <c r="A52" s="8"/>
      <c r="B52" s="5">
        <v>1400010003</v>
      </c>
      <c r="C52" s="6" t="s">
        <v>1369</v>
      </c>
      <c r="D52" s="10" t="s">
        <v>804</v>
      </c>
      <c r="E52" s="7">
        <v>2</v>
      </c>
      <c r="F52" s="7">
        <v>0</v>
      </c>
      <c r="G52" s="7">
        <v>2</v>
      </c>
      <c r="H52" s="7">
        <v>24</v>
      </c>
      <c r="I52" s="6">
        <v>0</v>
      </c>
      <c r="J52" s="7">
        <v>5</v>
      </c>
      <c r="K52" s="6">
        <v>100</v>
      </c>
      <c r="L52" s="7">
        <v>1</v>
      </c>
      <c r="M52" s="7">
        <v>4</v>
      </c>
      <c r="N52" s="7">
        <v>25</v>
      </c>
      <c r="O52" s="6" t="b">
        <v>0</v>
      </c>
      <c r="P52" s="6">
        <v>0</v>
      </c>
      <c r="Q52" s="6">
        <v>0</v>
      </c>
      <c r="R52" s="7">
        <v>49</v>
      </c>
      <c r="S52" s="5">
        <v>0</v>
      </c>
      <c r="T52" s="7">
        <v>0</v>
      </c>
      <c r="U52" s="5" t="b">
        <v>1</v>
      </c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</row>
    <row r="53" spans="1:46" ht="53.25" customHeight="1">
      <c r="A53" s="8"/>
      <c r="B53" s="5">
        <v>1500010001</v>
      </c>
      <c r="C53" s="6" t="s">
        <v>360</v>
      </c>
      <c r="D53" s="10" t="s">
        <v>420</v>
      </c>
      <c r="E53" s="7">
        <v>2</v>
      </c>
      <c r="F53" s="6">
        <v>0</v>
      </c>
      <c r="G53" s="7">
        <v>3</v>
      </c>
      <c r="H53" s="7">
        <v>25</v>
      </c>
      <c r="I53" s="6">
        <v>0</v>
      </c>
      <c r="J53" s="7">
        <v>2</v>
      </c>
      <c r="K53" s="6">
        <v>100</v>
      </c>
      <c r="L53" s="7">
        <v>1</v>
      </c>
      <c r="M53" s="7">
        <v>0</v>
      </c>
      <c r="N53" s="7">
        <v>10</v>
      </c>
      <c r="O53" s="6" t="b">
        <v>0</v>
      </c>
      <c r="P53" s="6">
        <v>0</v>
      </c>
      <c r="Q53" s="6">
        <v>0</v>
      </c>
      <c r="R53" s="7">
        <v>3</v>
      </c>
      <c r="S53" s="5">
        <v>5</v>
      </c>
      <c r="T53" s="7">
        <v>2</v>
      </c>
      <c r="U53" s="5" t="b">
        <v>1</v>
      </c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</row>
    <row r="54" spans="1:46" ht="36" customHeight="1">
      <c r="A54" s="8"/>
      <c r="B54" s="5">
        <v>1500010002</v>
      </c>
      <c r="C54" s="6" t="s">
        <v>1302</v>
      </c>
      <c r="D54" s="10" t="s">
        <v>420</v>
      </c>
      <c r="E54" s="7">
        <v>2</v>
      </c>
      <c r="F54" s="6">
        <v>0</v>
      </c>
      <c r="G54" s="7">
        <v>3</v>
      </c>
      <c r="H54" s="7">
        <v>25</v>
      </c>
      <c r="I54" s="6">
        <v>0</v>
      </c>
      <c r="J54" s="7">
        <v>2</v>
      </c>
      <c r="K54" s="6">
        <v>100</v>
      </c>
      <c r="L54" s="7">
        <v>1</v>
      </c>
      <c r="M54" s="7">
        <v>0</v>
      </c>
      <c r="N54" s="7">
        <v>10</v>
      </c>
      <c r="O54" s="6" t="b">
        <v>0</v>
      </c>
      <c r="P54" s="6">
        <v>0</v>
      </c>
      <c r="Q54" s="6">
        <v>0</v>
      </c>
      <c r="R54" s="7">
        <v>3</v>
      </c>
      <c r="S54" s="5">
        <v>5</v>
      </c>
      <c r="T54" s="7">
        <v>2</v>
      </c>
      <c r="U54" s="5" t="b">
        <v>1</v>
      </c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</row>
    <row r="55" spans="1:46" ht="18.75" customHeight="1">
      <c r="B55" s="5">
        <v>1500010003</v>
      </c>
      <c r="C55" s="6" t="s">
        <v>1370</v>
      </c>
      <c r="D55" s="10" t="s">
        <v>420</v>
      </c>
      <c r="E55" s="7">
        <v>2</v>
      </c>
      <c r="F55" s="6">
        <v>0</v>
      </c>
      <c r="G55" s="7">
        <v>3</v>
      </c>
      <c r="H55" s="7">
        <v>25</v>
      </c>
      <c r="I55" s="6">
        <v>0</v>
      </c>
      <c r="J55" s="7">
        <v>2</v>
      </c>
      <c r="K55" s="6">
        <v>100</v>
      </c>
      <c r="L55" s="7">
        <v>1</v>
      </c>
      <c r="M55" s="7">
        <v>0</v>
      </c>
      <c r="N55" s="7">
        <v>10</v>
      </c>
      <c r="O55" s="6" t="b">
        <v>0</v>
      </c>
      <c r="P55" s="6">
        <v>0</v>
      </c>
      <c r="Q55" s="6">
        <v>0</v>
      </c>
      <c r="R55" s="7">
        <v>3</v>
      </c>
      <c r="S55" s="5">
        <v>5</v>
      </c>
      <c r="T55" s="7">
        <v>2</v>
      </c>
      <c r="U55" s="5" t="b">
        <v>1</v>
      </c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</row>
    <row r="56" spans="1:46" ht="18.75" customHeight="1">
      <c r="B56" s="5">
        <v>1600010001</v>
      </c>
      <c r="C56" s="7" t="s">
        <v>361</v>
      </c>
      <c r="D56" s="10" t="s">
        <v>805</v>
      </c>
      <c r="E56" s="6">
        <v>2</v>
      </c>
      <c r="F56" s="7">
        <v>0</v>
      </c>
      <c r="G56" s="6">
        <v>2</v>
      </c>
      <c r="H56" s="6">
        <v>22</v>
      </c>
      <c r="I56" s="6">
        <v>0</v>
      </c>
      <c r="J56" s="6">
        <v>5</v>
      </c>
      <c r="K56" s="6">
        <v>100</v>
      </c>
      <c r="L56" s="6">
        <v>1</v>
      </c>
      <c r="M56" s="6">
        <v>4</v>
      </c>
      <c r="N56" s="6">
        <v>25</v>
      </c>
      <c r="O56" s="6" t="b">
        <v>0</v>
      </c>
      <c r="P56" s="6">
        <v>0</v>
      </c>
      <c r="Q56" s="6">
        <v>0</v>
      </c>
      <c r="R56" s="5">
        <v>49</v>
      </c>
      <c r="S56" s="5">
        <v>0</v>
      </c>
      <c r="T56" s="5">
        <v>0</v>
      </c>
      <c r="U56" s="5" t="b">
        <v>1</v>
      </c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</row>
    <row r="57" spans="1:46" ht="18.75" customHeight="1">
      <c r="B57" s="5">
        <v>1600010002</v>
      </c>
      <c r="C57" s="7" t="s">
        <v>1303</v>
      </c>
      <c r="D57" s="10" t="s">
        <v>805</v>
      </c>
      <c r="E57" s="6">
        <v>2</v>
      </c>
      <c r="F57" s="7">
        <v>0</v>
      </c>
      <c r="G57" s="6">
        <v>2</v>
      </c>
      <c r="H57" s="6">
        <v>22</v>
      </c>
      <c r="I57" s="6">
        <v>0</v>
      </c>
      <c r="J57" s="6">
        <v>5</v>
      </c>
      <c r="K57" s="6">
        <v>100</v>
      </c>
      <c r="L57" s="6">
        <v>1</v>
      </c>
      <c r="M57" s="6">
        <v>4</v>
      </c>
      <c r="N57" s="6">
        <v>25</v>
      </c>
      <c r="O57" s="6" t="b">
        <v>0</v>
      </c>
      <c r="P57" s="6">
        <v>0</v>
      </c>
      <c r="Q57" s="6">
        <v>0</v>
      </c>
      <c r="R57" s="5">
        <v>49</v>
      </c>
      <c r="S57" s="5">
        <v>0</v>
      </c>
      <c r="T57" s="5">
        <v>0</v>
      </c>
      <c r="U57" s="5" t="b">
        <v>1</v>
      </c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</row>
    <row r="58" spans="1:46" ht="18.75" customHeight="1">
      <c r="B58" s="5">
        <v>1600010003</v>
      </c>
      <c r="C58" s="7" t="s">
        <v>1371</v>
      </c>
      <c r="D58" s="10" t="s">
        <v>805</v>
      </c>
      <c r="E58" s="6">
        <v>2</v>
      </c>
      <c r="F58" s="7">
        <v>0</v>
      </c>
      <c r="G58" s="6">
        <v>2</v>
      </c>
      <c r="H58" s="6">
        <v>22</v>
      </c>
      <c r="I58" s="6">
        <v>0</v>
      </c>
      <c r="J58" s="6">
        <v>5</v>
      </c>
      <c r="K58" s="6">
        <v>100</v>
      </c>
      <c r="L58" s="6">
        <v>1</v>
      </c>
      <c r="M58" s="6">
        <v>4</v>
      </c>
      <c r="N58" s="6">
        <v>25</v>
      </c>
      <c r="O58" s="6" t="b">
        <v>0</v>
      </c>
      <c r="P58" s="6">
        <v>0</v>
      </c>
      <c r="Q58" s="6">
        <v>0</v>
      </c>
      <c r="R58" s="5">
        <v>49</v>
      </c>
      <c r="S58" s="5">
        <v>0</v>
      </c>
      <c r="T58" s="5">
        <v>0</v>
      </c>
      <c r="U58" s="5" t="b">
        <v>1</v>
      </c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</row>
    <row r="59" spans="1:46" ht="18.75" customHeight="1">
      <c r="B59" s="7">
        <v>1700010001</v>
      </c>
      <c r="C59" s="7" t="s">
        <v>362</v>
      </c>
      <c r="D59" s="10" t="s">
        <v>421</v>
      </c>
      <c r="E59" s="7">
        <v>2</v>
      </c>
      <c r="F59" s="6">
        <v>0</v>
      </c>
      <c r="G59" s="7">
        <v>3</v>
      </c>
      <c r="H59" s="7">
        <v>18</v>
      </c>
      <c r="I59" s="6">
        <v>0</v>
      </c>
      <c r="J59" s="7">
        <v>2</v>
      </c>
      <c r="K59" s="6">
        <v>100</v>
      </c>
      <c r="L59" s="7">
        <v>1</v>
      </c>
      <c r="M59" s="7">
        <v>0</v>
      </c>
      <c r="N59" s="7">
        <v>15</v>
      </c>
      <c r="O59" s="6" t="b">
        <v>0</v>
      </c>
      <c r="P59" s="6">
        <v>0</v>
      </c>
      <c r="Q59" s="6">
        <v>0</v>
      </c>
      <c r="R59" s="7">
        <v>3</v>
      </c>
      <c r="S59" s="5">
        <v>7</v>
      </c>
      <c r="T59" s="7">
        <v>3</v>
      </c>
      <c r="U59" s="5" t="b">
        <v>1</v>
      </c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</row>
    <row r="60" spans="1:46" ht="18.75" customHeight="1">
      <c r="B60" s="5">
        <v>1700010002</v>
      </c>
      <c r="C60" s="7" t="s">
        <v>1304</v>
      </c>
      <c r="D60" s="10" t="s">
        <v>421</v>
      </c>
      <c r="E60" s="7">
        <v>2</v>
      </c>
      <c r="F60" s="6">
        <v>0</v>
      </c>
      <c r="G60" s="7">
        <v>3</v>
      </c>
      <c r="H60" s="7">
        <v>18</v>
      </c>
      <c r="I60" s="6">
        <v>0</v>
      </c>
      <c r="J60" s="7">
        <v>2</v>
      </c>
      <c r="K60" s="6">
        <v>100</v>
      </c>
      <c r="L60" s="7">
        <v>1</v>
      </c>
      <c r="M60" s="7">
        <v>0</v>
      </c>
      <c r="N60" s="7">
        <v>15</v>
      </c>
      <c r="O60" s="6" t="b">
        <v>0</v>
      </c>
      <c r="P60" s="6">
        <v>0</v>
      </c>
      <c r="Q60" s="6">
        <v>0</v>
      </c>
      <c r="R60" s="7">
        <v>3</v>
      </c>
      <c r="S60" s="5">
        <v>7</v>
      </c>
      <c r="T60" s="7">
        <v>3</v>
      </c>
      <c r="U60" s="5" t="b">
        <v>1</v>
      </c>
      <c r="V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</row>
    <row r="61" spans="1:46" ht="18.75" customHeight="1">
      <c r="B61" s="5">
        <v>1700010003</v>
      </c>
      <c r="C61" s="7" t="s">
        <v>1372</v>
      </c>
      <c r="D61" s="10" t="s">
        <v>421</v>
      </c>
      <c r="E61" s="7">
        <v>2</v>
      </c>
      <c r="F61" s="6">
        <v>0</v>
      </c>
      <c r="G61" s="7">
        <v>3</v>
      </c>
      <c r="H61" s="7">
        <v>18</v>
      </c>
      <c r="I61" s="6">
        <v>0</v>
      </c>
      <c r="J61" s="7">
        <v>2</v>
      </c>
      <c r="K61" s="6">
        <v>100</v>
      </c>
      <c r="L61" s="7">
        <v>1</v>
      </c>
      <c r="M61" s="7">
        <v>0</v>
      </c>
      <c r="N61" s="7">
        <v>15</v>
      </c>
      <c r="O61" s="6" t="b">
        <v>0</v>
      </c>
      <c r="P61" s="6">
        <v>0</v>
      </c>
      <c r="Q61" s="6">
        <v>0</v>
      </c>
      <c r="R61" s="7">
        <v>3</v>
      </c>
      <c r="S61" s="5">
        <v>7</v>
      </c>
      <c r="T61" s="7">
        <v>3</v>
      </c>
      <c r="U61" s="5" t="b">
        <v>1</v>
      </c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</row>
    <row r="62" spans="1:46" ht="18.75" customHeight="1">
      <c r="B62" s="5">
        <v>1800010001</v>
      </c>
      <c r="C62" s="7" t="s">
        <v>363</v>
      </c>
      <c r="D62" s="10" t="s">
        <v>422</v>
      </c>
      <c r="E62" s="7">
        <v>4</v>
      </c>
      <c r="F62" s="7">
        <v>1</v>
      </c>
      <c r="G62" s="7">
        <v>3</v>
      </c>
      <c r="H62" s="7">
        <v>6</v>
      </c>
      <c r="I62" s="6">
        <v>0</v>
      </c>
      <c r="J62" s="7">
        <v>4</v>
      </c>
      <c r="K62" s="6">
        <v>100</v>
      </c>
      <c r="L62" s="7">
        <v>1</v>
      </c>
      <c r="M62" s="7">
        <v>0</v>
      </c>
      <c r="N62" s="7">
        <v>50</v>
      </c>
      <c r="O62" s="6" t="b">
        <v>0</v>
      </c>
      <c r="P62" s="6">
        <v>0</v>
      </c>
      <c r="Q62" s="6">
        <v>0</v>
      </c>
      <c r="R62" s="7">
        <v>3</v>
      </c>
      <c r="S62" s="5">
        <v>1</v>
      </c>
      <c r="T62" s="7">
        <v>3</v>
      </c>
      <c r="U62" s="5" t="b">
        <v>1</v>
      </c>
      <c r="V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</row>
    <row r="63" spans="1:46" ht="18.75" customHeight="1">
      <c r="B63" s="5">
        <v>1800010002</v>
      </c>
      <c r="C63" s="7" t="s">
        <v>1305</v>
      </c>
      <c r="D63" s="10" t="s">
        <v>422</v>
      </c>
      <c r="E63" s="7">
        <v>4</v>
      </c>
      <c r="F63" s="7">
        <v>1</v>
      </c>
      <c r="G63" s="7">
        <v>3</v>
      </c>
      <c r="H63" s="7">
        <v>6</v>
      </c>
      <c r="I63" s="6">
        <v>0</v>
      </c>
      <c r="J63" s="7">
        <v>4</v>
      </c>
      <c r="K63" s="6">
        <v>100</v>
      </c>
      <c r="L63" s="7">
        <v>1</v>
      </c>
      <c r="M63" s="7">
        <v>0</v>
      </c>
      <c r="N63" s="7">
        <v>50</v>
      </c>
      <c r="O63" s="6" t="b">
        <v>0</v>
      </c>
      <c r="P63" s="6">
        <v>0</v>
      </c>
      <c r="Q63" s="6">
        <v>0</v>
      </c>
      <c r="R63" s="7">
        <v>3</v>
      </c>
      <c r="S63" s="5">
        <v>1</v>
      </c>
      <c r="T63" s="7">
        <v>3</v>
      </c>
      <c r="U63" s="5" t="b">
        <v>1</v>
      </c>
      <c r="V63" s="29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</row>
    <row r="64" spans="1:46" ht="18.75" customHeight="1">
      <c r="B64" s="5">
        <v>1800010003</v>
      </c>
      <c r="C64" s="7" t="s">
        <v>1373</v>
      </c>
      <c r="D64" s="10" t="s">
        <v>422</v>
      </c>
      <c r="E64" s="7">
        <v>4</v>
      </c>
      <c r="F64" s="7">
        <v>1</v>
      </c>
      <c r="G64" s="7">
        <v>3</v>
      </c>
      <c r="H64" s="7">
        <v>6</v>
      </c>
      <c r="I64" s="6">
        <v>0</v>
      </c>
      <c r="J64" s="7">
        <v>4</v>
      </c>
      <c r="K64" s="6">
        <v>100</v>
      </c>
      <c r="L64" s="7">
        <v>1</v>
      </c>
      <c r="M64" s="7">
        <v>0</v>
      </c>
      <c r="N64" s="7">
        <v>50</v>
      </c>
      <c r="O64" s="6" t="b">
        <v>0</v>
      </c>
      <c r="P64" s="6">
        <v>0</v>
      </c>
      <c r="Q64" s="6">
        <v>0</v>
      </c>
      <c r="R64" s="7">
        <v>3</v>
      </c>
      <c r="S64" s="5">
        <v>1</v>
      </c>
      <c r="T64" s="7">
        <v>3</v>
      </c>
      <c r="U64" s="5" t="b">
        <v>1</v>
      </c>
      <c r="V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</row>
    <row r="65" spans="1:35" ht="18.75" customHeight="1">
      <c r="A65" s="54"/>
      <c r="B65" s="5">
        <v>1900010001</v>
      </c>
      <c r="C65" s="7" t="s">
        <v>835</v>
      </c>
      <c r="D65" s="10" t="s">
        <v>833</v>
      </c>
      <c r="E65" s="7">
        <v>2</v>
      </c>
      <c r="F65" s="6">
        <v>0</v>
      </c>
      <c r="G65" s="7">
        <v>3</v>
      </c>
      <c r="H65" s="7">
        <v>24</v>
      </c>
      <c r="I65" s="6">
        <v>0</v>
      </c>
      <c r="J65" s="7">
        <v>2</v>
      </c>
      <c r="K65" s="6">
        <v>100</v>
      </c>
      <c r="L65" s="7">
        <v>1</v>
      </c>
      <c r="M65" s="7">
        <v>0</v>
      </c>
      <c r="N65" s="7">
        <v>8</v>
      </c>
      <c r="O65" s="6" t="b">
        <v>0</v>
      </c>
      <c r="P65" s="6">
        <v>0</v>
      </c>
      <c r="Q65" s="6">
        <v>0</v>
      </c>
      <c r="R65" s="7">
        <v>3</v>
      </c>
      <c r="S65" s="5">
        <v>7</v>
      </c>
      <c r="T65" s="7">
        <v>3</v>
      </c>
      <c r="U65" s="5" t="b">
        <v>1</v>
      </c>
      <c r="V65" s="29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</row>
    <row r="66" spans="1:35" ht="18.75" customHeight="1">
      <c r="B66" s="5">
        <v>1900010002</v>
      </c>
      <c r="C66" s="7" t="s">
        <v>1306</v>
      </c>
      <c r="D66" s="10" t="s">
        <v>833</v>
      </c>
      <c r="E66" s="7">
        <v>2</v>
      </c>
      <c r="F66" s="6">
        <v>0</v>
      </c>
      <c r="G66" s="7">
        <v>3</v>
      </c>
      <c r="H66" s="7">
        <v>24</v>
      </c>
      <c r="I66" s="6">
        <v>0</v>
      </c>
      <c r="J66" s="7">
        <v>2</v>
      </c>
      <c r="K66" s="6">
        <v>100</v>
      </c>
      <c r="L66" s="7">
        <v>1</v>
      </c>
      <c r="M66" s="7">
        <v>0</v>
      </c>
      <c r="N66" s="7">
        <v>8</v>
      </c>
      <c r="O66" s="6" t="b">
        <v>0</v>
      </c>
      <c r="P66" s="6">
        <v>0</v>
      </c>
      <c r="Q66" s="6">
        <v>0</v>
      </c>
      <c r="R66" s="7">
        <v>3</v>
      </c>
      <c r="S66" s="5">
        <v>7</v>
      </c>
      <c r="T66" s="7">
        <v>3</v>
      </c>
      <c r="U66" s="5" t="b">
        <v>1</v>
      </c>
      <c r="V66" s="29"/>
      <c r="W66" s="29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</row>
    <row r="67" spans="1:35" ht="18.75" customHeight="1">
      <c r="B67" s="5">
        <v>1900010003</v>
      </c>
      <c r="C67" s="7" t="s">
        <v>1374</v>
      </c>
      <c r="D67" s="10" t="s">
        <v>833</v>
      </c>
      <c r="E67" s="7">
        <v>2</v>
      </c>
      <c r="F67" s="6">
        <v>0</v>
      </c>
      <c r="G67" s="7">
        <v>3</v>
      </c>
      <c r="H67" s="7">
        <v>24</v>
      </c>
      <c r="I67" s="6">
        <v>0</v>
      </c>
      <c r="J67" s="7">
        <v>2</v>
      </c>
      <c r="K67" s="6">
        <v>100</v>
      </c>
      <c r="L67" s="7">
        <v>1</v>
      </c>
      <c r="M67" s="7">
        <v>0</v>
      </c>
      <c r="N67" s="7">
        <v>8</v>
      </c>
      <c r="O67" s="6" t="b">
        <v>0</v>
      </c>
      <c r="P67" s="6">
        <v>0</v>
      </c>
      <c r="Q67" s="6">
        <v>0</v>
      </c>
      <c r="R67" s="7">
        <v>3</v>
      </c>
      <c r="S67" s="5">
        <v>7</v>
      </c>
      <c r="T67" s="7">
        <v>3</v>
      </c>
      <c r="U67" s="5" t="b">
        <v>1</v>
      </c>
      <c r="V67" s="29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</row>
    <row r="68" spans="1:35" ht="18.75" customHeight="1">
      <c r="B68" s="7">
        <v>2000010001</v>
      </c>
      <c r="C68" s="7" t="s">
        <v>364</v>
      </c>
      <c r="D68" s="10" t="s">
        <v>834</v>
      </c>
      <c r="E68" s="7">
        <v>2</v>
      </c>
      <c r="F68" s="7">
        <v>0</v>
      </c>
      <c r="G68" s="7">
        <v>3</v>
      </c>
      <c r="H68" s="7">
        <v>25</v>
      </c>
      <c r="I68" s="6">
        <v>0</v>
      </c>
      <c r="J68" s="7">
        <v>2</v>
      </c>
      <c r="K68" s="6">
        <v>100</v>
      </c>
      <c r="L68" s="7">
        <v>1</v>
      </c>
      <c r="M68" s="7">
        <v>0</v>
      </c>
      <c r="N68" s="7">
        <v>8</v>
      </c>
      <c r="O68" s="6" t="b">
        <v>0</v>
      </c>
      <c r="P68" s="6">
        <v>0</v>
      </c>
      <c r="Q68" s="6">
        <v>0</v>
      </c>
      <c r="R68" s="7">
        <v>3</v>
      </c>
      <c r="S68" s="5">
        <v>7</v>
      </c>
      <c r="T68" s="7">
        <v>2</v>
      </c>
      <c r="U68" s="5" t="b">
        <v>1</v>
      </c>
      <c r="V68" s="29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</row>
    <row r="69" spans="1:35" ht="18.75" customHeight="1">
      <c r="B69" s="5">
        <v>2000010002</v>
      </c>
      <c r="C69" s="7" t="s">
        <v>1307</v>
      </c>
      <c r="D69" s="10" t="s">
        <v>834</v>
      </c>
      <c r="E69" s="7">
        <v>2</v>
      </c>
      <c r="F69" s="7">
        <v>0</v>
      </c>
      <c r="G69" s="7">
        <v>3</v>
      </c>
      <c r="H69" s="7">
        <v>25</v>
      </c>
      <c r="I69" s="6">
        <v>0</v>
      </c>
      <c r="J69" s="7">
        <v>2</v>
      </c>
      <c r="K69" s="6">
        <v>100</v>
      </c>
      <c r="L69" s="7">
        <v>1</v>
      </c>
      <c r="M69" s="7">
        <v>0</v>
      </c>
      <c r="N69" s="7">
        <v>8</v>
      </c>
      <c r="O69" s="6" t="b">
        <v>0</v>
      </c>
      <c r="P69" s="6">
        <v>0</v>
      </c>
      <c r="Q69" s="6">
        <v>0</v>
      </c>
      <c r="R69" s="7">
        <v>3</v>
      </c>
      <c r="S69" s="5">
        <v>7</v>
      </c>
      <c r="T69" s="7">
        <v>2</v>
      </c>
      <c r="U69" s="5" t="b">
        <v>1</v>
      </c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</row>
    <row r="70" spans="1:35" ht="18.75" customHeight="1">
      <c r="B70" s="5">
        <v>2000010003</v>
      </c>
      <c r="C70" s="7" t="s">
        <v>1375</v>
      </c>
      <c r="D70" s="10" t="s">
        <v>834</v>
      </c>
      <c r="E70" s="7">
        <v>2</v>
      </c>
      <c r="F70" s="7">
        <v>0</v>
      </c>
      <c r="G70" s="7">
        <v>3</v>
      </c>
      <c r="H70" s="7">
        <v>25</v>
      </c>
      <c r="I70" s="6">
        <v>0</v>
      </c>
      <c r="J70" s="7">
        <v>2</v>
      </c>
      <c r="K70" s="6">
        <v>100</v>
      </c>
      <c r="L70" s="7">
        <v>1</v>
      </c>
      <c r="M70" s="7">
        <v>0</v>
      </c>
      <c r="N70" s="7">
        <v>8</v>
      </c>
      <c r="O70" s="6" t="b">
        <v>0</v>
      </c>
      <c r="P70" s="6">
        <v>0</v>
      </c>
      <c r="Q70" s="6">
        <v>0</v>
      </c>
      <c r="R70" s="7">
        <v>3</v>
      </c>
      <c r="S70" s="5">
        <v>7</v>
      </c>
      <c r="T70" s="7">
        <v>2</v>
      </c>
      <c r="U70" s="5" t="b">
        <v>1</v>
      </c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</row>
    <row r="71" spans="1:35" ht="18.75" customHeight="1">
      <c r="B71" s="5">
        <v>2100010001</v>
      </c>
      <c r="C71" s="7" t="s">
        <v>365</v>
      </c>
      <c r="D71" s="10" t="s">
        <v>836</v>
      </c>
      <c r="E71" s="6">
        <v>2</v>
      </c>
      <c r="F71" s="6">
        <v>0</v>
      </c>
      <c r="G71" s="6">
        <v>3</v>
      </c>
      <c r="H71" s="6">
        <v>25</v>
      </c>
      <c r="I71" s="6">
        <v>0</v>
      </c>
      <c r="J71" s="6">
        <v>2</v>
      </c>
      <c r="K71" s="6">
        <v>100</v>
      </c>
      <c r="L71" s="6">
        <v>14</v>
      </c>
      <c r="M71" s="6">
        <v>2</v>
      </c>
      <c r="N71" s="6">
        <v>10</v>
      </c>
      <c r="O71" s="6" t="b">
        <v>0</v>
      </c>
      <c r="P71" s="6">
        <v>0</v>
      </c>
      <c r="Q71" s="6">
        <v>0</v>
      </c>
      <c r="R71" s="5">
        <v>1</v>
      </c>
      <c r="S71" s="5">
        <v>63</v>
      </c>
      <c r="T71" s="5">
        <v>15</v>
      </c>
      <c r="U71" s="5" t="b">
        <v>1</v>
      </c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</row>
    <row r="72" spans="1:35" ht="18.75" customHeight="1">
      <c r="B72" s="5">
        <v>2100010002</v>
      </c>
      <c r="C72" s="7" t="s">
        <v>1308</v>
      </c>
      <c r="D72" s="10" t="s">
        <v>836</v>
      </c>
      <c r="E72" s="6">
        <v>2</v>
      </c>
      <c r="F72" s="6">
        <v>0</v>
      </c>
      <c r="G72" s="6">
        <v>3</v>
      </c>
      <c r="H72" s="6">
        <v>25</v>
      </c>
      <c r="I72" s="6">
        <v>0</v>
      </c>
      <c r="J72" s="6">
        <v>2</v>
      </c>
      <c r="K72" s="6">
        <v>100</v>
      </c>
      <c r="L72" s="6">
        <v>14</v>
      </c>
      <c r="M72" s="6">
        <v>2</v>
      </c>
      <c r="N72" s="6">
        <v>10</v>
      </c>
      <c r="O72" s="6" t="b">
        <v>0</v>
      </c>
      <c r="P72" s="6">
        <v>0</v>
      </c>
      <c r="Q72" s="6">
        <v>0</v>
      </c>
      <c r="R72" s="5">
        <v>1</v>
      </c>
      <c r="S72" s="5">
        <v>63</v>
      </c>
      <c r="T72" s="5">
        <v>15</v>
      </c>
      <c r="U72" s="5" t="b">
        <v>1</v>
      </c>
      <c r="V72" s="29"/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</row>
    <row r="73" spans="1:35" ht="18.75" customHeight="1">
      <c r="B73" s="5">
        <v>2100010003</v>
      </c>
      <c r="C73" s="7" t="s">
        <v>1376</v>
      </c>
      <c r="D73" s="10" t="s">
        <v>836</v>
      </c>
      <c r="E73" s="6">
        <v>2</v>
      </c>
      <c r="F73" s="6">
        <v>0</v>
      </c>
      <c r="G73" s="6">
        <v>3</v>
      </c>
      <c r="H73" s="6">
        <v>25</v>
      </c>
      <c r="I73" s="6">
        <v>0</v>
      </c>
      <c r="J73" s="6">
        <v>2</v>
      </c>
      <c r="K73" s="6">
        <v>100</v>
      </c>
      <c r="L73" s="6">
        <v>14</v>
      </c>
      <c r="M73" s="6">
        <v>2</v>
      </c>
      <c r="N73" s="6">
        <v>10</v>
      </c>
      <c r="O73" s="6" t="b">
        <v>0</v>
      </c>
      <c r="P73" s="6">
        <v>0</v>
      </c>
      <c r="Q73" s="6">
        <v>0</v>
      </c>
      <c r="R73" s="5">
        <v>1</v>
      </c>
      <c r="S73" s="5">
        <v>63</v>
      </c>
      <c r="T73" s="5">
        <v>15</v>
      </c>
      <c r="U73" s="5" t="b">
        <v>1</v>
      </c>
      <c r="V73" s="29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</row>
    <row r="74" spans="1:35" ht="18.75" customHeight="1">
      <c r="B74" s="5">
        <v>2200010001</v>
      </c>
      <c r="C74" s="7" t="s">
        <v>366</v>
      </c>
      <c r="D74" s="10" t="s">
        <v>837</v>
      </c>
      <c r="E74" s="7">
        <v>2</v>
      </c>
      <c r="F74" s="7">
        <v>0</v>
      </c>
      <c r="G74" s="7">
        <v>3</v>
      </c>
      <c r="H74" s="7">
        <v>24</v>
      </c>
      <c r="I74" s="6">
        <v>0</v>
      </c>
      <c r="J74" s="7">
        <v>2</v>
      </c>
      <c r="K74" s="6">
        <v>100</v>
      </c>
      <c r="L74" s="7">
        <v>30</v>
      </c>
      <c r="M74" s="7">
        <v>2</v>
      </c>
      <c r="N74" s="7">
        <v>10</v>
      </c>
      <c r="O74" s="6" t="b">
        <v>0</v>
      </c>
      <c r="P74" s="6">
        <v>0</v>
      </c>
      <c r="Q74" s="6">
        <v>0</v>
      </c>
      <c r="R74" s="7">
        <v>1</v>
      </c>
      <c r="S74" s="5">
        <v>65</v>
      </c>
      <c r="T74" s="7">
        <v>15</v>
      </c>
      <c r="U74" s="5" t="b">
        <v>1</v>
      </c>
      <c r="V74" s="29"/>
      <c r="W74" s="29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</row>
    <row r="75" spans="1:35" ht="18.75" customHeight="1">
      <c r="B75" s="5">
        <v>2200010002</v>
      </c>
      <c r="C75" s="7" t="s">
        <v>1309</v>
      </c>
      <c r="D75" s="10" t="s">
        <v>837</v>
      </c>
      <c r="E75" s="7">
        <v>2</v>
      </c>
      <c r="F75" s="7">
        <v>0</v>
      </c>
      <c r="G75" s="7">
        <v>3</v>
      </c>
      <c r="H75" s="7">
        <v>24</v>
      </c>
      <c r="I75" s="6">
        <v>0</v>
      </c>
      <c r="J75" s="7">
        <v>2</v>
      </c>
      <c r="K75" s="6">
        <v>100</v>
      </c>
      <c r="L75" s="7">
        <v>30</v>
      </c>
      <c r="M75" s="7">
        <v>2</v>
      </c>
      <c r="N75" s="7">
        <v>10</v>
      </c>
      <c r="O75" s="6" t="b">
        <v>0</v>
      </c>
      <c r="P75" s="6">
        <v>0</v>
      </c>
      <c r="Q75" s="6">
        <v>0</v>
      </c>
      <c r="R75" s="7">
        <v>1</v>
      </c>
      <c r="S75" s="5">
        <v>65</v>
      </c>
      <c r="T75" s="7">
        <v>15</v>
      </c>
      <c r="U75" s="5" t="b">
        <v>1</v>
      </c>
      <c r="V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</row>
    <row r="76" spans="1:35" ht="18.75" customHeight="1">
      <c r="B76" s="5">
        <v>2200010003</v>
      </c>
      <c r="C76" s="7" t="s">
        <v>1377</v>
      </c>
      <c r="D76" s="10" t="s">
        <v>837</v>
      </c>
      <c r="E76" s="7">
        <v>2</v>
      </c>
      <c r="F76" s="7">
        <v>0</v>
      </c>
      <c r="G76" s="7">
        <v>3</v>
      </c>
      <c r="H76" s="7">
        <v>24</v>
      </c>
      <c r="I76" s="6">
        <v>0</v>
      </c>
      <c r="J76" s="7">
        <v>2</v>
      </c>
      <c r="K76" s="6">
        <v>100</v>
      </c>
      <c r="L76" s="7">
        <v>30</v>
      </c>
      <c r="M76" s="7">
        <v>2</v>
      </c>
      <c r="N76" s="7">
        <v>10</v>
      </c>
      <c r="O76" s="6" t="b">
        <v>0</v>
      </c>
      <c r="P76" s="6">
        <v>0</v>
      </c>
      <c r="Q76" s="6">
        <v>0</v>
      </c>
      <c r="R76" s="7">
        <v>1</v>
      </c>
      <c r="S76" s="5">
        <v>65</v>
      </c>
      <c r="T76" s="7">
        <v>15</v>
      </c>
      <c r="U76" s="5" t="b">
        <v>1</v>
      </c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</row>
    <row r="77" spans="1:35" ht="18.75" customHeight="1">
      <c r="B77" s="7">
        <v>2300010001</v>
      </c>
      <c r="C77" s="7" t="s">
        <v>367</v>
      </c>
      <c r="D77" s="10" t="s">
        <v>416</v>
      </c>
      <c r="E77" s="7">
        <v>2</v>
      </c>
      <c r="F77" s="6">
        <v>0</v>
      </c>
      <c r="G77" s="7">
        <v>3</v>
      </c>
      <c r="H77" s="7">
        <v>24</v>
      </c>
      <c r="I77" s="6">
        <v>0</v>
      </c>
      <c r="J77" s="7">
        <v>2</v>
      </c>
      <c r="K77" s="6">
        <v>100</v>
      </c>
      <c r="L77" s="7">
        <v>30</v>
      </c>
      <c r="M77" s="7">
        <v>0</v>
      </c>
      <c r="N77" s="7">
        <v>5</v>
      </c>
      <c r="O77" s="6" t="b">
        <v>0</v>
      </c>
      <c r="P77" s="6">
        <v>0</v>
      </c>
      <c r="Q77" s="6">
        <v>0</v>
      </c>
      <c r="R77" s="7">
        <v>3</v>
      </c>
      <c r="S77" s="5">
        <v>17</v>
      </c>
      <c r="T77" s="7">
        <v>3</v>
      </c>
      <c r="U77" s="5" t="b">
        <v>1</v>
      </c>
      <c r="V77" s="29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</row>
    <row r="78" spans="1:35" ht="18.75" customHeight="1">
      <c r="B78" s="5">
        <v>2300010002</v>
      </c>
      <c r="C78" s="7" t="s">
        <v>1310</v>
      </c>
      <c r="D78" s="10" t="s">
        <v>416</v>
      </c>
      <c r="E78" s="7">
        <v>2</v>
      </c>
      <c r="F78" s="6">
        <v>0</v>
      </c>
      <c r="G78" s="7">
        <v>3</v>
      </c>
      <c r="H78" s="7">
        <v>24</v>
      </c>
      <c r="I78" s="6">
        <v>0</v>
      </c>
      <c r="J78" s="7">
        <v>2</v>
      </c>
      <c r="K78" s="6">
        <v>100</v>
      </c>
      <c r="L78" s="7">
        <v>30</v>
      </c>
      <c r="M78" s="7">
        <v>0</v>
      </c>
      <c r="N78" s="7">
        <v>5</v>
      </c>
      <c r="O78" s="6" t="b">
        <v>0</v>
      </c>
      <c r="P78" s="6">
        <v>0</v>
      </c>
      <c r="Q78" s="6">
        <v>0</v>
      </c>
      <c r="R78" s="7">
        <v>3</v>
      </c>
      <c r="S78" s="5">
        <v>17</v>
      </c>
      <c r="T78" s="7">
        <v>3</v>
      </c>
      <c r="U78" s="5" t="b">
        <v>1</v>
      </c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</row>
    <row r="79" spans="1:35" ht="18.75" customHeight="1">
      <c r="B79" s="5">
        <v>2300010003</v>
      </c>
      <c r="C79" s="7" t="s">
        <v>1378</v>
      </c>
      <c r="D79" s="10" t="s">
        <v>416</v>
      </c>
      <c r="E79" s="7">
        <v>2</v>
      </c>
      <c r="F79" s="6">
        <v>0</v>
      </c>
      <c r="G79" s="7">
        <v>3</v>
      </c>
      <c r="H79" s="7">
        <v>24</v>
      </c>
      <c r="I79" s="6">
        <v>0</v>
      </c>
      <c r="J79" s="7">
        <v>2</v>
      </c>
      <c r="K79" s="6">
        <v>100</v>
      </c>
      <c r="L79" s="7">
        <v>30</v>
      </c>
      <c r="M79" s="7">
        <v>0</v>
      </c>
      <c r="N79" s="7">
        <v>5</v>
      </c>
      <c r="O79" s="6" t="b">
        <v>0</v>
      </c>
      <c r="P79" s="6">
        <v>0</v>
      </c>
      <c r="Q79" s="6">
        <v>0</v>
      </c>
      <c r="R79" s="7">
        <v>3</v>
      </c>
      <c r="S79" s="5">
        <v>17</v>
      </c>
      <c r="T79" s="7">
        <v>3</v>
      </c>
      <c r="U79" s="5" t="b">
        <v>1</v>
      </c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</row>
    <row r="80" spans="1:35" ht="18.75" customHeight="1">
      <c r="B80" s="5">
        <v>2400010001</v>
      </c>
      <c r="C80" s="7" t="s">
        <v>368</v>
      </c>
      <c r="D80" s="10" t="s">
        <v>423</v>
      </c>
      <c r="E80" s="7">
        <v>2</v>
      </c>
      <c r="F80" s="7">
        <v>0</v>
      </c>
      <c r="G80" s="7">
        <v>1</v>
      </c>
      <c r="H80" s="7">
        <v>25</v>
      </c>
      <c r="I80" s="6">
        <v>0</v>
      </c>
      <c r="J80" s="7">
        <v>2</v>
      </c>
      <c r="K80" s="6">
        <v>40</v>
      </c>
      <c r="L80" s="7">
        <v>14</v>
      </c>
      <c r="M80" s="7">
        <v>2</v>
      </c>
      <c r="N80" s="7">
        <v>63</v>
      </c>
      <c r="O80" s="6" t="b">
        <v>0</v>
      </c>
      <c r="P80" s="6">
        <v>0</v>
      </c>
      <c r="Q80" s="6">
        <v>0</v>
      </c>
      <c r="R80" s="7">
        <v>1</v>
      </c>
      <c r="S80" s="5">
        <v>0</v>
      </c>
      <c r="T80" s="7">
        <v>0</v>
      </c>
      <c r="U80" s="5" t="b">
        <v>1</v>
      </c>
      <c r="V80" s="29"/>
      <c r="W80" s="29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</row>
    <row r="81" spans="1:46" ht="18.75" customHeight="1">
      <c r="B81" s="5">
        <v>2400010002</v>
      </c>
      <c r="C81" s="7" t="s">
        <v>1311</v>
      </c>
      <c r="D81" s="10" t="s">
        <v>423</v>
      </c>
      <c r="E81" s="7">
        <v>2</v>
      </c>
      <c r="F81" s="7">
        <v>0</v>
      </c>
      <c r="G81" s="7">
        <v>1</v>
      </c>
      <c r="H81" s="7">
        <v>25</v>
      </c>
      <c r="I81" s="6">
        <v>0</v>
      </c>
      <c r="J81" s="7">
        <v>2</v>
      </c>
      <c r="K81" s="6">
        <v>40</v>
      </c>
      <c r="L81" s="7">
        <v>14</v>
      </c>
      <c r="M81" s="7">
        <v>2</v>
      </c>
      <c r="N81" s="7">
        <v>63</v>
      </c>
      <c r="O81" s="6" t="b">
        <v>0</v>
      </c>
      <c r="P81" s="6">
        <v>0</v>
      </c>
      <c r="Q81" s="6">
        <v>0</v>
      </c>
      <c r="R81" s="7">
        <v>1</v>
      </c>
      <c r="S81" s="5">
        <v>0</v>
      </c>
      <c r="T81" s="7">
        <v>0</v>
      </c>
      <c r="U81" s="5" t="b">
        <v>1</v>
      </c>
      <c r="V81" s="29"/>
      <c r="W81" s="29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</row>
    <row r="82" spans="1:46" ht="18.75" customHeight="1">
      <c r="B82" s="5">
        <v>2400010003</v>
      </c>
      <c r="C82" s="7" t="s">
        <v>1379</v>
      </c>
      <c r="D82" s="10" t="s">
        <v>423</v>
      </c>
      <c r="E82" s="7">
        <v>2</v>
      </c>
      <c r="F82" s="7">
        <v>0</v>
      </c>
      <c r="G82" s="7">
        <v>1</v>
      </c>
      <c r="H82" s="7">
        <v>25</v>
      </c>
      <c r="I82" s="6">
        <v>0</v>
      </c>
      <c r="J82" s="7">
        <v>2</v>
      </c>
      <c r="K82" s="6">
        <v>40</v>
      </c>
      <c r="L82" s="7">
        <v>14</v>
      </c>
      <c r="M82" s="7">
        <v>2</v>
      </c>
      <c r="N82" s="7">
        <v>63</v>
      </c>
      <c r="O82" s="6" t="b">
        <v>0</v>
      </c>
      <c r="P82" s="6">
        <v>0</v>
      </c>
      <c r="Q82" s="6">
        <v>0</v>
      </c>
      <c r="R82" s="7">
        <v>1</v>
      </c>
      <c r="S82" s="5">
        <v>0</v>
      </c>
      <c r="T82" s="7">
        <v>0</v>
      </c>
      <c r="U82" s="5" t="b">
        <v>1</v>
      </c>
      <c r="V82" s="29"/>
      <c r="W82" s="29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</row>
    <row r="83" spans="1:46" ht="18.75" customHeight="1">
      <c r="B83" s="5">
        <v>2500010001</v>
      </c>
      <c r="C83" s="7" t="s">
        <v>369</v>
      </c>
      <c r="D83" s="10" t="s">
        <v>424</v>
      </c>
      <c r="E83" s="7">
        <v>1</v>
      </c>
      <c r="F83" s="6">
        <v>1</v>
      </c>
      <c r="G83" s="7">
        <v>3</v>
      </c>
      <c r="H83" s="7">
        <v>6</v>
      </c>
      <c r="I83" s="6">
        <v>0</v>
      </c>
      <c r="J83" s="7">
        <v>1</v>
      </c>
      <c r="K83" s="6">
        <v>100</v>
      </c>
      <c r="L83" s="7">
        <v>1</v>
      </c>
      <c r="M83" s="7">
        <v>0</v>
      </c>
      <c r="N83" s="7">
        <v>60</v>
      </c>
      <c r="O83" s="6" t="b">
        <v>0</v>
      </c>
      <c r="P83" s="6">
        <v>0</v>
      </c>
      <c r="Q83" s="6">
        <v>0</v>
      </c>
      <c r="R83" s="7">
        <v>3</v>
      </c>
      <c r="S83" s="5">
        <v>2</v>
      </c>
      <c r="T83" s="7">
        <v>3</v>
      </c>
      <c r="U83" s="5" t="b">
        <v>1</v>
      </c>
      <c r="V83" s="29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</row>
    <row r="84" spans="1:46" ht="18.75" customHeight="1">
      <c r="B84" s="5">
        <v>2500010002</v>
      </c>
      <c r="C84" s="7" t="s">
        <v>1312</v>
      </c>
      <c r="D84" s="10" t="s">
        <v>424</v>
      </c>
      <c r="E84" s="7">
        <v>1</v>
      </c>
      <c r="F84" s="6">
        <v>1</v>
      </c>
      <c r="G84" s="7">
        <v>3</v>
      </c>
      <c r="H84" s="7">
        <v>6</v>
      </c>
      <c r="I84" s="6">
        <v>0</v>
      </c>
      <c r="J84" s="7">
        <v>1</v>
      </c>
      <c r="K84" s="6">
        <v>100</v>
      </c>
      <c r="L84" s="7">
        <v>1</v>
      </c>
      <c r="M84" s="7">
        <v>0</v>
      </c>
      <c r="N84" s="7">
        <v>60</v>
      </c>
      <c r="O84" s="6" t="b">
        <v>0</v>
      </c>
      <c r="P84" s="6">
        <v>0</v>
      </c>
      <c r="Q84" s="6">
        <v>0</v>
      </c>
      <c r="R84" s="7">
        <v>3</v>
      </c>
      <c r="S84" s="5">
        <v>2</v>
      </c>
      <c r="T84" s="7">
        <v>3</v>
      </c>
      <c r="U84" s="5" t="b">
        <v>1</v>
      </c>
      <c r="V84" s="29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</row>
    <row r="85" spans="1:46" ht="18.75" customHeight="1">
      <c r="A85" s="8"/>
      <c r="B85" s="5">
        <v>2500010003</v>
      </c>
      <c r="C85" s="7" t="s">
        <v>1380</v>
      </c>
      <c r="D85" s="10" t="s">
        <v>424</v>
      </c>
      <c r="E85" s="7">
        <v>1</v>
      </c>
      <c r="F85" s="6">
        <v>1</v>
      </c>
      <c r="G85" s="7">
        <v>3</v>
      </c>
      <c r="H85" s="7">
        <v>6</v>
      </c>
      <c r="I85" s="6">
        <v>0</v>
      </c>
      <c r="J85" s="7">
        <v>1</v>
      </c>
      <c r="K85" s="6">
        <v>100</v>
      </c>
      <c r="L85" s="7">
        <v>1</v>
      </c>
      <c r="M85" s="7">
        <v>0</v>
      </c>
      <c r="N85" s="7">
        <v>60</v>
      </c>
      <c r="O85" s="6" t="b">
        <v>0</v>
      </c>
      <c r="P85" s="6">
        <v>0</v>
      </c>
      <c r="Q85" s="6">
        <v>0</v>
      </c>
      <c r="R85" s="7">
        <v>3</v>
      </c>
      <c r="S85" s="5">
        <v>2</v>
      </c>
      <c r="T85" s="7">
        <v>3</v>
      </c>
      <c r="U85" s="5" t="b">
        <v>1</v>
      </c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</row>
    <row r="86" spans="1:46" ht="18.75" customHeight="1">
      <c r="A86" s="8"/>
      <c r="B86" s="7">
        <v>2600010001</v>
      </c>
      <c r="C86" s="7" t="s">
        <v>370</v>
      </c>
      <c r="D86" s="10" t="s">
        <v>425</v>
      </c>
      <c r="E86" s="6">
        <v>2</v>
      </c>
      <c r="F86" s="7">
        <v>0</v>
      </c>
      <c r="G86" s="6">
        <v>3</v>
      </c>
      <c r="H86" s="6">
        <v>24</v>
      </c>
      <c r="I86" s="6">
        <v>0</v>
      </c>
      <c r="J86" s="6">
        <v>2</v>
      </c>
      <c r="K86" s="6">
        <v>100</v>
      </c>
      <c r="L86" s="6">
        <v>1</v>
      </c>
      <c r="M86" s="6">
        <v>0</v>
      </c>
      <c r="N86" s="6">
        <v>10</v>
      </c>
      <c r="O86" s="6" t="b">
        <v>0</v>
      </c>
      <c r="P86" s="6">
        <v>0</v>
      </c>
      <c r="Q86" s="6">
        <v>0</v>
      </c>
      <c r="R86" s="5">
        <v>49</v>
      </c>
      <c r="S86" s="5">
        <v>1</v>
      </c>
      <c r="T86" s="5">
        <v>3</v>
      </c>
      <c r="U86" s="5" t="b">
        <v>1</v>
      </c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</row>
    <row r="87" spans="1:46" ht="18.75" customHeight="1">
      <c r="A87" s="8"/>
      <c r="B87" s="5">
        <v>2600010002</v>
      </c>
      <c r="C87" s="7" t="s">
        <v>1313</v>
      </c>
      <c r="D87" s="10" t="s">
        <v>425</v>
      </c>
      <c r="E87" s="6">
        <v>2</v>
      </c>
      <c r="F87" s="7">
        <v>0</v>
      </c>
      <c r="G87" s="6">
        <v>3</v>
      </c>
      <c r="H87" s="6">
        <v>24</v>
      </c>
      <c r="I87" s="6">
        <v>0</v>
      </c>
      <c r="J87" s="6">
        <v>2</v>
      </c>
      <c r="K87" s="6">
        <v>100</v>
      </c>
      <c r="L87" s="6">
        <v>1</v>
      </c>
      <c r="M87" s="6">
        <v>0</v>
      </c>
      <c r="N87" s="6">
        <v>10</v>
      </c>
      <c r="O87" s="6" t="b">
        <v>0</v>
      </c>
      <c r="P87" s="6">
        <v>0</v>
      </c>
      <c r="Q87" s="6">
        <v>0</v>
      </c>
      <c r="R87" s="5">
        <v>49</v>
      </c>
      <c r="S87" s="5">
        <v>1</v>
      </c>
      <c r="T87" s="5">
        <v>3</v>
      </c>
      <c r="U87" s="5" t="b">
        <v>1</v>
      </c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</row>
    <row r="88" spans="1:46" ht="18.75" customHeight="1">
      <c r="A88" s="8"/>
      <c r="B88" s="5">
        <v>2600010003</v>
      </c>
      <c r="C88" s="7" t="s">
        <v>1381</v>
      </c>
      <c r="D88" s="10" t="s">
        <v>425</v>
      </c>
      <c r="E88" s="6">
        <v>2</v>
      </c>
      <c r="F88" s="7">
        <v>0</v>
      </c>
      <c r="G88" s="6">
        <v>3</v>
      </c>
      <c r="H88" s="6">
        <v>24</v>
      </c>
      <c r="I88" s="6">
        <v>0</v>
      </c>
      <c r="J88" s="6">
        <v>2</v>
      </c>
      <c r="K88" s="6">
        <v>100</v>
      </c>
      <c r="L88" s="6">
        <v>1</v>
      </c>
      <c r="M88" s="6">
        <v>0</v>
      </c>
      <c r="N88" s="6">
        <v>10</v>
      </c>
      <c r="O88" s="6" t="b">
        <v>0</v>
      </c>
      <c r="P88" s="6">
        <v>0</v>
      </c>
      <c r="Q88" s="6">
        <v>0</v>
      </c>
      <c r="R88" s="5">
        <v>49</v>
      </c>
      <c r="S88" s="5">
        <v>1</v>
      </c>
      <c r="T88" s="5">
        <v>3</v>
      </c>
      <c r="U88" s="5" t="b">
        <v>1</v>
      </c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</row>
    <row r="89" spans="1:46" ht="18.75" customHeight="1">
      <c r="A89" s="8"/>
      <c r="B89" s="5">
        <v>2700010001</v>
      </c>
      <c r="C89" s="7" t="s">
        <v>371</v>
      </c>
      <c r="D89" s="10" t="s">
        <v>806</v>
      </c>
      <c r="E89" s="7">
        <v>3</v>
      </c>
      <c r="F89" s="6">
        <v>0</v>
      </c>
      <c r="G89" s="7">
        <v>2</v>
      </c>
      <c r="H89" s="7">
        <v>7</v>
      </c>
      <c r="I89" s="6">
        <v>0</v>
      </c>
      <c r="J89" s="7">
        <v>5</v>
      </c>
      <c r="K89" s="6">
        <v>100</v>
      </c>
      <c r="L89" s="7">
        <v>2</v>
      </c>
      <c r="M89" s="7">
        <v>4</v>
      </c>
      <c r="N89" s="7">
        <v>70</v>
      </c>
      <c r="O89" s="6" t="b">
        <v>0</v>
      </c>
      <c r="P89" s="6">
        <v>0</v>
      </c>
      <c r="Q89" s="6">
        <v>0</v>
      </c>
      <c r="R89" s="7">
        <v>49</v>
      </c>
      <c r="S89" s="5">
        <v>0</v>
      </c>
      <c r="T89" s="7">
        <v>0</v>
      </c>
      <c r="U89" s="5" t="b">
        <v>1</v>
      </c>
      <c r="V89" s="7">
        <v>3</v>
      </c>
      <c r="W89" s="7">
        <v>7</v>
      </c>
      <c r="X89" s="7">
        <v>3</v>
      </c>
      <c r="Y89" s="7">
        <v>100</v>
      </c>
      <c r="Z89" s="7">
        <v>2</v>
      </c>
      <c r="AA89" s="7">
        <v>0</v>
      </c>
      <c r="AB89" s="7">
        <v>50</v>
      </c>
      <c r="AC89" s="7" t="b">
        <v>0</v>
      </c>
      <c r="AD89" s="7">
        <v>0</v>
      </c>
      <c r="AE89" s="7">
        <v>0</v>
      </c>
      <c r="AF89" s="7">
        <v>3</v>
      </c>
      <c r="AG89" s="7">
        <v>7</v>
      </c>
      <c r="AH89" s="7">
        <v>3</v>
      </c>
      <c r="AI89" s="7" t="b">
        <v>1</v>
      </c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</row>
    <row r="90" spans="1:46" ht="18.75" customHeight="1">
      <c r="A90" s="8"/>
      <c r="B90" s="5">
        <v>2700010002</v>
      </c>
      <c r="C90" s="7" t="s">
        <v>1314</v>
      </c>
      <c r="D90" s="10" t="s">
        <v>806</v>
      </c>
      <c r="E90" s="7">
        <v>3</v>
      </c>
      <c r="F90" s="6">
        <v>0</v>
      </c>
      <c r="G90" s="7">
        <v>2</v>
      </c>
      <c r="H90" s="7">
        <v>7</v>
      </c>
      <c r="I90" s="6">
        <v>0</v>
      </c>
      <c r="J90" s="7">
        <v>5</v>
      </c>
      <c r="K90" s="6">
        <v>100</v>
      </c>
      <c r="L90" s="7">
        <v>2</v>
      </c>
      <c r="M90" s="7">
        <v>4</v>
      </c>
      <c r="N90" s="7">
        <v>70</v>
      </c>
      <c r="O90" s="6" t="b">
        <v>0</v>
      </c>
      <c r="P90" s="6">
        <v>0</v>
      </c>
      <c r="Q90" s="6">
        <v>0</v>
      </c>
      <c r="R90" s="7">
        <v>49</v>
      </c>
      <c r="S90" s="5">
        <v>0</v>
      </c>
      <c r="T90" s="7">
        <v>0</v>
      </c>
      <c r="U90" s="5" t="b">
        <v>1</v>
      </c>
      <c r="V90" s="7">
        <v>3</v>
      </c>
      <c r="W90" s="7">
        <v>7</v>
      </c>
      <c r="X90" s="7">
        <v>3</v>
      </c>
      <c r="Y90" s="7">
        <v>100</v>
      </c>
      <c r="Z90" s="7">
        <v>2</v>
      </c>
      <c r="AA90" s="7">
        <v>0</v>
      </c>
      <c r="AB90" s="7">
        <v>50</v>
      </c>
      <c r="AC90" s="7" t="b">
        <v>0</v>
      </c>
      <c r="AD90" s="7">
        <v>0</v>
      </c>
      <c r="AE90" s="7">
        <v>0</v>
      </c>
      <c r="AF90" s="7">
        <v>3</v>
      </c>
      <c r="AG90" s="7">
        <v>7</v>
      </c>
      <c r="AH90" s="7">
        <v>3</v>
      </c>
      <c r="AI90" s="7" t="b">
        <v>1</v>
      </c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</row>
    <row r="91" spans="1:46" ht="18.75" customHeight="1">
      <c r="A91" s="8"/>
      <c r="B91" s="5">
        <v>2700010003</v>
      </c>
      <c r="C91" s="7" t="s">
        <v>1382</v>
      </c>
      <c r="D91" s="10" t="s">
        <v>806</v>
      </c>
      <c r="E91" s="7">
        <v>3</v>
      </c>
      <c r="F91" s="6">
        <v>0</v>
      </c>
      <c r="G91" s="7">
        <v>2</v>
      </c>
      <c r="H91" s="7">
        <v>7</v>
      </c>
      <c r="I91" s="6">
        <v>0</v>
      </c>
      <c r="J91" s="7">
        <v>5</v>
      </c>
      <c r="K91" s="6">
        <v>100</v>
      </c>
      <c r="L91" s="7">
        <v>2</v>
      </c>
      <c r="M91" s="7">
        <v>4</v>
      </c>
      <c r="N91" s="7">
        <v>70</v>
      </c>
      <c r="O91" s="6" t="b">
        <v>0</v>
      </c>
      <c r="P91" s="6">
        <v>0</v>
      </c>
      <c r="Q91" s="6">
        <v>0</v>
      </c>
      <c r="R91" s="7">
        <v>49</v>
      </c>
      <c r="S91" s="5">
        <v>0</v>
      </c>
      <c r="T91" s="7">
        <v>0</v>
      </c>
      <c r="U91" s="5" t="b">
        <v>1</v>
      </c>
      <c r="V91" s="7">
        <v>3</v>
      </c>
      <c r="W91" s="7">
        <v>7</v>
      </c>
      <c r="X91" s="7">
        <v>3</v>
      </c>
      <c r="Y91" s="7">
        <v>100</v>
      </c>
      <c r="Z91" s="7">
        <v>2</v>
      </c>
      <c r="AA91" s="7">
        <v>0</v>
      </c>
      <c r="AB91" s="7">
        <v>50</v>
      </c>
      <c r="AC91" s="7" t="b">
        <v>0</v>
      </c>
      <c r="AD91" s="7">
        <v>0</v>
      </c>
      <c r="AE91" s="7">
        <v>0</v>
      </c>
      <c r="AF91" s="7">
        <v>3</v>
      </c>
      <c r="AG91" s="7">
        <v>7</v>
      </c>
      <c r="AH91" s="7">
        <v>3</v>
      </c>
      <c r="AI91" s="7" t="b">
        <v>1</v>
      </c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</row>
    <row r="92" spans="1:46" ht="18.75" customHeight="1">
      <c r="A92" s="8"/>
      <c r="B92" s="5">
        <v>2800010001</v>
      </c>
      <c r="C92" s="7" t="s">
        <v>372</v>
      </c>
      <c r="D92" s="10" t="s">
        <v>807</v>
      </c>
      <c r="E92" s="7">
        <v>2</v>
      </c>
      <c r="F92" s="7">
        <v>0</v>
      </c>
      <c r="G92" s="7">
        <v>2</v>
      </c>
      <c r="H92" s="7">
        <v>25</v>
      </c>
      <c r="I92" s="6">
        <v>0</v>
      </c>
      <c r="J92" s="7">
        <v>5</v>
      </c>
      <c r="K92" s="6">
        <v>50</v>
      </c>
      <c r="L92" s="7">
        <v>1</v>
      </c>
      <c r="M92" s="7">
        <v>4</v>
      </c>
      <c r="N92" s="7">
        <v>35</v>
      </c>
      <c r="O92" s="6" t="b">
        <v>0</v>
      </c>
      <c r="P92" s="6">
        <v>0</v>
      </c>
      <c r="Q92" s="6">
        <v>0</v>
      </c>
      <c r="R92" s="7">
        <v>49</v>
      </c>
      <c r="S92" s="5">
        <v>0</v>
      </c>
      <c r="T92" s="7">
        <v>0</v>
      </c>
      <c r="U92" s="5" t="b">
        <v>1</v>
      </c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</row>
    <row r="93" spans="1:46" ht="18.75" customHeight="1">
      <c r="A93" s="8"/>
      <c r="B93" s="5">
        <v>2800010002</v>
      </c>
      <c r="C93" s="7" t="s">
        <v>1315</v>
      </c>
      <c r="D93" s="10" t="s">
        <v>807</v>
      </c>
      <c r="E93" s="7">
        <v>2</v>
      </c>
      <c r="F93" s="7">
        <v>0</v>
      </c>
      <c r="G93" s="7">
        <v>2</v>
      </c>
      <c r="H93" s="7">
        <v>25</v>
      </c>
      <c r="I93" s="6">
        <v>0</v>
      </c>
      <c r="J93" s="7">
        <v>5</v>
      </c>
      <c r="K93" s="6">
        <v>50</v>
      </c>
      <c r="L93" s="7">
        <v>1</v>
      </c>
      <c r="M93" s="7">
        <v>4</v>
      </c>
      <c r="N93" s="7">
        <v>35</v>
      </c>
      <c r="O93" s="6" t="b">
        <v>0</v>
      </c>
      <c r="P93" s="6">
        <v>0</v>
      </c>
      <c r="Q93" s="6">
        <v>0</v>
      </c>
      <c r="R93" s="7">
        <v>49</v>
      </c>
      <c r="S93" s="5">
        <v>0</v>
      </c>
      <c r="T93" s="7">
        <v>0</v>
      </c>
      <c r="U93" s="5" t="b">
        <v>1</v>
      </c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</row>
    <row r="94" spans="1:46" ht="18.75" customHeight="1">
      <c r="A94" s="8"/>
      <c r="B94" s="5">
        <v>2800010003</v>
      </c>
      <c r="C94" s="7" t="s">
        <v>1383</v>
      </c>
      <c r="D94" s="10" t="s">
        <v>807</v>
      </c>
      <c r="E94" s="7">
        <v>2</v>
      </c>
      <c r="F94" s="7">
        <v>0</v>
      </c>
      <c r="G94" s="7">
        <v>2</v>
      </c>
      <c r="H94" s="7">
        <v>25</v>
      </c>
      <c r="I94" s="6">
        <v>0</v>
      </c>
      <c r="J94" s="7">
        <v>5</v>
      </c>
      <c r="K94" s="6">
        <v>50</v>
      </c>
      <c r="L94" s="7">
        <v>1</v>
      </c>
      <c r="M94" s="7">
        <v>4</v>
      </c>
      <c r="N94" s="7">
        <v>35</v>
      </c>
      <c r="O94" s="6" t="b">
        <v>0</v>
      </c>
      <c r="P94" s="6">
        <v>0</v>
      </c>
      <c r="Q94" s="6">
        <v>0</v>
      </c>
      <c r="R94" s="7">
        <v>49</v>
      </c>
      <c r="S94" s="5">
        <v>0</v>
      </c>
      <c r="T94" s="7">
        <v>0</v>
      </c>
      <c r="U94" s="5" t="b">
        <v>1</v>
      </c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</row>
    <row r="95" spans="1:46" ht="18.75" customHeight="1">
      <c r="A95" s="8"/>
      <c r="B95" s="7">
        <v>2900010001</v>
      </c>
      <c r="C95" s="7" t="s">
        <v>373</v>
      </c>
      <c r="D95" s="10" t="s">
        <v>426</v>
      </c>
      <c r="E95" s="7">
        <v>2</v>
      </c>
      <c r="F95" s="6">
        <v>0</v>
      </c>
      <c r="G95" s="7">
        <v>3</v>
      </c>
      <c r="H95" s="7">
        <v>25</v>
      </c>
      <c r="I95" s="6">
        <v>0</v>
      </c>
      <c r="J95" s="7">
        <v>2</v>
      </c>
      <c r="K95" s="6">
        <v>100</v>
      </c>
      <c r="L95" s="7">
        <v>1</v>
      </c>
      <c r="M95" s="7">
        <v>0</v>
      </c>
      <c r="N95" s="7">
        <v>22</v>
      </c>
      <c r="O95" s="6" t="b">
        <v>0</v>
      </c>
      <c r="P95" s="6">
        <v>0</v>
      </c>
      <c r="Q95" s="6">
        <v>0</v>
      </c>
      <c r="R95" s="7">
        <v>3</v>
      </c>
      <c r="S95" s="5">
        <v>5</v>
      </c>
      <c r="T95" s="7">
        <v>2</v>
      </c>
      <c r="U95" s="5" t="b">
        <v>1</v>
      </c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</row>
    <row r="96" spans="1:46" ht="18.75" customHeight="1">
      <c r="A96" s="8"/>
      <c r="B96" s="5">
        <v>2900010002</v>
      </c>
      <c r="C96" s="7" t="s">
        <v>1316</v>
      </c>
      <c r="D96" s="10" t="s">
        <v>426</v>
      </c>
      <c r="E96" s="7">
        <v>2</v>
      </c>
      <c r="F96" s="6">
        <v>0</v>
      </c>
      <c r="G96" s="7">
        <v>3</v>
      </c>
      <c r="H96" s="7">
        <v>25</v>
      </c>
      <c r="I96" s="6">
        <v>0</v>
      </c>
      <c r="J96" s="7">
        <v>2</v>
      </c>
      <c r="K96" s="6">
        <v>100</v>
      </c>
      <c r="L96" s="7">
        <v>1</v>
      </c>
      <c r="M96" s="7">
        <v>0</v>
      </c>
      <c r="N96" s="7">
        <v>22</v>
      </c>
      <c r="O96" s="6" t="b">
        <v>0</v>
      </c>
      <c r="P96" s="6">
        <v>0</v>
      </c>
      <c r="Q96" s="6">
        <v>0</v>
      </c>
      <c r="R96" s="7">
        <v>3</v>
      </c>
      <c r="S96" s="5">
        <v>5</v>
      </c>
      <c r="T96" s="7">
        <v>2</v>
      </c>
      <c r="U96" s="5" t="b">
        <v>1</v>
      </c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</row>
    <row r="97" spans="1:46" ht="18.75" customHeight="1">
      <c r="A97" s="8"/>
      <c r="B97" s="5">
        <v>2900010003</v>
      </c>
      <c r="C97" s="7" t="s">
        <v>1384</v>
      </c>
      <c r="D97" s="10" t="s">
        <v>426</v>
      </c>
      <c r="E97" s="7">
        <v>2</v>
      </c>
      <c r="F97" s="6">
        <v>0</v>
      </c>
      <c r="G97" s="7">
        <v>3</v>
      </c>
      <c r="H97" s="7">
        <v>25</v>
      </c>
      <c r="I97" s="6">
        <v>0</v>
      </c>
      <c r="J97" s="7">
        <v>2</v>
      </c>
      <c r="K97" s="6">
        <v>100</v>
      </c>
      <c r="L97" s="7">
        <v>1</v>
      </c>
      <c r="M97" s="7">
        <v>0</v>
      </c>
      <c r="N97" s="7">
        <v>22</v>
      </c>
      <c r="O97" s="6" t="b">
        <v>0</v>
      </c>
      <c r="P97" s="6">
        <v>0</v>
      </c>
      <c r="Q97" s="6">
        <v>0</v>
      </c>
      <c r="R97" s="7">
        <v>3</v>
      </c>
      <c r="S97" s="5">
        <v>5</v>
      </c>
      <c r="T97" s="7">
        <v>2</v>
      </c>
      <c r="U97" s="5" t="b">
        <v>1</v>
      </c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</row>
    <row r="98" spans="1:46" ht="18.75" customHeight="1">
      <c r="A98" s="8"/>
      <c r="B98" s="5">
        <v>3000010001</v>
      </c>
      <c r="C98" s="7" t="s">
        <v>374</v>
      </c>
      <c r="D98" s="10" t="s">
        <v>808</v>
      </c>
      <c r="E98" s="7">
        <v>2</v>
      </c>
      <c r="F98" s="7">
        <v>0</v>
      </c>
      <c r="G98" s="7">
        <v>3</v>
      </c>
      <c r="H98" s="7">
        <v>7</v>
      </c>
      <c r="I98" s="6">
        <v>0</v>
      </c>
      <c r="J98" s="7">
        <v>2</v>
      </c>
      <c r="K98" s="6">
        <v>100</v>
      </c>
      <c r="L98" s="7">
        <v>2</v>
      </c>
      <c r="M98" s="7">
        <v>2</v>
      </c>
      <c r="N98" s="7">
        <v>400</v>
      </c>
      <c r="O98" s="6" t="b">
        <v>0</v>
      </c>
      <c r="P98" s="6">
        <v>0</v>
      </c>
      <c r="Q98" s="6">
        <v>0</v>
      </c>
      <c r="R98" s="7">
        <v>3</v>
      </c>
      <c r="S98" s="5">
        <v>0</v>
      </c>
      <c r="T98" s="7">
        <v>4</v>
      </c>
      <c r="U98" s="5" t="b">
        <v>1</v>
      </c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</row>
    <row r="99" spans="1:46" ht="18.75" customHeight="1">
      <c r="A99" s="8"/>
      <c r="B99" s="5">
        <v>3000010002</v>
      </c>
      <c r="C99" s="7" t="s">
        <v>1317</v>
      </c>
      <c r="D99" s="10" t="s">
        <v>808</v>
      </c>
      <c r="E99" s="7">
        <v>2</v>
      </c>
      <c r="F99" s="7">
        <v>0</v>
      </c>
      <c r="G99" s="7">
        <v>3</v>
      </c>
      <c r="H99" s="7">
        <v>7</v>
      </c>
      <c r="I99" s="6">
        <v>0</v>
      </c>
      <c r="J99" s="7">
        <v>2</v>
      </c>
      <c r="K99" s="6">
        <v>100</v>
      </c>
      <c r="L99" s="7">
        <v>2</v>
      </c>
      <c r="M99" s="7">
        <v>2</v>
      </c>
      <c r="N99" s="7">
        <v>400</v>
      </c>
      <c r="O99" s="6" t="b">
        <v>0</v>
      </c>
      <c r="P99" s="6">
        <v>0</v>
      </c>
      <c r="Q99" s="6">
        <v>0</v>
      </c>
      <c r="R99" s="7">
        <v>3</v>
      </c>
      <c r="S99" s="5">
        <v>0</v>
      </c>
      <c r="T99" s="7">
        <v>4</v>
      </c>
      <c r="U99" s="5" t="b">
        <v>1</v>
      </c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</row>
    <row r="100" spans="1:46" ht="18.75" customHeight="1">
      <c r="A100" s="8"/>
      <c r="B100" s="5">
        <v>3000010003</v>
      </c>
      <c r="C100" s="7" t="s">
        <v>1385</v>
      </c>
      <c r="D100" s="10" t="s">
        <v>808</v>
      </c>
      <c r="E100" s="7">
        <v>2</v>
      </c>
      <c r="F100" s="7">
        <v>0</v>
      </c>
      <c r="G100" s="7">
        <v>3</v>
      </c>
      <c r="H100" s="7">
        <v>7</v>
      </c>
      <c r="I100" s="6">
        <v>0</v>
      </c>
      <c r="J100" s="7">
        <v>2</v>
      </c>
      <c r="K100" s="6">
        <v>100</v>
      </c>
      <c r="L100" s="7">
        <v>2</v>
      </c>
      <c r="M100" s="7">
        <v>2</v>
      </c>
      <c r="N100" s="7">
        <v>400</v>
      </c>
      <c r="O100" s="6" t="b">
        <v>0</v>
      </c>
      <c r="P100" s="6">
        <v>0</v>
      </c>
      <c r="Q100" s="6">
        <v>0</v>
      </c>
      <c r="R100" s="7">
        <v>3</v>
      </c>
      <c r="S100" s="5">
        <v>0</v>
      </c>
      <c r="T100" s="7">
        <v>4</v>
      </c>
      <c r="U100" s="5" t="b">
        <v>1</v>
      </c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</row>
    <row r="101" spans="1:46" ht="18.75" customHeight="1">
      <c r="A101" s="8"/>
      <c r="B101" s="5">
        <v>3100010001</v>
      </c>
      <c r="C101" s="7" t="s">
        <v>375</v>
      </c>
      <c r="D101" s="10" t="s">
        <v>809</v>
      </c>
      <c r="E101" s="6">
        <v>2</v>
      </c>
      <c r="F101" s="6">
        <v>0</v>
      </c>
      <c r="G101" s="6">
        <v>2</v>
      </c>
      <c r="H101" s="6">
        <v>21</v>
      </c>
      <c r="I101" s="6">
        <v>31</v>
      </c>
      <c r="J101" s="6">
        <v>5</v>
      </c>
      <c r="K101" s="6">
        <v>100</v>
      </c>
      <c r="L101" s="6">
        <v>22</v>
      </c>
      <c r="M101" s="6">
        <v>4</v>
      </c>
      <c r="N101" s="6">
        <v>100</v>
      </c>
      <c r="O101" s="6" t="b">
        <v>0</v>
      </c>
      <c r="P101" s="6">
        <v>0</v>
      </c>
      <c r="Q101" s="6">
        <v>0</v>
      </c>
      <c r="R101" s="5">
        <v>49</v>
      </c>
      <c r="S101" s="5">
        <v>0</v>
      </c>
      <c r="T101" s="5">
        <v>0</v>
      </c>
      <c r="U101" s="5" t="b">
        <v>1</v>
      </c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</row>
    <row r="102" spans="1:46" ht="18.75" customHeight="1">
      <c r="A102" s="8"/>
      <c r="B102" s="5">
        <v>3100010002</v>
      </c>
      <c r="C102" s="7" t="s">
        <v>1318</v>
      </c>
      <c r="D102" s="10" t="s">
        <v>809</v>
      </c>
      <c r="E102" s="6">
        <v>2</v>
      </c>
      <c r="F102" s="6">
        <v>0</v>
      </c>
      <c r="G102" s="6">
        <v>2</v>
      </c>
      <c r="H102" s="6">
        <v>21</v>
      </c>
      <c r="I102" s="6">
        <v>31</v>
      </c>
      <c r="J102" s="6">
        <v>5</v>
      </c>
      <c r="K102" s="6">
        <v>100</v>
      </c>
      <c r="L102" s="6">
        <v>22</v>
      </c>
      <c r="M102" s="6">
        <v>4</v>
      </c>
      <c r="N102" s="6">
        <v>100</v>
      </c>
      <c r="O102" s="6" t="b">
        <v>0</v>
      </c>
      <c r="P102" s="6">
        <v>0</v>
      </c>
      <c r="Q102" s="6">
        <v>0</v>
      </c>
      <c r="R102" s="5">
        <v>49</v>
      </c>
      <c r="S102" s="5">
        <v>0</v>
      </c>
      <c r="T102" s="5">
        <v>0</v>
      </c>
      <c r="U102" s="5" t="b">
        <v>1</v>
      </c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</row>
    <row r="103" spans="1:46" ht="18.75" customHeight="1">
      <c r="A103" s="8"/>
      <c r="B103" s="5">
        <v>3100010003</v>
      </c>
      <c r="C103" s="7" t="s">
        <v>1386</v>
      </c>
      <c r="D103" s="10" t="s">
        <v>809</v>
      </c>
      <c r="E103" s="6">
        <v>2</v>
      </c>
      <c r="F103" s="6">
        <v>0</v>
      </c>
      <c r="G103" s="6">
        <v>2</v>
      </c>
      <c r="H103" s="6">
        <v>21</v>
      </c>
      <c r="I103" s="6">
        <v>31</v>
      </c>
      <c r="J103" s="6">
        <v>5</v>
      </c>
      <c r="K103" s="6">
        <v>100</v>
      </c>
      <c r="L103" s="6">
        <v>22</v>
      </c>
      <c r="M103" s="6">
        <v>4</v>
      </c>
      <c r="N103" s="6">
        <v>100</v>
      </c>
      <c r="O103" s="6" t="b">
        <v>0</v>
      </c>
      <c r="P103" s="6">
        <v>0</v>
      </c>
      <c r="Q103" s="6">
        <v>0</v>
      </c>
      <c r="R103" s="5">
        <v>49</v>
      </c>
      <c r="S103" s="5">
        <v>0</v>
      </c>
      <c r="T103" s="5">
        <v>0</v>
      </c>
      <c r="U103" s="5" t="b">
        <v>1</v>
      </c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</row>
    <row r="104" spans="1:46" ht="18.75" customHeight="1">
      <c r="A104" s="8"/>
      <c r="B104" s="7">
        <v>3200010001</v>
      </c>
      <c r="C104" s="7" t="s">
        <v>376</v>
      </c>
      <c r="D104" s="10" t="s">
        <v>859</v>
      </c>
      <c r="E104" s="7">
        <v>2</v>
      </c>
      <c r="F104" s="7">
        <v>0</v>
      </c>
      <c r="G104" s="7">
        <v>3</v>
      </c>
      <c r="H104" s="7">
        <v>2</v>
      </c>
      <c r="I104" s="6">
        <v>0</v>
      </c>
      <c r="J104" s="7">
        <v>2</v>
      </c>
      <c r="K104" s="6">
        <v>100</v>
      </c>
      <c r="L104" s="7">
        <v>1</v>
      </c>
      <c r="M104" s="7">
        <v>0</v>
      </c>
      <c r="N104" s="7">
        <v>60</v>
      </c>
      <c r="O104" s="6" t="b">
        <v>0</v>
      </c>
      <c r="P104" s="6">
        <v>0</v>
      </c>
      <c r="Q104" s="6">
        <v>0</v>
      </c>
      <c r="R104" s="7">
        <v>3</v>
      </c>
      <c r="S104" s="5">
        <v>68</v>
      </c>
      <c r="T104" s="7">
        <v>-1</v>
      </c>
      <c r="U104" s="5" t="b">
        <v>0</v>
      </c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</row>
    <row r="105" spans="1:46" ht="18.75" customHeight="1">
      <c r="A105" s="8"/>
      <c r="B105" s="5">
        <v>3200010002</v>
      </c>
      <c r="C105" s="7" t="s">
        <v>1319</v>
      </c>
      <c r="D105" s="10" t="s">
        <v>859</v>
      </c>
      <c r="E105" s="7">
        <v>2</v>
      </c>
      <c r="F105" s="7">
        <v>0</v>
      </c>
      <c r="G105" s="7">
        <v>3</v>
      </c>
      <c r="H105" s="7">
        <v>2</v>
      </c>
      <c r="I105" s="6">
        <v>0</v>
      </c>
      <c r="J105" s="7">
        <v>2</v>
      </c>
      <c r="K105" s="6">
        <v>100</v>
      </c>
      <c r="L105" s="7">
        <v>1</v>
      </c>
      <c r="M105" s="7">
        <v>0</v>
      </c>
      <c r="N105" s="7">
        <v>60</v>
      </c>
      <c r="O105" s="6" t="b">
        <v>0</v>
      </c>
      <c r="P105" s="6">
        <v>0</v>
      </c>
      <c r="Q105" s="6">
        <v>0</v>
      </c>
      <c r="R105" s="7">
        <v>3</v>
      </c>
      <c r="S105" s="5">
        <v>68</v>
      </c>
      <c r="T105" s="7">
        <v>-1</v>
      </c>
      <c r="U105" s="5" t="b">
        <v>0</v>
      </c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</row>
    <row r="106" spans="1:46" ht="18.75" customHeight="1">
      <c r="A106" s="8"/>
      <c r="B106" s="5">
        <v>3200010003</v>
      </c>
      <c r="C106" s="7" t="s">
        <v>1387</v>
      </c>
      <c r="D106" s="10" t="s">
        <v>859</v>
      </c>
      <c r="E106" s="7">
        <v>2</v>
      </c>
      <c r="F106" s="7">
        <v>0</v>
      </c>
      <c r="G106" s="7">
        <v>3</v>
      </c>
      <c r="H106" s="7">
        <v>2</v>
      </c>
      <c r="I106" s="6">
        <v>0</v>
      </c>
      <c r="J106" s="7">
        <v>2</v>
      </c>
      <c r="K106" s="6">
        <v>100</v>
      </c>
      <c r="L106" s="7">
        <v>1</v>
      </c>
      <c r="M106" s="7">
        <v>0</v>
      </c>
      <c r="N106" s="7">
        <v>60</v>
      </c>
      <c r="O106" s="6" t="b">
        <v>0</v>
      </c>
      <c r="P106" s="6">
        <v>0</v>
      </c>
      <c r="Q106" s="6">
        <v>0</v>
      </c>
      <c r="R106" s="7">
        <v>3</v>
      </c>
      <c r="S106" s="5">
        <v>68</v>
      </c>
      <c r="T106" s="7">
        <v>-1</v>
      </c>
      <c r="U106" s="5" t="b">
        <v>0</v>
      </c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</row>
    <row r="107" spans="1:46" ht="18.75" customHeight="1">
      <c r="A107" s="8"/>
      <c r="B107" s="5">
        <v>3300010001</v>
      </c>
      <c r="C107" s="7" t="s">
        <v>377</v>
      </c>
      <c r="D107" s="10" t="s">
        <v>860</v>
      </c>
      <c r="E107" s="7">
        <v>2</v>
      </c>
      <c r="F107" s="6">
        <v>0</v>
      </c>
      <c r="G107" s="7">
        <v>3</v>
      </c>
      <c r="H107" s="7">
        <v>2</v>
      </c>
      <c r="I107" s="6">
        <v>0</v>
      </c>
      <c r="J107" s="7">
        <v>2</v>
      </c>
      <c r="K107" s="6">
        <v>100</v>
      </c>
      <c r="L107" s="7">
        <v>1</v>
      </c>
      <c r="M107" s="7">
        <v>0</v>
      </c>
      <c r="N107" s="7">
        <v>56</v>
      </c>
      <c r="O107" s="6" t="b">
        <v>0</v>
      </c>
      <c r="P107" s="6">
        <v>0</v>
      </c>
      <c r="Q107" s="6">
        <v>0</v>
      </c>
      <c r="R107" s="7">
        <v>3</v>
      </c>
      <c r="S107" s="5">
        <v>42</v>
      </c>
      <c r="T107" s="7">
        <v>-1</v>
      </c>
      <c r="U107" s="5" t="b">
        <v>0</v>
      </c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</row>
    <row r="108" spans="1:46" ht="18.75" customHeight="1">
      <c r="A108" s="8"/>
      <c r="B108" s="5">
        <v>3300010002</v>
      </c>
      <c r="C108" s="7" t="s">
        <v>1320</v>
      </c>
      <c r="D108" s="10" t="s">
        <v>860</v>
      </c>
      <c r="E108" s="7">
        <v>2</v>
      </c>
      <c r="F108" s="6">
        <v>0</v>
      </c>
      <c r="G108" s="7">
        <v>3</v>
      </c>
      <c r="H108" s="7">
        <v>2</v>
      </c>
      <c r="I108" s="6">
        <v>0</v>
      </c>
      <c r="J108" s="7">
        <v>2</v>
      </c>
      <c r="K108" s="6">
        <v>100</v>
      </c>
      <c r="L108" s="7">
        <v>1</v>
      </c>
      <c r="M108" s="7">
        <v>0</v>
      </c>
      <c r="N108" s="7">
        <v>56</v>
      </c>
      <c r="O108" s="6" t="b">
        <v>0</v>
      </c>
      <c r="P108" s="6">
        <v>0</v>
      </c>
      <c r="Q108" s="6">
        <v>0</v>
      </c>
      <c r="R108" s="7">
        <v>3</v>
      </c>
      <c r="S108" s="5">
        <v>42</v>
      </c>
      <c r="T108" s="7">
        <v>-1</v>
      </c>
      <c r="U108" s="5" t="b">
        <v>0</v>
      </c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</row>
    <row r="109" spans="1:46" ht="18.75" customHeight="1">
      <c r="A109" s="8"/>
      <c r="B109" s="5">
        <v>3300010003</v>
      </c>
      <c r="C109" s="7" t="s">
        <v>1388</v>
      </c>
      <c r="D109" s="10" t="s">
        <v>860</v>
      </c>
      <c r="E109" s="7">
        <v>2</v>
      </c>
      <c r="F109" s="6">
        <v>0</v>
      </c>
      <c r="G109" s="7">
        <v>3</v>
      </c>
      <c r="H109" s="7">
        <v>2</v>
      </c>
      <c r="I109" s="6">
        <v>0</v>
      </c>
      <c r="J109" s="7">
        <v>2</v>
      </c>
      <c r="K109" s="6">
        <v>100</v>
      </c>
      <c r="L109" s="7">
        <v>1</v>
      </c>
      <c r="M109" s="7">
        <v>0</v>
      </c>
      <c r="N109" s="7">
        <v>56</v>
      </c>
      <c r="O109" s="6" t="b">
        <v>0</v>
      </c>
      <c r="P109" s="6">
        <v>0</v>
      </c>
      <c r="Q109" s="6">
        <v>0</v>
      </c>
      <c r="R109" s="7">
        <v>3</v>
      </c>
      <c r="S109" s="5">
        <v>42</v>
      </c>
      <c r="T109" s="7">
        <v>-1</v>
      </c>
      <c r="U109" s="5" t="b">
        <v>0</v>
      </c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</row>
    <row r="110" spans="1:46" ht="18.75" customHeight="1">
      <c r="A110" s="8"/>
      <c r="B110" s="5">
        <v>3400010001</v>
      </c>
      <c r="C110" s="7" t="s">
        <v>378</v>
      </c>
      <c r="D110" s="10" t="s">
        <v>870</v>
      </c>
      <c r="E110" s="7">
        <v>1</v>
      </c>
      <c r="F110" s="7">
        <v>1</v>
      </c>
      <c r="G110" s="7">
        <v>3</v>
      </c>
      <c r="H110" s="7">
        <v>6</v>
      </c>
      <c r="I110" s="6">
        <v>0</v>
      </c>
      <c r="J110" s="7">
        <v>1</v>
      </c>
      <c r="K110" s="6">
        <v>100</v>
      </c>
      <c r="L110" s="7">
        <v>1</v>
      </c>
      <c r="M110" s="7">
        <v>4</v>
      </c>
      <c r="N110" s="7">
        <v>240</v>
      </c>
      <c r="O110" s="6" t="b">
        <v>0</v>
      </c>
      <c r="P110" s="6">
        <v>0</v>
      </c>
      <c r="Q110" s="6">
        <v>0</v>
      </c>
      <c r="R110" s="7">
        <v>49</v>
      </c>
      <c r="S110" s="5">
        <v>66</v>
      </c>
      <c r="T110" s="7">
        <v>3</v>
      </c>
      <c r="U110" s="5" t="b">
        <v>1</v>
      </c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</row>
    <row r="111" spans="1:46" ht="18.75" customHeight="1">
      <c r="A111" s="8"/>
      <c r="B111" s="5">
        <v>3400010002</v>
      </c>
      <c r="C111" s="7" t="s">
        <v>1321</v>
      </c>
      <c r="D111" s="10" t="s">
        <v>870</v>
      </c>
      <c r="E111" s="7">
        <v>1</v>
      </c>
      <c r="F111" s="7">
        <v>1</v>
      </c>
      <c r="G111" s="7">
        <v>3</v>
      </c>
      <c r="H111" s="7">
        <v>6</v>
      </c>
      <c r="I111" s="6">
        <v>0</v>
      </c>
      <c r="J111" s="7">
        <v>1</v>
      </c>
      <c r="K111" s="6">
        <v>100</v>
      </c>
      <c r="L111" s="7">
        <v>1</v>
      </c>
      <c r="M111" s="7">
        <v>4</v>
      </c>
      <c r="N111" s="7">
        <v>240</v>
      </c>
      <c r="O111" s="6" t="b">
        <v>0</v>
      </c>
      <c r="P111" s="6">
        <v>0</v>
      </c>
      <c r="Q111" s="6">
        <v>0</v>
      </c>
      <c r="R111" s="7">
        <v>49</v>
      </c>
      <c r="S111" s="5">
        <v>66</v>
      </c>
      <c r="T111" s="7">
        <v>3</v>
      </c>
      <c r="U111" s="5" t="b">
        <v>1</v>
      </c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</row>
    <row r="112" spans="1:46" ht="18.75" customHeight="1">
      <c r="A112" s="8"/>
      <c r="B112" s="5">
        <v>3400010003</v>
      </c>
      <c r="C112" s="7" t="s">
        <v>1389</v>
      </c>
      <c r="D112" s="10" t="s">
        <v>870</v>
      </c>
      <c r="E112" s="7">
        <v>1</v>
      </c>
      <c r="F112" s="7">
        <v>1</v>
      </c>
      <c r="G112" s="7">
        <v>3</v>
      </c>
      <c r="H112" s="7">
        <v>6</v>
      </c>
      <c r="I112" s="6">
        <v>0</v>
      </c>
      <c r="J112" s="7">
        <v>1</v>
      </c>
      <c r="K112" s="6">
        <v>100</v>
      </c>
      <c r="L112" s="7">
        <v>1</v>
      </c>
      <c r="M112" s="7">
        <v>4</v>
      </c>
      <c r="N112" s="7">
        <v>240</v>
      </c>
      <c r="O112" s="6" t="b">
        <v>0</v>
      </c>
      <c r="P112" s="6">
        <v>0</v>
      </c>
      <c r="Q112" s="6">
        <v>0</v>
      </c>
      <c r="R112" s="7">
        <v>49</v>
      </c>
      <c r="S112" s="5">
        <v>66</v>
      </c>
      <c r="T112" s="7">
        <v>3</v>
      </c>
      <c r="U112" s="5" t="b">
        <v>1</v>
      </c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</row>
    <row r="113" spans="1:46" ht="18.75" customHeight="1">
      <c r="A113" s="8"/>
      <c r="B113" s="7">
        <v>3500010001</v>
      </c>
      <c r="C113" s="7" t="s">
        <v>379</v>
      </c>
      <c r="D113" s="10" t="s">
        <v>810</v>
      </c>
      <c r="E113" s="7">
        <v>2</v>
      </c>
      <c r="F113" s="6">
        <v>0</v>
      </c>
      <c r="G113" s="7">
        <v>3</v>
      </c>
      <c r="H113" s="7">
        <v>18</v>
      </c>
      <c r="I113" s="6">
        <v>0</v>
      </c>
      <c r="J113" s="7">
        <v>2</v>
      </c>
      <c r="K113" s="6">
        <v>100</v>
      </c>
      <c r="L113" s="7">
        <v>1</v>
      </c>
      <c r="M113" s="7">
        <v>0</v>
      </c>
      <c r="N113" s="7">
        <v>10</v>
      </c>
      <c r="O113" s="6" t="b">
        <v>0</v>
      </c>
      <c r="P113" s="6">
        <v>0</v>
      </c>
      <c r="Q113" s="6">
        <v>0</v>
      </c>
      <c r="R113" s="7">
        <v>3</v>
      </c>
      <c r="S113" s="5">
        <v>11</v>
      </c>
      <c r="T113" s="7">
        <v>1</v>
      </c>
      <c r="U113" s="5" t="b">
        <v>1</v>
      </c>
      <c r="V113" s="7">
        <v>2</v>
      </c>
      <c r="W113" s="7">
        <v>18</v>
      </c>
      <c r="X113" s="7">
        <v>5</v>
      </c>
      <c r="Y113" s="7">
        <v>100</v>
      </c>
      <c r="Z113" s="7">
        <v>1</v>
      </c>
      <c r="AA113" s="7">
        <v>4</v>
      </c>
      <c r="AB113" s="7">
        <v>100</v>
      </c>
      <c r="AC113" s="7" t="b">
        <v>0</v>
      </c>
      <c r="AD113" s="7">
        <v>0</v>
      </c>
      <c r="AE113" s="7">
        <v>0</v>
      </c>
      <c r="AF113" s="7">
        <v>2</v>
      </c>
      <c r="AG113" s="7">
        <v>0</v>
      </c>
      <c r="AH113" s="7">
        <v>0</v>
      </c>
      <c r="AI113" s="7" t="b">
        <v>1</v>
      </c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</row>
    <row r="114" spans="1:46" ht="18.75" customHeight="1">
      <c r="A114" s="8"/>
      <c r="B114" s="5">
        <v>3500010002</v>
      </c>
      <c r="C114" s="7" t="s">
        <v>1322</v>
      </c>
      <c r="D114" s="10" t="s">
        <v>810</v>
      </c>
      <c r="E114" s="7">
        <v>2</v>
      </c>
      <c r="F114" s="6">
        <v>0</v>
      </c>
      <c r="G114" s="7">
        <v>3</v>
      </c>
      <c r="H114" s="7">
        <v>18</v>
      </c>
      <c r="I114" s="6">
        <v>0</v>
      </c>
      <c r="J114" s="7">
        <v>2</v>
      </c>
      <c r="K114" s="6">
        <v>100</v>
      </c>
      <c r="L114" s="7">
        <v>1</v>
      </c>
      <c r="M114" s="7">
        <v>0</v>
      </c>
      <c r="N114" s="7">
        <v>10</v>
      </c>
      <c r="O114" s="6" t="b">
        <v>0</v>
      </c>
      <c r="P114" s="6">
        <v>0</v>
      </c>
      <c r="Q114" s="6">
        <v>0</v>
      </c>
      <c r="R114" s="7">
        <v>3</v>
      </c>
      <c r="S114" s="5">
        <v>11</v>
      </c>
      <c r="T114" s="7">
        <v>1</v>
      </c>
      <c r="U114" s="5" t="b">
        <v>1</v>
      </c>
      <c r="V114" s="7">
        <v>2</v>
      </c>
      <c r="W114" s="7">
        <v>18</v>
      </c>
      <c r="X114" s="7">
        <v>5</v>
      </c>
      <c r="Y114" s="7">
        <v>100</v>
      </c>
      <c r="Z114" s="7">
        <v>1</v>
      </c>
      <c r="AA114" s="7">
        <v>4</v>
      </c>
      <c r="AB114" s="7">
        <v>100</v>
      </c>
      <c r="AC114" s="7" t="b">
        <v>0</v>
      </c>
      <c r="AD114" s="7">
        <v>0</v>
      </c>
      <c r="AE114" s="7">
        <v>0</v>
      </c>
      <c r="AF114" s="7">
        <v>2</v>
      </c>
      <c r="AG114" s="7">
        <v>0</v>
      </c>
      <c r="AH114" s="7">
        <v>0</v>
      </c>
      <c r="AI114" s="7" t="b">
        <v>1</v>
      </c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</row>
    <row r="115" spans="1:46" ht="18.75" customHeight="1">
      <c r="A115" s="8"/>
      <c r="B115" s="5">
        <v>3500010003</v>
      </c>
      <c r="C115" s="7" t="s">
        <v>1390</v>
      </c>
      <c r="D115" s="10" t="s">
        <v>810</v>
      </c>
      <c r="E115" s="7">
        <v>2</v>
      </c>
      <c r="F115" s="6">
        <v>0</v>
      </c>
      <c r="G115" s="7">
        <v>3</v>
      </c>
      <c r="H115" s="7">
        <v>18</v>
      </c>
      <c r="I115" s="6">
        <v>0</v>
      </c>
      <c r="J115" s="7">
        <v>2</v>
      </c>
      <c r="K115" s="6">
        <v>100</v>
      </c>
      <c r="L115" s="7">
        <v>1</v>
      </c>
      <c r="M115" s="7">
        <v>0</v>
      </c>
      <c r="N115" s="7">
        <v>10</v>
      </c>
      <c r="O115" s="6" t="b">
        <v>0</v>
      </c>
      <c r="P115" s="6">
        <v>0</v>
      </c>
      <c r="Q115" s="6">
        <v>0</v>
      </c>
      <c r="R115" s="7">
        <v>3</v>
      </c>
      <c r="S115" s="5">
        <v>11</v>
      </c>
      <c r="T115" s="7">
        <v>1</v>
      </c>
      <c r="U115" s="5" t="b">
        <v>1</v>
      </c>
      <c r="V115" s="7">
        <v>2</v>
      </c>
      <c r="W115" s="7">
        <v>18</v>
      </c>
      <c r="X115" s="7">
        <v>5</v>
      </c>
      <c r="Y115" s="7">
        <v>100</v>
      </c>
      <c r="Z115" s="7">
        <v>1</v>
      </c>
      <c r="AA115" s="7">
        <v>4</v>
      </c>
      <c r="AB115" s="7">
        <v>100</v>
      </c>
      <c r="AC115" s="7" t="b">
        <v>0</v>
      </c>
      <c r="AD115" s="7">
        <v>0</v>
      </c>
      <c r="AE115" s="7">
        <v>0</v>
      </c>
      <c r="AF115" s="7">
        <v>2</v>
      </c>
      <c r="AG115" s="7">
        <v>0</v>
      </c>
      <c r="AH115" s="7">
        <v>0</v>
      </c>
      <c r="AI115" s="7" t="b">
        <v>1</v>
      </c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</row>
    <row r="116" spans="1:46" ht="18.75" customHeight="1">
      <c r="A116" s="8"/>
      <c r="B116" s="5">
        <v>3600010001</v>
      </c>
      <c r="C116" s="7" t="s">
        <v>380</v>
      </c>
      <c r="D116" s="10" t="s">
        <v>861</v>
      </c>
      <c r="E116" s="6">
        <v>2</v>
      </c>
      <c r="F116" s="7">
        <v>0</v>
      </c>
      <c r="G116" s="6">
        <v>3</v>
      </c>
      <c r="H116" s="6">
        <v>2</v>
      </c>
      <c r="I116" s="6">
        <v>0</v>
      </c>
      <c r="J116" s="6">
        <v>2</v>
      </c>
      <c r="K116" s="6">
        <v>100</v>
      </c>
      <c r="L116" s="6">
        <v>1</v>
      </c>
      <c r="M116" s="6">
        <v>0</v>
      </c>
      <c r="N116" s="6">
        <v>80</v>
      </c>
      <c r="O116" s="6" t="b">
        <v>0</v>
      </c>
      <c r="P116" s="6">
        <v>0</v>
      </c>
      <c r="Q116" s="6">
        <v>0</v>
      </c>
      <c r="R116" s="5">
        <v>3</v>
      </c>
      <c r="S116" s="5">
        <v>44</v>
      </c>
      <c r="T116" s="5">
        <v>-1</v>
      </c>
      <c r="U116" s="5" t="b">
        <v>0</v>
      </c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</row>
    <row r="117" spans="1:46" ht="18.75" customHeight="1">
      <c r="A117" s="8"/>
      <c r="B117" s="5">
        <v>3600010002</v>
      </c>
      <c r="C117" s="7" t="s">
        <v>1323</v>
      </c>
      <c r="D117" s="10" t="s">
        <v>861</v>
      </c>
      <c r="E117" s="6">
        <v>2</v>
      </c>
      <c r="F117" s="7">
        <v>0</v>
      </c>
      <c r="G117" s="6">
        <v>3</v>
      </c>
      <c r="H117" s="6">
        <v>2</v>
      </c>
      <c r="I117" s="6">
        <v>0</v>
      </c>
      <c r="J117" s="6">
        <v>2</v>
      </c>
      <c r="K117" s="6">
        <v>100</v>
      </c>
      <c r="L117" s="6">
        <v>1</v>
      </c>
      <c r="M117" s="6">
        <v>0</v>
      </c>
      <c r="N117" s="6">
        <v>80</v>
      </c>
      <c r="O117" s="6" t="b">
        <v>0</v>
      </c>
      <c r="P117" s="6">
        <v>0</v>
      </c>
      <c r="Q117" s="6">
        <v>0</v>
      </c>
      <c r="R117" s="5">
        <v>3</v>
      </c>
      <c r="S117" s="5">
        <v>44</v>
      </c>
      <c r="T117" s="5">
        <v>-1</v>
      </c>
      <c r="U117" s="5" t="b">
        <v>0</v>
      </c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</row>
    <row r="118" spans="1:46" ht="18.75" customHeight="1">
      <c r="A118" s="8"/>
      <c r="B118" s="5">
        <v>3600010003</v>
      </c>
      <c r="C118" s="7" t="s">
        <v>1391</v>
      </c>
      <c r="D118" s="10" t="s">
        <v>861</v>
      </c>
      <c r="E118" s="6">
        <v>2</v>
      </c>
      <c r="F118" s="7">
        <v>0</v>
      </c>
      <c r="G118" s="6">
        <v>3</v>
      </c>
      <c r="H118" s="6">
        <v>2</v>
      </c>
      <c r="I118" s="6">
        <v>0</v>
      </c>
      <c r="J118" s="6">
        <v>2</v>
      </c>
      <c r="K118" s="6">
        <v>100</v>
      </c>
      <c r="L118" s="6">
        <v>1</v>
      </c>
      <c r="M118" s="6">
        <v>0</v>
      </c>
      <c r="N118" s="6">
        <v>80</v>
      </c>
      <c r="O118" s="6" t="b">
        <v>0</v>
      </c>
      <c r="P118" s="6">
        <v>0</v>
      </c>
      <c r="Q118" s="6">
        <v>0</v>
      </c>
      <c r="R118" s="5">
        <v>3</v>
      </c>
      <c r="S118" s="5">
        <v>44</v>
      </c>
      <c r="T118" s="5">
        <v>-1</v>
      </c>
      <c r="U118" s="5" t="b">
        <v>0</v>
      </c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</row>
    <row r="119" spans="1:46" ht="18.75" customHeight="1">
      <c r="A119" s="8"/>
      <c r="B119" s="5">
        <v>3700010001</v>
      </c>
      <c r="C119" s="7" t="s">
        <v>381</v>
      </c>
      <c r="D119" s="10" t="s">
        <v>517</v>
      </c>
      <c r="E119" s="7">
        <v>1</v>
      </c>
      <c r="F119" s="6">
        <v>1</v>
      </c>
      <c r="G119" s="7">
        <v>3</v>
      </c>
      <c r="H119" s="7">
        <v>6</v>
      </c>
      <c r="I119" s="6">
        <v>0</v>
      </c>
      <c r="J119" s="7">
        <v>2</v>
      </c>
      <c r="K119" s="6">
        <v>100</v>
      </c>
      <c r="L119" s="7">
        <v>39</v>
      </c>
      <c r="M119" s="7">
        <v>2</v>
      </c>
      <c r="N119" s="7">
        <v>100</v>
      </c>
      <c r="O119" s="6" t="b">
        <v>0</v>
      </c>
      <c r="P119" s="6">
        <v>0</v>
      </c>
      <c r="Q119" s="6">
        <v>0</v>
      </c>
      <c r="R119" s="7">
        <v>1</v>
      </c>
      <c r="S119" s="5">
        <v>64</v>
      </c>
      <c r="T119" s="7">
        <v>4</v>
      </c>
      <c r="U119" s="5" t="b">
        <v>1</v>
      </c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</row>
    <row r="120" spans="1:46" ht="18.75" customHeight="1">
      <c r="A120" s="8"/>
      <c r="B120" s="5">
        <v>3700010002</v>
      </c>
      <c r="C120" s="7" t="s">
        <v>1324</v>
      </c>
      <c r="D120" s="10" t="s">
        <v>517</v>
      </c>
      <c r="E120" s="7">
        <v>1</v>
      </c>
      <c r="F120" s="6">
        <v>1</v>
      </c>
      <c r="G120" s="7">
        <v>3</v>
      </c>
      <c r="H120" s="7">
        <v>6</v>
      </c>
      <c r="I120" s="6">
        <v>0</v>
      </c>
      <c r="J120" s="7">
        <v>2</v>
      </c>
      <c r="K120" s="6">
        <v>100</v>
      </c>
      <c r="L120" s="7">
        <v>39</v>
      </c>
      <c r="M120" s="7">
        <v>2</v>
      </c>
      <c r="N120" s="7">
        <v>100</v>
      </c>
      <c r="O120" s="6" t="b">
        <v>0</v>
      </c>
      <c r="P120" s="6">
        <v>0</v>
      </c>
      <c r="Q120" s="6">
        <v>0</v>
      </c>
      <c r="R120" s="7">
        <v>1</v>
      </c>
      <c r="S120" s="5">
        <v>64</v>
      </c>
      <c r="T120" s="7">
        <v>4</v>
      </c>
      <c r="U120" s="5" t="b">
        <v>1</v>
      </c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</row>
    <row r="121" spans="1:46" ht="53.25" customHeight="1">
      <c r="A121" s="8"/>
      <c r="B121" s="5">
        <v>3700010003</v>
      </c>
      <c r="C121" s="7" t="s">
        <v>1392</v>
      </c>
      <c r="D121" s="10" t="s">
        <v>517</v>
      </c>
      <c r="E121" s="7">
        <v>1</v>
      </c>
      <c r="F121" s="6">
        <v>1</v>
      </c>
      <c r="G121" s="7">
        <v>3</v>
      </c>
      <c r="H121" s="7">
        <v>6</v>
      </c>
      <c r="I121" s="6">
        <v>0</v>
      </c>
      <c r="J121" s="7">
        <v>2</v>
      </c>
      <c r="K121" s="6">
        <v>100</v>
      </c>
      <c r="L121" s="7">
        <v>39</v>
      </c>
      <c r="M121" s="7">
        <v>2</v>
      </c>
      <c r="N121" s="7">
        <v>100</v>
      </c>
      <c r="O121" s="6" t="b">
        <v>0</v>
      </c>
      <c r="P121" s="6">
        <v>0</v>
      </c>
      <c r="Q121" s="6">
        <v>0</v>
      </c>
      <c r="R121" s="7">
        <v>1</v>
      </c>
      <c r="S121" s="5">
        <v>64</v>
      </c>
      <c r="T121" s="7">
        <v>4</v>
      </c>
      <c r="U121" s="5" t="b">
        <v>1</v>
      </c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</row>
    <row r="122" spans="1:46" ht="36" customHeight="1">
      <c r="A122" s="8"/>
      <c r="B122" s="7">
        <v>3800010001</v>
      </c>
      <c r="C122" s="7" t="s">
        <v>382</v>
      </c>
      <c r="D122" s="10" t="s">
        <v>811</v>
      </c>
      <c r="E122" s="7">
        <v>2</v>
      </c>
      <c r="F122" s="7">
        <v>0</v>
      </c>
      <c r="G122" s="7">
        <v>2</v>
      </c>
      <c r="H122" s="7">
        <v>27</v>
      </c>
      <c r="I122" s="6">
        <v>0</v>
      </c>
      <c r="J122" s="7">
        <v>5</v>
      </c>
      <c r="K122" s="6">
        <v>100</v>
      </c>
      <c r="L122" s="7">
        <v>1</v>
      </c>
      <c r="M122" s="7">
        <v>4</v>
      </c>
      <c r="N122" s="7">
        <v>45</v>
      </c>
      <c r="O122" s="6" t="b">
        <v>0</v>
      </c>
      <c r="P122" s="6">
        <v>0</v>
      </c>
      <c r="Q122" s="6">
        <v>0</v>
      </c>
      <c r="R122" s="7">
        <v>49</v>
      </c>
      <c r="S122" s="5">
        <v>0</v>
      </c>
      <c r="T122" s="7">
        <v>0</v>
      </c>
      <c r="U122" s="5" t="b">
        <v>1</v>
      </c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</row>
    <row r="123" spans="1:46" ht="18.75" customHeight="1">
      <c r="B123" s="5">
        <v>3800010002</v>
      </c>
      <c r="C123" s="7" t="s">
        <v>1325</v>
      </c>
      <c r="D123" s="10" t="s">
        <v>811</v>
      </c>
      <c r="E123" s="7">
        <v>2</v>
      </c>
      <c r="F123" s="7">
        <v>0</v>
      </c>
      <c r="G123" s="7">
        <v>2</v>
      </c>
      <c r="H123" s="7">
        <v>27</v>
      </c>
      <c r="I123" s="6">
        <v>0</v>
      </c>
      <c r="J123" s="7">
        <v>5</v>
      </c>
      <c r="K123" s="6">
        <v>100</v>
      </c>
      <c r="L123" s="7">
        <v>1</v>
      </c>
      <c r="M123" s="7">
        <v>4</v>
      </c>
      <c r="N123" s="7">
        <v>45</v>
      </c>
      <c r="O123" s="6" t="b">
        <v>0</v>
      </c>
      <c r="P123" s="6">
        <v>0</v>
      </c>
      <c r="Q123" s="6">
        <v>0</v>
      </c>
      <c r="R123" s="7">
        <v>49</v>
      </c>
      <c r="S123" s="5">
        <v>0</v>
      </c>
      <c r="T123" s="7">
        <v>0</v>
      </c>
      <c r="U123" s="5" t="b">
        <v>1</v>
      </c>
      <c r="V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29"/>
      <c r="AH123" s="29"/>
      <c r="AI123" s="29"/>
    </row>
    <row r="124" spans="1:46" ht="18.75" customHeight="1">
      <c r="B124" s="5">
        <v>3800010003</v>
      </c>
      <c r="C124" s="7" t="s">
        <v>1393</v>
      </c>
      <c r="D124" s="10" t="s">
        <v>811</v>
      </c>
      <c r="E124" s="7">
        <v>2</v>
      </c>
      <c r="F124" s="7">
        <v>0</v>
      </c>
      <c r="G124" s="7">
        <v>2</v>
      </c>
      <c r="H124" s="7">
        <v>27</v>
      </c>
      <c r="I124" s="6">
        <v>0</v>
      </c>
      <c r="J124" s="7">
        <v>5</v>
      </c>
      <c r="K124" s="6">
        <v>100</v>
      </c>
      <c r="L124" s="7">
        <v>1</v>
      </c>
      <c r="M124" s="7">
        <v>4</v>
      </c>
      <c r="N124" s="7">
        <v>45</v>
      </c>
      <c r="O124" s="6" t="b">
        <v>0</v>
      </c>
      <c r="P124" s="6">
        <v>0</v>
      </c>
      <c r="Q124" s="6">
        <v>0</v>
      </c>
      <c r="R124" s="7">
        <v>49</v>
      </c>
      <c r="S124" s="5">
        <v>0</v>
      </c>
      <c r="T124" s="7">
        <v>0</v>
      </c>
      <c r="U124" s="5" t="b">
        <v>1</v>
      </c>
      <c r="V124" s="29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29"/>
      <c r="AH124" s="29"/>
      <c r="AI124" s="29"/>
    </row>
    <row r="125" spans="1:46" ht="18.75" customHeight="1">
      <c r="B125" s="5">
        <v>3900010001</v>
      </c>
      <c r="C125" s="7" t="s">
        <v>383</v>
      </c>
      <c r="D125" s="10" t="s">
        <v>584</v>
      </c>
      <c r="E125" s="7">
        <v>1</v>
      </c>
      <c r="F125" s="6">
        <v>1</v>
      </c>
      <c r="G125" s="7">
        <v>3</v>
      </c>
      <c r="H125" s="7">
        <v>6</v>
      </c>
      <c r="I125" s="6">
        <v>0</v>
      </c>
      <c r="J125" s="7">
        <v>2</v>
      </c>
      <c r="K125" s="6">
        <v>100</v>
      </c>
      <c r="L125" s="7">
        <v>2</v>
      </c>
      <c r="M125" s="7">
        <v>0</v>
      </c>
      <c r="N125" s="7">
        <v>15</v>
      </c>
      <c r="O125" s="6" t="b">
        <v>0</v>
      </c>
      <c r="P125" s="6">
        <v>0</v>
      </c>
      <c r="Q125" s="6">
        <v>0</v>
      </c>
      <c r="R125" s="7">
        <v>3</v>
      </c>
      <c r="S125" s="5">
        <v>1</v>
      </c>
      <c r="T125" s="7">
        <v>3</v>
      </c>
      <c r="U125" s="5" t="b">
        <v>1</v>
      </c>
      <c r="V125" s="29">
        <v>3</v>
      </c>
      <c r="W125" s="29">
        <v>6</v>
      </c>
      <c r="X125" s="29">
        <v>2</v>
      </c>
      <c r="Y125" s="29">
        <v>100</v>
      </c>
      <c r="Z125" s="29">
        <v>3</v>
      </c>
      <c r="AA125" s="29">
        <v>0</v>
      </c>
      <c r="AB125" s="29">
        <v>15</v>
      </c>
      <c r="AC125" s="29" t="b">
        <v>0</v>
      </c>
      <c r="AD125" s="29">
        <v>0</v>
      </c>
      <c r="AE125" s="29">
        <v>0</v>
      </c>
      <c r="AF125" s="29">
        <v>3</v>
      </c>
      <c r="AG125" s="29">
        <v>17</v>
      </c>
      <c r="AH125" s="29">
        <v>3</v>
      </c>
      <c r="AI125" s="29" t="b">
        <v>1</v>
      </c>
    </row>
    <row r="126" spans="1:46" ht="18.75" customHeight="1">
      <c r="B126" s="5">
        <v>3900010002</v>
      </c>
      <c r="C126" s="7" t="s">
        <v>1326</v>
      </c>
      <c r="D126" s="10" t="s">
        <v>584</v>
      </c>
      <c r="E126" s="7">
        <v>1</v>
      </c>
      <c r="F126" s="6">
        <v>1</v>
      </c>
      <c r="G126" s="7">
        <v>3</v>
      </c>
      <c r="H126" s="7">
        <v>6</v>
      </c>
      <c r="I126" s="6">
        <v>0</v>
      </c>
      <c r="J126" s="7">
        <v>2</v>
      </c>
      <c r="K126" s="6">
        <v>100</v>
      </c>
      <c r="L126" s="7">
        <v>2</v>
      </c>
      <c r="M126" s="7">
        <v>0</v>
      </c>
      <c r="N126" s="7">
        <v>15</v>
      </c>
      <c r="O126" s="6" t="b">
        <v>0</v>
      </c>
      <c r="P126" s="6">
        <v>0</v>
      </c>
      <c r="Q126" s="6">
        <v>0</v>
      </c>
      <c r="R126" s="7">
        <v>3</v>
      </c>
      <c r="S126" s="5">
        <v>1</v>
      </c>
      <c r="T126" s="7">
        <v>3</v>
      </c>
      <c r="U126" s="5" t="b">
        <v>1</v>
      </c>
      <c r="V126" s="29">
        <v>3</v>
      </c>
      <c r="W126" s="29">
        <v>6</v>
      </c>
      <c r="X126" s="29">
        <v>2</v>
      </c>
      <c r="Y126" s="29">
        <v>100</v>
      </c>
      <c r="Z126" s="29">
        <v>3</v>
      </c>
      <c r="AA126" s="29">
        <v>0</v>
      </c>
      <c r="AB126" s="29">
        <v>15</v>
      </c>
      <c r="AC126" s="29" t="b">
        <v>0</v>
      </c>
      <c r="AD126" s="29">
        <v>0</v>
      </c>
      <c r="AE126" s="29">
        <v>0</v>
      </c>
      <c r="AF126" s="29">
        <v>3</v>
      </c>
      <c r="AG126" s="29">
        <v>17</v>
      </c>
      <c r="AH126" s="29">
        <v>3</v>
      </c>
      <c r="AI126" s="29" t="b">
        <v>1</v>
      </c>
    </row>
    <row r="127" spans="1:46" ht="18.75" customHeight="1">
      <c r="B127" s="5">
        <v>3900010003</v>
      </c>
      <c r="C127" s="7" t="s">
        <v>1394</v>
      </c>
      <c r="D127" s="10" t="s">
        <v>584</v>
      </c>
      <c r="E127" s="7">
        <v>1</v>
      </c>
      <c r="F127" s="6">
        <v>1</v>
      </c>
      <c r="G127" s="7">
        <v>3</v>
      </c>
      <c r="H127" s="7">
        <v>6</v>
      </c>
      <c r="I127" s="6">
        <v>0</v>
      </c>
      <c r="J127" s="7">
        <v>2</v>
      </c>
      <c r="K127" s="6">
        <v>100</v>
      </c>
      <c r="L127" s="7">
        <v>2</v>
      </c>
      <c r="M127" s="7">
        <v>0</v>
      </c>
      <c r="N127" s="7">
        <v>15</v>
      </c>
      <c r="O127" s="6" t="b">
        <v>0</v>
      </c>
      <c r="P127" s="6">
        <v>0</v>
      </c>
      <c r="Q127" s="6">
        <v>0</v>
      </c>
      <c r="R127" s="7">
        <v>3</v>
      </c>
      <c r="S127" s="5">
        <v>1</v>
      </c>
      <c r="T127" s="7">
        <v>3</v>
      </c>
      <c r="U127" s="5" t="b">
        <v>1</v>
      </c>
      <c r="V127" s="29">
        <v>3</v>
      </c>
      <c r="W127" s="29">
        <v>6</v>
      </c>
      <c r="X127" s="29">
        <v>2</v>
      </c>
      <c r="Y127" s="29">
        <v>100</v>
      </c>
      <c r="Z127" s="29">
        <v>3</v>
      </c>
      <c r="AA127" s="29">
        <v>0</v>
      </c>
      <c r="AB127" s="29">
        <v>15</v>
      </c>
      <c r="AC127" s="29" t="b">
        <v>0</v>
      </c>
      <c r="AD127" s="29">
        <v>0</v>
      </c>
      <c r="AE127" s="29">
        <v>0</v>
      </c>
      <c r="AF127" s="29">
        <v>3</v>
      </c>
      <c r="AG127" s="29">
        <v>17</v>
      </c>
      <c r="AH127" s="29">
        <v>3</v>
      </c>
      <c r="AI127" s="29" t="b">
        <v>1</v>
      </c>
    </row>
    <row r="128" spans="1:46" ht="18.75" customHeight="1">
      <c r="B128" s="5">
        <v>4000010001</v>
      </c>
      <c r="C128" s="7" t="s">
        <v>384</v>
      </c>
      <c r="D128" s="10" t="s">
        <v>812</v>
      </c>
      <c r="E128" s="7">
        <v>1</v>
      </c>
      <c r="F128" s="7">
        <v>1</v>
      </c>
      <c r="G128" s="7">
        <v>3</v>
      </c>
      <c r="H128" s="7">
        <v>6</v>
      </c>
      <c r="I128" s="6">
        <v>0</v>
      </c>
      <c r="J128" s="7">
        <v>2</v>
      </c>
      <c r="K128" s="6">
        <v>100</v>
      </c>
      <c r="L128" s="7">
        <v>2</v>
      </c>
      <c r="M128" s="7">
        <v>0</v>
      </c>
      <c r="N128" s="7">
        <v>15</v>
      </c>
      <c r="O128" s="6" t="b">
        <v>0</v>
      </c>
      <c r="P128" s="6">
        <v>0</v>
      </c>
      <c r="Q128" s="6">
        <v>0</v>
      </c>
      <c r="R128" s="7">
        <v>3</v>
      </c>
      <c r="S128" s="5">
        <v>15</v>
      </c>
      <c r="T128" s="7">
        <v>3</v>
      </c>
      <c r="U128" s="5" t="b">
        <v>1</v>
      </c>
      <c r="V128" s="29">
        <v>2</v>
      </c>
      <c r="W128" s="29">
        <v>6</v>
      </c>
      <c r="X128" s="29">
        <v>5</v>
      </c>
      <c r="Y128" s="29">
        <v>100</v>
      </c>
      <c r="Z128" s="29">
        <v>1</v>
      </c>
      <c r="AA128" s="29">
        <v>4</v>
      </c>
      <c r="AB128" s="29">
        <v>100</v>
      </c>
      <c r="AC128" s="29" t="b">
        <v>0</v>
      </c>
      <c r="AD128" s="29">
        <v>0</v>
      </c>
      <c r="AE128" s="29">
        <v>0</v>
      </c>
      <c r="AF128" s="29">
        <v>2</v>
      </c>
      <c r="AG128" s="29">
        <v>0</v>
      </c>
      <c r="AH128" s="29">
        <v>0</v>
      </c>
      <c r="AI128" s="29" t="b">
        <v>1</v>
      </c>
    </row>
    <row r="129" spans="1:35" ht="18.75" customHeight="1">
      <c r="B129" s="5">
        <v>4000010002</v>
      </c>
      <c r="C129" s="7" t="s">
        <v>1327</v>
      </c>
      <c r="D129" s="10" t="s">
        <v>812</v>
      </c>
      <c r="E129" s="7">
        <v>1</v>
      </c>
      <c r="F129" s="7">
        <v>1</v>
      </c>
      <c r="G129" s="7">
        <v>3</v>
      </c>
      <c r="H129" s="7">
        <v>6</v>
      </c>
      <c r="I129" s="6">
        <v>0</v>
      </c>
      <c r="J129" s="7">
        <v>2</v>
      </c>
      <c r="K129" s="6">
        <v>100</v>
      </c>
      <c r="L129" s="7">
        <v>2</v>
      </c>
      <c r="M129" s="7">
        <v>0</v>
      </c>
      <c r="N129" s="7">
        <v>15</v>
      </c>
      <c r="O129" s="6" t="b">
        <v>0</v>
      </c>
      <c r="P129" s="6">
        <v>0</v>
      </c>
      <c r="Q129" s="6">
        <v>0</v>
      </c>
      <c r="R129" s="7">
        <v>3</v>
      </c>
      <c r="S129" s="5">
        <v>15</v>
      </c>
      <c r="T129" s="7">
        <v>3</v>
      </c>
      <c r="U129" s="5" t="b">
        <v>1</v>
      </c>
      <c r="V129" s="29">
        <v>2</v>
      </c>
      <c r="W129" s="29">
        <v>6</v>
      </c>
      <c r="X129" s="29">
        <v>5</v>
      </c>
      <c r="Y129" s="29">
        <v>100</v>
      </c>
      <c r="Z129" s="29">
        <v>1</v>
      </c>
      <c r="AA129" s="29">
        <v>4</v>
      </c>
      <c r="AB129" s="29">
        <v>100</v>
      </c>
      <c r="AC129" s="29" t="b">
        <v>0</v>
      </c>
      <c r="AD129" s="29">
        <v>0</v>
      </c>
      <c r="AE129" s="29">
        <v>0</v>
      </c>
      <c r="AF129" s="29">
        <v>2</v>
      </c>
      <c r="AG129" s="29">
        <v>0</v>
      </c>
      <c r="AH129" s="29">
        <v>0</v>
      </c>
      <c r="AI129" s="29" t="b">
        <v>1</v>
      </c>
    </row>
    <row r="130" spans="1:35" ht="18.75" customHeight="1">
      <c r="B130" s="5">
        <v>4000010003</v>
      </c>
      <c r="C130" s="7" t="s">
        <v>1395</v>
      </c>
      <c r="D130" s="10" t="s">
        <v>812</v>
      </c>
      <c r="E130" s="7">
        <v>1</v>
      </c>
      <c r="F130" s="7">
        <v>1</v>
      </c>
      <c r="G130" s="7">
        <v>3</v>
      </c>
      <c r="H130" s="7">
        <v>6</v>
      </c>
      <c r="I130" s="6">
        <v>0</v>
      </c>
      <c r="J130" s="7">
        <v>2</v>
      </c>
      <c r="K130" s="6">
        <v>100</v>
      </c>
      <c r="L130" s="7">
        <v>2</v>
      </c>
      <c r="M130" s="7">
        <v>0</v>
      </c>
      <c r="N130" s="7">
        <v>15</v>
      </c>
      <c r="O130" s="6" t="b">
        <v>0</v>
      </c>
      <c r="P130" s="6">
        <v>0</v>
      </c>
      <c r="Q130" s="6">
        <v>0</v>
      </c>
      <c r="R130" s="7">
        <v>3</v>
      </c>
      <c r="S130" s="5">
        <v>15</v>
      </c>
      <c r="T130" s="7">
        <v>3</v>
      </c>
      <c r="U130" s="5" t="b">
        <v>1</v>
      </c>
      <c r="V130" s="29">
        <v>2</v>
      </c>
      <c r="W130" s="29">
        <v>6</v>
      </c>
      <c r="X130" s="29">
        <v>5</v>
      </c>
      <c r="Y130" s="29">
        <v>100</v>
      </c>
      <c r="Z130" s="29">
        <v>1</v>
      </c>
      <c r="AA130" s="29">
        <v>4</v>
      </c>
      <c r="AB130" s="29">
        <v>100</v>
      </c>
      <c r="AC130" s="29" t="b">
        <v>0</v>
      </c>
      <c r="AD130" s="29">
        <v>0</v>
      </c>
      <c r="AE130" s="29">
        <v>0</v>
      </c>
      <c r="AF130" s="29">
        <v>2</v>
      </c>
      <c r="AG130" s="29">
        <v>0</v>
      </c>
      <c r="AH130" s="29">
        <v>0</v>
      </c>
      <c r="AI130" s="29" t="b">
        <v>1</v>
      </c>
    </row>
    <row r="131" spans="1:35" ht="18.75" customHeight="1">
      <c r="B131" s="7">
        <v>4100010001</v>
      </c>
      <c r="C131" s="7" t="s">
        <v>385</v>
      </c>
      <c r="D131" s="10" t="s">
        <v>587</v>
      </c>
      <c r="E131" s="6">
        <v>2</v>
      </c>
      <c r="F131" s="6">
        <v>0</v>
      </c>
      <c r="G131" s="6">
        <v>2</v>
      </c>
      <c r="H131" s="6">
        <v>3</v>
      </c>
      <c r="I131" s="6">
        <v>0</v>
      </c>
      <c r="J131" s="6">
        <v>5</v>
      </c>
      <c r="K131" s="6">
        <v>100</v>
      </c>
      <c r="L131" s="6">
        <v>1</v>
      </c>
      <c r="M131" s="6">
        <v>2</v>
      </c>
      <c r="N131" s="6">
        <v>120</v>
      </c>
      <c r="O131" s="6" t="b">
        <v>0</v>
      </c>
      <c r="P131" s="6">
        <v>0</v>
      </c>
      <c r="Q131" s="6">
        <v>0</v>
      </c>
      <c r="R131" s="5">
        <v>49</v>
      </c>
      <c r="S131" s="5">
        <v>0</v>
      </c>
      <c r="T131" s="5">
        <v>0</v>
      </c>
      <c r="U131" s="5" t="b">
        <v>1</v>
      </c>
    </row>
    <row r="132" spans="1:35" ht="18.75" customHeight="1">
      <c r="B132" s="5">
        <v>4100010002</v>
      </c>
      <c r="C132" s="7" t="s">
        <v>1328</v>
      </c>
      <c r="D132" s="10" t="s">
        <v>587</v>
      </c>
      <c r="E132" s="6">
        <v>2</v>
      </c>
      <c r="F132" s="6">
        <v>0</v>
      </c>
      <c r="G132" s="6">
        <v>2</v>
      </c>
      <c r="H132" s="6">
        <v>3</v>
      </c>
      <c r="I132" s="6">
        <v>0</v>
      </c>
      <c r="J132" s="6">
        <v>5</v>
      </c>
      <c r="K132" s="6">
        <v>100</v>
      </c>
      <c r="L132" s="6">
        <v>1</v>
      </c>
      <c r="M132" s="6">
        <v>2</v>
      </c>
      <c r="N132" s="6">
        <v>120</v>
      </c>
      <c r="O132" s="6" t="b">
        <v>0</v>
      </c>
      <c r="P132" s="6">
        <v>0</v>
      </c>
      <c r="Q132" s="6">
        <v>0</v>
      </c>
      <c r="R132" s="5">
        <v>49</v>
      </c>
      <c r="S132" s="5">
        <v>0</v>
      </c>
      <c r="T132" s="5">
        <v>0</v>
      </c>
      <c r="U132" s="5" t="b">
        <v>1</v>
      </c>
    </row>
    <row r="133" spans="1:35" ht="18.75" customHeight="1">
      <c r="A133" s="54"/>
      <c r="B133" s="5">
        <v>4100010003</v>
      </c>
      <c r="C133" s="7" t="s">
        <v>1396</v>
      </c>
      <c r="D133" s="10" t="s">
        <v>587</v>
      </c>
      <c r="E133" s="6">
        <v>2</v>
      </c>
      <c r="F133" s="6">
        <v>0</v>
      </c>
      <c r="G133" s="6">
        <v>2</v>
      </c>
      <c r="H133" s="6">
        <v>3</v>
      </c>
      <c r="I133" s="6">
        <v>0</v>
      </c>
      <c r="J133" s="6">
        <v>5</v>
      </c>
      <c r="K133" s="6">
        <v>100</v>
      </c>
      <c r="L133" s="6">
        <v>1</v>
      </c>
      <c r="M133" s="6">
        <v>2</v>
      </c>
      <c r="N133" s="6">
        <v>120</v>
      </c>
      <c r="O133" s="6" t="b">
        <v>0</v>
      </c>
      <c r="P133" s="6">
        <v>0</v>
      </c>
      <c r="Q133" s="6">
        <v>0</v>
      </c>
      <c r="R133" s="5">
        <v>49</v>
      </c>
      <c r="S133" s="5">
        <v>0</v>
      </c>
      <c r="T133" s="5">
        <v>0</v>
      </c>
      <c r="U133" s="5" t="b">
        <v>1</v>
      </c>
    </row>
    <row r="134" spans="1:35" ht="18.75" customHeight="1">
      <c r="A134" s="54"/>
      <c r="B134" s="5">
        <v>4200010001</v>
      </c>
      <c r="C134" s="7" t="s">
        <v>386</v>
      </c>
      <c r="D134" s="10" t="s">
        <v>588</v>
      </c>
      <c r="E134" s="7">
        <v>2</v>
      </c>
      <c r="F134" s="7">
        <v>0</v>
      </c>
      <c r="G134" s="7">
        <v>2</v>
      </c>
      <c r="H134" s="7">
        <v>4</v>
      </c>
      <c r="I134" s="6">
        <v>0</v>
      </c>
      <c r="J134" s="7">
        <v>5</v>
      </c>
      <c r="K134" s="6">
        <v>100</v>
      </c>
      <c r="L134" s="7">
        <v>1</v>
      </c>
      <c r="M134" s="7">
        <v>2</v>
      </c>
      <c r="N134" s="7">
        <v>150</v>
      </c>
      <c r="O134" s="6" t="b">
        <v>0</v>
      </c>
      <c r="P134" s="6">
        <v>0</v>
      </c>
      <c r="Q134" s="6">
        <v>0</v>
      </c>
      <c r="R134" s="7">
        <v>49</v>
      </c>
      <c r="S134" s="5">
        <v>0</v>
      </c>
      <c r="T134" s="7">
        <v>0</v>
      </c>
      <c r="U134" s="5" t="b">
        <v>1</v>
      </c>
    </row>
    <row r="135" spans="1:35" ht="18.75" customHeight="1">
      <c r="A135" s="54"/>
      <c r="B135" s="5">
        <v>4200010002</v>
      </c>
      <c r="C135" s="7" t="s">
        <v>1329</v>
      </c>
      <c r="D135" s="10" t="s">
        <v>588</v>
      </c>
      <c r="E135" s="7">
        <v>2</v>
      </c>
      <c r="F135" s="7">
        <v>0</v>
      </c>
      <c r="G135" s="7">
        <v>2</v>
      </c>
      <c r="H135" s="7">
        <v>4</v>
      </c>
      <c r="I135" s="6">
        <v>0</v>
      </c>
      <c r="J135" s="7">
        <v>5</v>
      </c>
      <c r="K135" s="6">
        <v>100</v>
      </c>
      <c r="L135" s="7">
        <v>1</v>
      </c>
      <c r="M135" s="7">
        <v>2</v>
      </c>
      <c r="N135" s="7">
        <v>150</v>
      </c>
      <c r="O135" s="6" t="b">
        <v>0</v>
      </c>
      <c r="P135" s="6">
        <v>0</v>
      </c>
      <c r="Q135" s="6">
        <v>0</v>
      </c>
      <c r="R135" s="7">
        <v>49</v>
      </c>
      <c r="S135" s="5">
        <v>0</v>
      </c>
      <c r="T135" s="7">
        <v>0</v>
      </c>
      <c r="U135" s="5" t="b">
        <v>1</v>
      </c>
    </row>
    <row r="136" spans="1:35" ht="18.75" customHeight="1">
      <c r="A136" s="54"/>
      <c r="B136" s="5">
        <v>4200010003</v>
      </c>
      <c r="C136" s="7" t="s">
        <v>1397</v>
      </c>
      <c r="D136" s="10" t="s">
        <v>588</v>
      </c>
      <c r="E136" s="7">
        <v>2</v>
      </c>
      <c r="F136" s="7">
        <v>0</v>
      </c>
      <c r="G136" s="7">
        <v>2</v>
      </c>
      <c r="H136" s="7">
        <v>4</v>
      </c>
      <c r="I136" s="6">
        <v>0</v>
      </c>
      <c r="J136" s="7">
        <v>5</v>
      </c>
      <c r="K136" s="6">
        <v>100</v>
      </c>
      <c r="L136" s="7">
        <v>1</v>
      </c>
      <c r="M136" s="7">
        <v>2</v>
      </c>
      <c r="N136" s="7">
        <v>150</v>
      </c>
      <c r="O136" s="6" t="b">
        <v>0</v>
      </c>
      <c r="P136" s="6">
        <v>0</v>
      </c>
      <c r="Q136" s="6">
        <v>0</v>
      </c>
      <c r="R136" s="7">
        <v>49</v>
      </c>
      <c r="S136" s="5">
        <v>0</v>
      </c>
      <c r="T136" s="7">
        <v>0</v>
      </c>
      <c r="U136" s="5" t="b">
        <v>1</v>
      </c>
    </row>
    <row r="137" spans="1:35" ht="18.75" customHeight="1">
      <c r="A137" s="54"/>
      <c r="B137" s="5">
        <v>4300010001</v>
      </c>
      <c r="C137" s="7" t="s">
        <v>387</v>
      </c>
      <c r="D137" s="10" t="s">
        <v>589</v>
      </c>
      <c r="E137" s="7">
        <v>2</v>
      </c>
      <c r="F137" s="6">
        <v>0</v>
      </c>
      <c r="G137" s="7">
        <v>1</v>
      </c>
      <c r="H137" s="7">
        <v>6</v>
      </c>
      <c r="I137" s="6">
        <v>0</v>
      </c>
      <c r="J137" s="7">
        <v>2</v>
      </c>
      <c r="K137" s="6">
        <v>100</v>
      </c>
      <c r="L137" s="7">
        <v>14</v>
      </c>
      <c r="M137" s="7">
        <v>2</v>
      </c>
      <c r="N137" s="7">
        <v>200</v>
      </c>
      <c r="O137" s="6" t="b">
        <v>0</v>
      </c>
      <c r="P137" s="6">
        <v>0</v>
      </c>
      <c r="Q137" s="6">
        <v>0</v>
      </c>
      <c r="R137" s="7">
        <v>1</v>
      </c>
      <c r="S137" s="5">
        <v>0</v>
      </c>
      <c r="T137" s="7">
        <v>0</v>
      </c>
      <c r="U137" s="5" t="b">
        <v>1</v>
      </c>
    </row>
    <row r="138" spans="1:35" ht="18.75" customHeight="1">
      <c r="A138" s="54"/>
      <c r="B138" s="5">
        <v>4300010002</v>
      </c>
      <c r="C138" s="7" t="s">
        <v>1330</v>
      </c>
      <c r="D138" s="10" t="s">
        <v>589</v>
      </c>
      <c r="E138" s="7">
        <v>2</v>
      </c>
      <c r="F138" s="6">
        <v>0</v>
      </c>
      <c r="G138" s="7">
        <v>1</v>
      </c>
      <c r="H138" s="7">
        <v>6</v>
      </c>
      <c r="I138" s="6">
        <v>0</v>
      </c>
      <c r="J138" s="7">
        <v>2</v>
      </c>
      <c r="K138" s="6">
        <v>100</v>
      </c>
      <c r="L138" s="7">
        <v>14</v>
      </c>
      <c r="M138" s="7">
        <v>2</v>
      </c>
      <c r="N138" s="7">
        <v>200</v>
      </c>
      <c r="O138" s="6" t="b">
        <v>0</v>
      </c>
      <c r="P138" s="6">
        <v>0</v>
      </c>
      <c r="Q138" s="6">
        <v>0</v>
      </c>
      <c r="R138" s="7">
        <v>1</v>
      </c>
      <c r="S138" s="5">
        <v>0</v>
      </c>
      <c r="T138" s="7">
        <v>0</v>
      </c>
      <c r="U138" s="5" t="b">
        <v>1</v>
      </c>
    </row>
    <row r="139" spans="1:35" ht="18.75" customHeight="1">
      <c r="A139" s="54"/>
      <c r="B139" s="5">
        <v>4300010003</v>
      </c>
      <c r="C139" s="7" t="s">
        <v>1398</v>
      </c>
      <c r="D139" s="10" t="s">
        <v>589</v>
      </c>
      <c r="E139" s="7">
        <v>2</v>
      </c>
      <c r="F139" s="6">
        <v>0</v>
      </c>
      <c r="G139" s="7">
        <v>1</v>
      </c>
      <c r="H139" s="7">
        <v>6</v>
      </c>
      <c r="I139" s="6">
        <v>0</v>
      </c>
      <c r="J139" s="7">
        <v>2</v>
      </c>
      <c r="K139" s="6">
        <v>100</v>
      </c>
      <c r="L139" s="7">
        <v>14</v>
      </c>
      <c r="M139" s="7">
        <v>2</v>
      </c>
      <c r="N139" s="7">
        <v>200</v>
      </c>
      <c r="O139" s="6" t="b">
        <v>0</v>
      </c>
      <c r="P139" s="6">
        <v>0</v>
      </c>
      <c r="Q139" s="6">
        <v>0</v>
      </c>
      <c r="R139" s="7">
        <v>1</v>
      </c>
      <c r="S139" s="5">
        <v>0</v>
      </c>
      <c r="T139" s="7">
        <v>0</v>
      </c>
      <c r="U139" s="5" t="b">
        <v>1</v>
      </c>
    </row>
    <row r="140" spans="1:35" ht="18.75" customHeight="1">
      <c r="A140" s="54"/>
      <c r="B140" s="7">
        <v>4400010001</v>
      </c>
      <c r="C140" s="7" t="s">
        <v>388</v>
      </c>
      <c r="D140" s="10" t="s">
        <v>590</v>
      </c>
      <c r="E140" s="7">
        <v>1</v>
      </c>
      <c r="F140" s="7">
        <v>1</v>
      </c>
      <c r="G140" s="7">
        <v>3</v>
      </c>
      <c r="H140" s="7">
        <v>1</v>
      </c>
      <c r="I140" s="6">
        <v>0</v>
      </c>
      <c r="J140" s="7">
        <v>1</v>
      </c>
      <c r="K140" s="6">
        <v>100</v>
      </c>
      <c r="L140" s="7">
        <v>1</v>
      </c>
      <c r="M140" s="7">
        <v>0</v>
      </c>
      <c r="N140" s="7">
        <v>25</v>
      </c>
      <c r="O140" s="6" t="b">
        <v>0</v>
      </c>
      <c r="P140" s="6">
        <v>0</v>
      </c>
      <c r="Q140" s="6">
        <v>0</v>
      </c>
      <c r="R140" s="7">
        <v>3</v>
      </c>
      <c r="S140" s="5">
        <v>0</v>
      </c>
      <c r="T140" s="7">
        <v>-1</v>
      </c>
      <c r="U140" s="5" t="b">
        <v>1</v>
      </c>
    </row>
    <row r="141" spans="1:35" ht="18.75" customHeight="1">
      <c r="A141" s="54"/>
      <c r="B141" s="5">
        <v>4400010002</v>
      </c>
      <c r="C141" s="7" t="s">
        <v>1331</v>
      </c>
      <c r="D141" s="10" t="s">
        <v>590</v>
      </c>
      <c r="E141" s="7">
        <v>1</v>
      </c>
      <c r="F141" s="7">
        <v>1</v>
      </c>
      <c r="G141" s="7">
        <v>3</v>
      </c>
      <c r="H141" s="7">
        <v>1</v>
      </c>
      <c r="I141" s="6">
        <v>0</v>
      </c>
      <c r="J141" s="7">
        <v>1</v>
      </c>
      <c r="K141" s="6">
        <v>100</v>
      </c>
      <c r="L141" s="7">
        <v>1</v>
      </c>
      <c r="M141" s="7">
        <v>0</v>
      </c>
      <c r="N141" s="7">
        <v>25</v>
      </c>
      <c r="O141" s="6" t="b">
        <v>0</v>
      </c>
      <c r="P141" s="6">
        <v>0</v>
      </c>
      <c r="Q141" s="6">
        <v>0</v>
      </c>
      <c r="R141" s="7">
        <v>3</v>
      </c>
      <c r="S141" s="5">
        <v>0</v>
      </c>
      <c r="T141" s="7">
        <v>-1</v>
      </c>
      <c r="U141" s="5" t="b">
        <v>1</v>
      </c>
    </row>
    <row r="142" spans="1:35" ht="18.75" customHeight="1">
      <c r="A142" s="54"/>
      <c r="B142" s="5">
        <v>4400010003</v>
      </c>
      <c r="C142" s="7" t="s">
        <v>1399</v>
      </c>
      <c r="D142" s="10" t="s">
        <v>590</v>
      </c>
      <c r="E142" s="7">
        <v>1</v>
      </c>
      <c r="F142" s="7">
        <v>1</v>
      </c>
      <c r="G142" s="7">
        <v>3</v>
      </c>
      <c r="H142" s="7">
        <v>1</v>
      </c>
      <c r="I142" s="6">
        <v>0</v>
      </c>
      <c r="J142" s="7">
        <v>1</v>
      </c>
      <c r="K142" s="6">
        <v>100</v>
      </c>
      <c r="L142" s="7">
        <v>1</v>
      </c>
      <c r="M142" s="7">
        <v>0</v>
      </c>
      <c r="N142" s="7">
        <v>25</v>
      </c>
      <c r="O142" s="6" t="b">
        <v>0</v>
      </c>
      <c r="P142" s="6">
        <v>0</v>
      </c>
      <c r="Q142" s="6">
        <v>0</v>
      </c>
      <c r="R142" s="7">
        <v>3</v>
      </c>
      <c r="S142" s="5">
        <v>0</v>
      </c>
      <c r="T142" s="7">
        <v>-1</v>
      </c>
      <c r="U142" s="5" t="b">
        <v>1</v>
      </c>
    </row>
    <row r="143" spans="1:35" ht="18.75" customHeight="1">
      <c r="A143" s="54"/>
      <c r="B143" s="5">
        <v>4500010001</v>
      </c>
      <c r="C143" s="7" t="s">
        <v>389</v>
      </c>
      <c r="D143" s="10" t="s">
        <v>591</v>
      </c>
      <c r="E143" s="7">
        <v>3</v>
      </c>
      <c r="F143" s="6">
        <v>0</v>
      </c>
      <c r="G143" s="7">
        <v>3</v>
      </c>
      <c r="H143" s="7">
        <v>7</v>
      </c>
      <c r="I143" s="6">
        <v>0</v>
      </c>
      <c r="J143" s="7">
        <v>2</v>
      </c>
      <c r="K143" s="6">
        <v>100</v>
      </c>
      <c r="L143" s="7">
        <v>2</v>
      </c>
      <c r="M143" s="7">
        <v>2</v>
      </c>
      <c r="N143" s="7">
        <v>400</v>
      </c>
      <c r="O143" s="6" t="b">
        <v>0</v>
      </c>
      <c r="P143" s="6">
        <v>0</v>
      </c>
      <c r="Q143" s="6">
        <v>0</v>
      </c>
      <c r="R143" s="7">
        <v>3</v>
      </c>
      <c r="S143" s="5">
        <v>0</v>
      </c>
      <c r="T143" s="7">
        <v>4</v>
      </c>
      <c r="U143" s="5" t="b">
        <v>1</v>
      </c>
    </row>
    <row r="144" spans="1:35" ht="18.75" customHeight="1">
      <c r="A144" s="54"/>
      <c r="B144" s="5">
        <v>4500010002</v>
      </c>
      <c r="C144" s="7" t="s">
        <v>1332</v>
      </c>
      <c r="D144" s="10" t="s">
        <v>591</v>
      </c>
      <c r="E144" s="7">
        <v>3</v>
      </c>
      <c r="F144" s="6">
        <v>0</v>
      </c>
      <c r="G144" s="7">
        <v>3</v>
      </c>
      <c r="H144" s="7">
        <v>7</v>
      </c>
      <c r="I144" s="6">
        <v>0</v>
      </c>
      <c r="J144" s="7">
        <v>2</v>
      </c>
      <c r="K144" s="6">
        <v>100</v>
      </c>
      <c r="L144" s="7">
        <v>2</v>
      </c>
      <c r="M144" s="7">
        <v>2</v>
      </c>
      <c r="N144" s="7">
        <v>400</v>
      </c>
      <c r="O144" s="6" t="b">
        <v>0</v>
      </c>
      <c r="P144" s="6">
        <v>0</v>
      </c>
      <c r="Q144" s="6">
        <v>0</v>
      </c>
      <c r="R144" s="7">
        <v>3</v>
      </c>
      <c r="S144" s="5">
        <v>0</v>
      </c>
      <c r="T144" s="7">
        <v>4</v>
      </c>
      <c r="U144" s="5" t="b">
        <v>1</v>
      </c>
    </row>
    <row r="145" spans="1:46" ht="18.75" customHeight="1">
      <c r="A145" s="54"/>
      <c r="B145" s="5">
        <v>4500010003</v>
      </c>
      <c r="C145" s="7" t="s">
        <v>1400</v>
      </c>
      <c r="D145" s="10" t="s">
        <v>591</v>
      </c>
      <c r="E145" s="7">
        <v>3</v>
      </c>
      <c r="F145" s="6">
        <v>0</v>
      </c>
      <c r="G145" s="7">
        <v>3</v>
      </c>
      <c r="H145" s="7">
        <v>7</v>
      </c>
      <c r="I145" s="6">
        <v>0</v>
      </c>
      <c r="J145" s="7">
        <v>2</v>
      </c>
      <c r="K145" s="6">
        <v>100</v>
      </c>
      <c r="L145" s="7">
        <v>2</v>
      </c>
      <c r="M145" s="7">
        <v>2</v>
      </c>
      <c r="N145" s="7">
        <v>400</v>
      </c>
      <c r="O145" s="6" t="b">
        <v>0</v>
      </c>
      <c r="P145" s="6">
        <v>0</v>
      </c>
      <c r="Q145" s="6">
        <v>0</v>
      </c>
      <c r="R145" s="7">
        <v>3</v>
      </c>
      <c r="S145" s="5">
        <v>0</v>
      </c>
      <c r="T145" s="7">
        <v>4</v>
      </c>
      <c r="U145" s="5" t="b">
        <v>1</v>
      </c>
    </row>
    <row r="146" spans="1:46" ht="18.75" customHeight="1">
      <c r="B146" s="5">
        <v>4600010001</v>
      </c>
      <c r="C146" s="7" t="s">
        <v>390</v>
      </c>
      <c r="D146" s="10" t="s">
        <v>592</v>
      </c>
      <c r="E146" s="6">
        <v>2</v>
      </c>
      <c r="F146" s="7">
        <v>0</v>
      </c>
      <c r="G146" s="6">
        <v>2</v>
      </c>
      <c r="H146" s="6">
        <v>3</v>
      </c>
      <c r="I146" s="6">
        <v>0</v>
      </c>
      <c r="J146" s="6">
        <v>2</v>
      </c>
      <c r="K146" s="6">
        <v>100</v>
      </c>
      <c r="L146" s="6">
        <v>1</v>
      </c>
      <c r="M146" s="6">
        <v>2</v>
      </c>
      <c r="N146" s="6">
        <v>120</v>
      </c>
      <c r="O146" s="6" t="b">
        <v>0</v>
      </c>
      <c r="P146" s="6">
        <v>0</v>
      </c>
      <c r="Q146" s="6">
        <v>0</v>
      </c>
      <c r="R146" s="5">
        <v>49</v>
      </c>
      <c r="S146" s="5">
        <v>0</v>
      </c>
      <c r="T146" s="5">
        <v>0</v>
      </c>
      <c r="U146" s="5" t="b">
        <v>1</v>
      </c>
    </row>
    <row r="147" spans="1:46" ht="18.75" customHeight="1">
      <c r="B147" s="5">
        <v>4600010002</v>
      </c>
      <c r="C147" s="7" t="s">
        <v>1333</v>
      </c>
      <c r="D147" s="10" t="s">
        <v>592</v>
      </c>
      <c r="E147" s="6">
        <v>2</v>
      </c>
      <c r="F147" s="7">
        <v>0</v>
      </c>
      <c r="G147" s="6">
        <v>2</v>
      </c>
      <c r="H147" s="6">
        <v>3</v>
      </c>
      <c r="I147" s="6">
        <v>0</v>
      </c>
      <c r="J147" s="6">
        <v>2</v>
      </c>
      <c r="K147" s="6">
        <v>100</v>
      </c>
      <c r="L147" s="6">
        <v>1</v>
      </c>
      <c r="M147" s="6">
        <v>2</v>
      </c>
      <c r="N147" s="6">
        <v>120</v>
      </c>
      <c r="O147" s="6" t="b">
        <v>0</v>
      </c>
      <c r="P147" s="6">
        <v>0</v>
      </c>
      <c r="Q147" s="6">
        <v>0</v>
      </c>
      <c r="R147" s="5">
        <v>49</v>
      </c>
      <c r="S147" s="5">
        <v>0</v>
      </c>
      <c r="T147" s="5">
        <v>0</v>
      </c>
      <c r="U147" s="5" t="b">
        <v>1</v>
      </c>
    </row>
    <row r="148" spans="1:46" ht="18.75" customHeight="1">
      <c r="B148" s="5">
        <v>4600010003</v>
      </c>
      <c r="C148" s="7" t="s">
        <v>1401</v>
      </c>
      <c r="D148" s="10" t="s">
        <v>592</v>
      </c>
      <c r="E148" s="6">
        <v>2</v>
      </c>
      <c r="F148" s="7">
        <v>0</v>
      </c>
      <c r="G148" s="6">
        <v>2</v>
      </c>
      <c r="H148" s="6">
        <v>3</v>
      </c>
      <c r="I148" s="6">
        <v>0</v>
      </c>
      <c r="J148" s="6">
        <v>2</v>
      </c>
      <c r="K148" s="6">
        <v>100</v>
      </c>
      <c r="L148" s="6">
        <v>1</v>
      </c>
      <c r="M148" s="6">
        <v>2</v>
      </c>
      <c r="N148" s="6">
        <v>120</v>
      </c>
      <c r="O148" s="6" t="b">
        <v>0</v>
      </c>
      <c r="P148" s="6">
        <v>0</v>
      </c>
      <c r="Q148" s="6">
        <v>0</v>
      </c>
      <c r="R148" s="5">
        <v>49</v>
      </c>
      <c r="S148" s="5">
        <v>0</v>
      </c>
      <c r="T148" s="5">
        <v>0</v>
      </c>
      <c r="U148" s="5" t="b">
        <v>1</v>
      </c>
    </row>
    <row r="149" spans="1:46" ht="18.75" customHeight="1">
      <c r="B149" s="7">
        <v>4700010001</v>
      </c>
      <c r="C149" s="7" t="s">
        <v>391</v>
      </c>
      <c r="D149" s="10" t="s">
        <v>593</v>
      </c>
      <c r="E149" s="7">
        <v>2</v>
      </c>
      <c r="F149" s="6">
        <v>0</v>
      </c>
      <c r="G149" s="7">
        <v>2</v>
      </c>
      <c r="H149" s="7">
        <v>4</v>
      </c>
      <c r="I149" s="6">
        <v>0</v>
      </c>
      <c r="J149" s="7">
        <v>2</v>
      </c>
      <c r="K149" s="6">
        <v>100</v>
      </c>
      <c r="L149" s="7">
        <v>1</v>
      </c>
      <c r="M149" s="7">
        <v>2</v>
      </c>
      <c r="N149" s="7">
        <v>150</v>
      </c>
      <c r="O149" s="6" t="b">
        <v>0</v>
      </c>
      <c r="P149" s="6">
        <v>0</v>
      </c>
      <c r="Q149" s="6">
        <v>0</v>
      </c>
      <c r="R149" s="7">
        <v>49</v>
      </c>
      <c r="S149" s="5">
        <v>0</v>
      </c>
      <c r="T149" s="7">
        <v>0</v>
      </c>
      <c r="U149" s="5" t="b">
        <v>1</v>
      </c>
    </row>
    <row r="150" spans="1:46" ht="18.75" customHeight="1">
      <c r="B150" s="5">
        <v>4700010002</v>
      </c>
      <c r="C150" s="7" t="s">
        <v>1334</v>
      </c>
      <c r="D150" s="10" t="s">
        <v>593</v>
      </c>
      <c r="E150" s="7">
        <v>2</v>
      </c>
      <c r="F150" s="6">
        <v>0</v>
      </c>
      <c r="G150" s="7">
        <v>2</v>
      </c>
      <c r="H150" s="7">
        <v>4</v>
      </c>
      <c r="I150" s="6">
        <v>0</v>
      </c>
      <c r="J150" s="7">
        <v>2</v>
      </c>
      <c r="K150" s="6">
        <v>100</v>
      </c>
      <c r="L150" s="7">
        <v>1</v>
      </c>
      <c r="M150" s="7">
        <v>2</v>
      </c>
      <c r="N150" s="7">
        <v>150</v>
      </c>
      <c r="O150" s="6" t="b">
        <v>0</v>
      </c>
      <c r="P150" s="6">
        <v>0</v>
      </c>
      <c r="Q150" s="6">
        <v>0</v>
      </c>
      <c r="R150" s="7">
        <v>49</v>
      </c>
      <c r="S150" s="5">
        <v>0</v>
      </c>
      <c r="T150" s="7">
        <v>0</v>
      </c>
      <c r="U150" s="5" t="b">
        <v>1</v>
      </c>
    </row>
    <row r="151" spans="1:46" ht="18.75" customHeight="1">
      <c r="B151" s="5">
        <v>4700010003</v>
      </c>
      <c r="C151" s="7" t="s">
        <v>1402</v>
      </c>
      <c r="D151" s="10" t="s">
        <v>593</v>
      </c>
      <c r="E151" s="7">
        <v>2</v>
      </c>
      <c r="F151" s="6">
        <v>0</v>
      </c>
      <c r="G151" s="7">
        <v>2</v>
      </c>
      <c r="H151" s="7">
        <v>4</v>
      </c>
      <c r="I151" s="6">
        <v>0</v>
      </c>
      <c r="J151" s="7">
        <v>2</v>
      </c>
      <c r="K151" s="6">
        <v>100</v>
      </c>
      <c r="L151" s="7">
        <v>1</v>
      </c>
      <c r="M151" s="7">
        <v>2</v>
      </c>
      <c r="N151" s="7">
        <v>150</v>
      </c>
      <c r="O151" s="6" t="b">
        <v>0</v>
      </c>
      <c r="P151" s="6">
        <v>0</v>
      </c>
      <c r="Q151" s="6">
        <v>0</v>
      </c>
      <c r="R151" s="7">
        <v>49</v>
      </c>
      <c r="S151" s="5">
        <v>0</v>
      </c>
      <c r="T151" s="7">
        <v>0</v>
      </c>
      <c r="U151" s="5" t="b">
        <v>1</v>
      </c>
    </row>
    <row r="152" spans="1:46" ht="18.75" customHeight="1">
      <c r="B152" s="5">
        <v>4800010001</v>
      </c>
      <c r="C152" s="7" t="s">
        <v>392</v>
      </c>
      <c r="D152" s="10" t="s">
        <v>594</v>
      </c>
      <c r="E152" s="7">
        <v>2</v>
      </c>
      <c r="F152" s="7">
        <v>0</v>
      </c>
      <c r="G152" s="7">
        <v>1</v>
      </c>
      <c r="H152" s="7">
        <v>6</v>
      </c>
      <c r="I152" s="6">
        <v>0</v>
      </c>
      <c r="J152" s="7">
        <v>2</v>
      </c>
      <c r="K152" s="6">
        <v>100</v>
      </c>
      <c r="L152" s="7">
        <v>14</v>
      </c>
      <c r="M152" s="7">
        <v>2</v>
      </c>
      <c r="N152" s="7">
        <v>200</v>
      </c>
      <c r="O152" s="6" t="b">
        <v>0</v>
      </c>
      <c r="P152" s="6">
        <v>0</v>
      </c>
      <c r="Q152" s="6">
        <v>0</v>
      </c>
      <c r="R152" s="7">
        <v>1</v>
      </c>
      <c r="S152" s="5">
        <v>0</v>
      </c>
      <c r="T152" s="7">
        <v>0</v>
      </c>
      <c r="U152" s="5" t="b">
        <v>1</v>
      </c>
    </row>
    <row r="153" spans="1:46" ht="18.75" customHeight="1">
      <c r="A153" s="8"/>
      <c r="B153" s="5">
        <v>4800010002</v>
      </c>
      <c r="C153" s="7" t="s">
        <v>1335</v>
      </c>
      <c r="D153" s="10" t="s">
        <v>594</v>
      </c>
      <c r="E153" s="7">
        <v>2</v>
      </c>
      <c r="F153" s="7">
        <v>0</v>
      </c>
      <c r="G153" s="7">
        <v>1</v>
      </c>
      <c r="H153" s="7">
        <v>6</v>
      </c>
      <c r="I153" s="6">
        <v>0</v>
      </c>
      <c r="J153" s="7">
        <v>2</v>
      </c>
      <c r="K153" s="6">
        <v>100</v>
      </c>
      <c r="L153" s="7">
        <v>14</v>
      </c>
      <c r="M153" s="7">
        <v>2</v>
      </c>
      <c r="N153" s="7">
        <v>200</v>
      </c>
      <c r="O153" s="6" t="b">
        <v>0</v>
      </c>
      <c r="P153" s="6">
        <v>0</v>
      </c>
      <c r="Q153" s="6">
        <v>0</v>
      </c>
      <c r="R153" s="7">
        <v>1</v>
      </c>
      <c r="S153" s="5">
        <v>0</v>
      </c>
      <c r="T153" s="7">
        <v>0</v>
      </c>
      <c r="U153" s="5" t="b">
        <v>1</v>
      </c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53"/>
      <c r="AG153" s="53"/>
      <c r="AH153" s="53"/>
      <c r="AI153" s="53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</row>
    <row r="154" spans="1:46" ht="18.75" customHeight="1">
      <c r="A154" s="8"/>
      <c r="B154" s="5">
        <v>4800010003</v>
      </c>
      <c r="C154" s="7" t="s">
        <v>1403</v>
      </c>
      <c r="D154" s="10" t="s">
        <v>594</v>
      </c>
      <c r="E154" s="7">
        <v>2</v>
      </c>
      <c r="F154" s="7">
        <v>0</v>
      </c>
      <c r="G154" s="7">
        <v>1</v>
      </c>
      <c r="H154" s="7">
        <v>6</v>
      </c>
      <c r="I154" s="6">
        <v>0</v>
      </c>
      <c r="J154" s="7">
        <v>2</v>
      </c>
      <c r="K154" s="6">
        <v>100</v>
      </c>
      <c r="L154" s="7">
        <v>14</v>
      </c>
      <c r="M154" s="7">
        <v>2</v>
      </c>
      <c r="N154" s="7">
        <v>200</v>
      </c>
      <c r="O154" s="6" t="b">
        <v>0</v>
      </c>
      <c r="P154" s="6">
        <v>0</v>
      </c>
      <c r="Q154" s="6">
        <v>0</v>
      </c>
      <c r="R154" s="7">
        <v>1</v>
      </c>
      <c r="S154" s="5">
        <v>0</v>
      </c>
      <c r="T154" s="7">
        <v>0</v>
      </c>
      <c r="U154" s="5" t="b">
        <v>1</v>
      </c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53"/>
      <c r="AG154" s="53"/>
      <c r="AH154" s="53"/>
      <c r="AI154" s="53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</row>
    <row r="155" spans="1:46" ht="18.75" customHeight="1">
      <c r="A155" s="8"/>
      <c r="B155" s="5">
        <v>4900010001</v>
      </c>
      <c r="C155" s="7" t="s">
        <v>393</v>
      </c>
      <c r="D155" s="10" t="s">
        <v>595</v>
      </c>
      <c r="E155" s="7">
        <v>1</v>
      </c>
      <c r="F155" s="6">
        <v>0</v>
      </c>
      <c r="G155" s="7">
        <v>3</v>
      </c>
      <c r="H155" s="7">
        <v>1</v>
      </c>
      <c r="I155" s="6">
        <v>0</v>
      </c>
      <c r="J155" s="7">
        <v>1</v>
      </c>
      <c r="K155" s="6">
        <v>100</v>
      </c>
      <c r="L155" s="7">
        <v>1</v>
      </c>
      <c r="M155" s="7">
        <v>0</v>
      </c>
      <c r="N155" s="7">
        <v>25</v>
      </c>
      <c r="O155" s="6" t="b">
        <v>0</v>
      </c>
      <c r="P155" s="6">
        <v>0</v>
      </c>
      <c r="Q155" s="6">
        <v>0</v>
      </c>
      <c r="R155" s="7">
        <v>3</v>
      </c>
      <c r="S155" s="5">
        <v>0</v>
      </c>
      <c r="T155" s="7">
        <v>-1</v>
      </c>
      <c r="U155" s="5" t="b">
        <v>1</v>
      </c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53"/>
      <c r="AG155" s="53"/>
      <c r="AH155" s="53"/>
      <c r="AI155" s="53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</row>
    <row r="156" spans="1:46" ht="18.75" customHeight="1">
      <c r="A156" s="8"/>
      <c r="B156" s="5">
        <v>4900010002</v>
      </c>
      <c r="C156" s="7" t="s">
        <v>1336</v>
      </c>
      <c r="D156" s="10" t="s">
        <v>595</v>
      </c>
      <c r="E156" s="7">
        <v>1</v>
      </c>
      <c r="F156" s="6">
        <v>0</v>
      </c>
      <c r="G156" s="7">
        <v>3</v>
      </c>
      <c r="H156" s="7">
        <v>1</v>
      </c>
      <c r="I156" s="6">
        <v>0</v>
      </c>
      <c r="J156" s="7">
        <v>1</v>
      </c>
      <c r="K156" s="6">
        <v>100</v>
      </c>
      <c r="L156" s="7">
        <v>1</v>
      </c>
      <c r="M156" s="7">
        <v>0</v>
      </c>
      <c r="N156" s="7">
        <v>25</v>
      </c>
      <c r="O156" s="6" t="b">
        <v>0</v>
      </c>
      <c r="P156" s="6">
        <v>0</v>
      </c>
      <c r="Q156" s="6">
        <v>0</v>
      </c>
      <c r="R156" s="7">
        <v>3</v>
      </c>
      <c r="S156" s="5">
        <v>0</v>
      </c>
      <c r="T156" s="7">
        <v>-1</v>
      </c>
      <c r="U156" s="5" t="b">
        <v>1</v>
      </c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53"/>
      <c r="AG156" s="53"/>
      <c r="AH156" s="53"/>
      <c r="AI156" s="53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</row>
    <row r="157" spans="1:46" ht="18.75" customHeight="1">
      <c r="A157" s="8"/>
      <c r="B157" s="5">
        <v>4900010003</v>
      </c>
      <c r="C157" s="7" t="s">
        <v>1404</v>
      </c>
      <c r="D157" s="10" t="s">
        <v>595</v>
      </c>
      <c r="E157" s="7">
        <v>1</v>
      </c>
      <c r="F157" s="6">
        <v>0</v>
      </c>
      <c r="G157" s="7">
        <v>3</v>
      </c>
      <c r="H157" s="7">
        <v>1</v>
      </c>
      <c r="I157" s="6">
        <v>0</v>
      </c>
      <c r="J157" s="7">
        <v>1</v>
      </c>
      <c r="K157" s="6">
        <v>100</v>
      </c>
      <c r="L157" s="7">
        <v>1</v>
      </c>
      <c r="M157" s="7">
        <v>0</v>
      </c>
      <c r="N157" s="7">
        <v>25</v>
      </c>
      <c r="O157" s="6" t="b">
        <v>0</v>
      </c>
      <c r="P157" s="6">
        <v>0</v>
      </c>
      <c r="Q157" s="6">
        <v>0</v>
      </c>
      <c r="R157" s="7">
        <v>3</v>
      </c>
      <c r="S157" s="5">
        <v>0</v>
      </c>
      <c r="T157" s="7">
        <v>-1</v>
      </c>
      <c r="U157" s="5" t="b">
        <v>1</v>
      </c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53"/>
      <c r="AG157" s="53"/>
      <c r="AH157" s="53"/>
      <c r="AI157" s="53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</row>
    <row r="158" spans="1:46" ht="18.75" customHeight="1">
      <c r="A158" s="8"/>
      <c r="B158" s="7">
        <v>5000010001</v>
      </c>
      <c r="C158" s="7" t="s">
        <v>394</v>
      </c>
      <c r="D158" s="10" t="s">
        <v>596</v>
      </c>
      <c r="E158" s="7">
        <v>3</v>
      </c>
      <c r="F158" s="7">
        <v>0</v>
      </c>
      <c r="G158" s="7">
        <v>3</v>
      </c>
      <c r="H158" s="7">
        <v>7</v>
      </c>
      <c r="I158" s="6">
        <v>0</v>
      </c>
      <c r="J158" s="7">
        <v>2</v>
      </c>
      <c r="K158" s="6">
        <v>100</v>
      </c>
      <c r="L158" s="7">
        <v>2</v>
      </c>
      <c r="M158" s="7">
        <v>2</v>
      </c>
      <c r="N158" s="7">
        <v>400</v>
      </c>
      <c r="O158" s="6" t="b">
        <v>0</v>
      </c>
      <c r="P158" s="6">
        <v>0</v>
      </c>
      <c r="Q158" s="6">
        <v>0</v>
      </c>
      <c r="R158" s="7">
        <v>3</v>
      </c>
      <c r="S158" s="5">
        <v>0</v>
      </c>
      <c r="T158" s="7">
        <v>4</v>
      </c>
      <c r="U158" s="5" t="b">
        <v>1</v>
      </c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53"/>
      <c r="AG158" s="53"/>
      <c r="AH158" s="53"/>
      <c r="AI158" s="53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</row>
    <row r="159" spans="1:46" ht="18.75" customHeight="1">
      <c r="A159" s="8"/>
      <c r="B159" s="5">
        <v>5000010002</v>
      </c>
      <c r="C159" s="7" t="s">
        <v>1337</v>
      </c>
      <c r="D159" s="10" t="s">
        <v>596</v>
      </c>
      <c r="E159" s="7">
        <v>3</v>
      </c>
      <c r="F159" s="7">
        <v>0</v>
      </c>
      <c r="G159" s="7">
        <v>3</v>
      </c>
      <c r="H159" s="7">
        <v>7</v>
      </c>
      <c r="I159" s="6">
        <v>0</v>
      </c>
      <c r="J159" s="7">
        <v>2</v>
      </c>
      <c r="K159" s="6">
        <v>100</v>
      </c>
      <c r="L159" s="7">
        <v>2</v>
      </c>
      <c r="M159" s="7">
        <v>2</v>
      </c>
      <c r="N159" s="7">
        <v>400</v>
      </c>
      <c r="O159" s="6" t="b">
        <v>0</v>
      </c>
      <c r="P159" s="6">
        <v>0</v>
      </c>
      <c r="Q159" s="6">
        <v>0</v>
      </c>
      <c r="R159" s="7">
        <v>3</v>
      </c>
      <c r="S159" s="5">
        <v>0</v>
      </c>
      <c r="T159" s="7">
        <v>4</v>
      </c>
      <c r="U159" s="5" t="b">
        <v>1</v>
      </c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53"/>
      <c r="AG159" s="53"/>
      <c r="AH159" s="53"/>
      <c r="AI159" s="53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</row>
    <row r="160" spans="1:46" ht="18.75" customHeight="1">
      <c r="A160" s="8"/>
      <c r="B160" s="5">
        <v>5000010003</v>
      </c>
      <c r="C160" s="7" t="s">
        <v>1405</v>
      </c>
      <c r="D160" s="10" t="s">
        <v>596</v>
      </c>
      <c r="E160" s="7">
        <v>3</v>
      </c>
      <c r="F160" s="7">
        <v>0</v>
      </c>
      <c r="G160" s="7">
        <v>3</v>
      </c>
      <c r="H160" s="7">
        <v>7</v>
      </c>
      <c r="I160" s="6">
        <v>0</v>
      </c>
      <c r="J160" s="7">
        <v>2</v>
      </c>
      <c r="K160" s="6">
        <v>100</v>
      </c>
      <c r="L160" s="7">
        <v>2</v>
      </c>
      <c r="M160" s="7">
        <v>2</v>
      </c>
      <c r="N160" s="7">
        <v>400</v>
      </c>
      <c r="O160" s="6" t="b">
        <v>0</v>
      </c>
      <c r="P160" s="6">
        <v>0</v>
      </c>
      <c r="Q160" s="6">
        <v>0</v>
      </c>
      <c r="R160" s="7">
        <v>3</v>
      </c>
      <c r="S160" s="5">
        <v>0</v>
      </c>
      <c r="T160" s="7">
        <v>4</v>
      </c>
      <c r="U160" s="5" t="b">
        <v>1</v>
      </c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53"/>
      <c r="AG160" s="53"/>
      <c r="AH160" s="53"/>
      <c r="AI160" s="53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</row>
    <row r="161" spans="1:46" ht="18.75" customHeight="1">
      <c r="A161" s="8"/>
      <c r="B161" s="5">
        <v>5100010001</v>
      </c>
      <c r="C161" s="7" t="s">
        <v>395</v>
      </c>
      <c r="D161" s="10" t="s">
        <v>597</v>
      </c>
      <c r="E161" s="6">
        <v>2</v>
      </c>
      <c r="F161" s="6">
        <v>0</v>
      </c>
      <c r="G161" s="6">
        <v>2</v>
      </c>
      <c r="H161" s="6">
        <v>3</v>
      </c>
      <c r="I161" s="6">
        <v>0</v>
      </c>
      <c r="J161" s="6">
        <v>2</v>
      </c>
      <c r="K161" s="6">
        <v>100</v>
      </c>
      <c r="L161" s="6">
        <v>1</v>
      </c>
      <c r="M161" s="6">
        <v>2</v>
      </c>
      <c r="N161" s="6">
        <v>120</v>
      </c>
      <c r="O161" s="6" t="b">
        <v>0</v>
      </c>
      <c r="P161" s="6">
        <v>0</v>
      </c>
      <c r="Q161" s="6">
        <v>0</v>
      </c>
      <c r="R161" s="5">
        <v>49</v>
      </c>
      <c r="S161" s="5">
        <v>0</v>
      </c>
      <c r="T161" s="5">
        <v>0</v>
      </c>
      <c r="U161" s="5" t="b">
        <v>1</v>
      </c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53"/>
      <c r="AG161" s="53"/>
      <c r="AH161" s="53"/>
      <c r="AI161" s="53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</row>
    <row r="162" spans="1:46" ht="18.75" customHeight="1">
      <c r="A162" s="8"/>
      <c r="B162" s="5">
        <v>5100010002</v>
      </c>
      <c r="C162" s="7" t="s">
        <v>1338</v>
      </c>
      <c r="D162" s="10" t="s">
        <v>597</v>
      </c>
      <c r="E162" s="6">
        <v>2</v>
      </c>
      <c r="F162" s="6">
        <v>0</v>
      </c>
      <c r="G162" s="6">
        <v>2</v>
      </c>
      <c r="H162" s="6">
        <v>3</v>
      </c>
      <c r="I162" s="6">
        <v>0</v>
      </c>
      <c r="J162" s="6">
        <v>2</v>
      </c>
      <c r="K162" s="6">
        <v>100</v>
      </c>
      <c r="L162" s="6">
        <v>1</v>
      </c>
      <c r="M162" s="6">
        <v>2</v>
      </c>
      <c r="N162" s="6">
        <v>120</v>
      </c>
      <c r="O162" s="6" t="b">
        <v>0</v>
      </c>
      <c r="P162" s="6">
        <v>0</v>
      </c>
      <c r="Q162" s="6">
        <v>0</v>
      </c>
      <c r="R162" s="5">
        <v>49</v>
      </c>
      <c r="S162" s="5">
        <v>0</v>
      </c>
      <c r="T162" s="5">
        <v>0</v>
      </c>
      <c r="U162" s="5" t="b">
        <v>1</v>
      </c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53"/>
      <c r="AG162" s="53"/>
      <c r="AH162" s="53"/>
      <c r="AI162" s="53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</row>
    <row r="163" spans="1:46" ht="18.75" customHeight="1">
      <c r="A163" s="8"/>
      <c r="B163" s="5">
        <v>5100010003</v>
      </c>
      <c r="C163" s="7" t="s">
        <v>1406</v>
      </c>
      <c r="D163" s="10" t="s">
        <v>597</v>
      </c>
      <c r="E163" s="6">
        <v>2</v>
      </c>
      <c r="F163" s="6">
        <v>0</v>
      </c>
      <c r="G163" s="6">
        <v>2</v>
      </c>
      <c r="H163" s="6">
        <v>3</v>
      </c>
      <c r="I163" s="6">
        <v>0</v>
      </c>
      <c r="J163" s="6">
        <v>2</v>
      </c>
      <c r="K163" s="6">
        <v>100</v>
      </c>
      <c r="L163" s="6">
        <v>1</v>
      </c>
      <c r="M163" s="6">
        <v>2</v>
      </c>
      <c r="N163" s="6">
        <v>120</v>
      </c>
      <c r="O163" s="6" t="b">
        <v>0</v>
      </c>
      <c r="P163" s="6">
        <v>0</v>
      </c>
      <c r="Q163" s="6">
        <v>0</v>
      </c>
      <c r="R163" s="5">
        <v>49</v>
      </c>
      <c r="S163" s="5">
        <v>0</v>
      </c>
      <c r="T163" s="5">
        <v>0</v>
      </c>
      <c r="U163" s="5" t="b">
        <v>1</v>
      </c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53"/>
      <c r="AG163" s="53"/>
      <c r="AH163" s="53"/>
      <c r="AI163" s="53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</row>
    <row r="164" spans="1:46" ht="18.75" customHeight="1">
      <c r="A164" s="8"/>
      <c r="B164" s="5">
        <v>5200010001</v>
      </c>
      <c r="C164" s="7" t="s">
        <v>396</v>
      </c>
      <c r="D164" s="10" t="s">
        <v>598</v>
      </c>
      <c r="E164" s="7">
        <v>2</v>
      </c>
      <c r="F164" s="7">
        <v>0</v>
      </c>
      <c r="G164" s="7">
        <v>2</v>
      </c>
      <c r="H164" s="7">
        <v>4</v>
      </c>
      <c r="I164" s="6">
        <v>0</v>
      </c>
      <c r="J164" s="7">
        <v>2</v>
      </c>
      <c r="K164" s="6">
        <v>100</v>
      </c>
      <c r="L164" s="7">
        <v>1</v>
      </c>
      <c r="M164" s="7">
        <v>2</v>
      </c>
      <c r="N164" s="7">
        <v>150</v>
      </c>
      <c r="O164" s="6" t="b">
        <v>0</v>
      </c>
      <c r="P164" s="6">
        <v>0</v>
      </c>
      <c r="Q164" s="6">
        <v>0</v>
      </c>
      <c r="R164" s="7">
        <v>49</v>
      </c>
      <c r="S164" s="5">
        <v>0</v>
      </c>
      <c r="T164" s="7">
        <v>0</v>
      </c>
      <c r="U164" s="5" t="b">
        <v>1</v>
      </c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53"/>
      <c r="AG164" s="53"/>
      <c r="AH164" s="53"/>
      <c r="AI164" s="53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</row>
    <row r="165" spans="1:46" ht="18.75" customHeight="1">
      <c r="A165" s="8"/>
      <c r="B165" s="5">
        <v>5200010002</v>
      </c>
      <c r="C165" s="7" t="s">
        <v>1339</v>
      </c>
      <c r="D165" s="10" t="s">
        <v>598</v>
      </c>
      <c r="E165" s="7">
        <v>2</v>
      </c>
      <c r="F165" s="7">
        <v>0</v>
      </c>
      <c r="G165" s="7">
        <v>2</v>
      </c>
      <c r="H165" s="7">
        <v>4</v>
      </c>
      <c r="I165" s="6">
        <v>0</v>
      </c>
      <c r="J165" s="7">
        <v>2</v>
      </c>
      <c r="K165" s="6">
        <v>100</v>
      </c>
      <c r="L165" s="7">
        <v>1</v>
      </c>
      <c r="M165" s="7">
        <v>2</v>
      </c>
      <c r="N165" s="7">
        <v>150</v>
      </c>
      <c r="O165" s="6" t="b">
        <v>0</v>
      </c>
      <c r="P165" s="6">
        <v>0</v>
      </c>
      <c r="Q165" s="6">
        <v>0</v>
      </c>
      <c r="R165" s="7">
        <v>49</v>
      </c>
      <c r="S165" s="5">
        <v>0</v>
      </c>
      <c r="T165" s="7">
        <v>0</v>
      </c>
      <c r="U165" s="5" t="b">
        <v>1</v>
      </c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53"/>
      <c r="AG165" s="53"/>
      <c r="AH165" s="53"/>
      <c r="AI165" s="53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</row>
    <row r="166" spans="1:46" ht="18.75" customHeight="1">
      <c r="A166" s="8"/>
      <c r="B166" s="5">
        <v>5200010003</v>
      </c>
      <c r="C166" s="7" t="s">
        <v>1407</v>
      </c>
      <c r="D166" s="10" t="s">
        <v>598</v>
      </c>
      <c r="E166" s="7">
        <v>2</v>
      </c>
      <c r="F166" s="7">
        <v>0</v>
      </c>
      <c r="G166" s="7">
        <v>2</v>
      </c>
      <c r="H166" s="7">
        <v>4</v>
      </c>
      <c r="I166" s="6">
        <v>0</v>
      </c>
      <c r="J166" s="7">
        <v>2</v>
      </c>
      <c r="K166" s="6">
        <v>100</v>
      </c>
      <c r="L166" s="7">
        <v>1</v>
      </c>
      <c r="M166" s="7">
        <v>2</v>
      </c>
      <c r="N166" s="7">
        <v>150</v>
      </c>
      <c r="O166" s="6" t="b">
        <v>0</v>
      </c>
      <c r="P166" s="6">
        <v>0</v>
      </c>
      <c r="Q166" s="6">
        <v>0</v>
      </c>
      <c r="R166" s="7">
        <v>49</v>
      </c>
      <c r="S166" s="5">
        <v>0</v>
      </c>
      <c r="T166" s="7">
        <v>0</v>
      </c>
      <c r="U166" s="5" t="b">
        <v>1</v>
      </c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53"/>
      <c r="AG166" s="53"/>
      <c r="AH166" s="53"/>
      <c r="AI166" s="53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</row>
    <row r="167" spans="1:46" ht="18.75" customHeight="1">
      <c r="A167" s="8"/>
      <c r="B167" s="7">
        <v>5300010001</v>
      </c>
      <c r="C167" s="7" t="s">
        <v>397</v>
      </c>
      <c r="D167" s="10" t="s">
        <v>599</v>
      </c>
      <c r="E167" s="7">
        <v>2</v>
      </c>
      <c r="F167" s="6">
        <v>0</v>
      </c>
      <c r="G167" s="7">
        <v>1</v>
      </c>
      <c r="H167" s="7">
        <v>6</v>
      </c>
      <c r="I167" s="6">
        <v>0</v>
      </c>
      <c r="J167" s="7">
        <v>2</v>
      </c>
      <c r="K167" s="6">
        <v>100</v>
      </c>
      <c r="L167" s="7">
        <v>14</v>
      </c>
      <c r="M167" s="7">
        <v>2</v>
      </c>
      <c r="N167" s="7">
        <v>200</v>
      </c>
      <c r="O167" s="6" t="b">
        <v>0</v>
      </c>
      <c r="P167" s="6">
        <v>0</v>
      </c>
      <c r="Q167" s="6">
        <v>0</v>
      </c>
      <c r="R167" s="7">
        <v>1</v>
      </c>
      <c r="S167" s="5">
        <v>0</v>
      </c>
      <c r="T167" s="7">
        <v>0</v>
      </c>
      <c r="U167" s="5" t="b">
        <v>1</v>
      </c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53"/>
      <c r="AG167" s="53"/>
      <c r="AH167" s="53"/>
      <c r="AI167" s="53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</row>
    <row r="168" spans="1:46" ht="18.75" customHeight="1">
      <c r="A168" s="8"/>
      <c r="B168" s="5">
        <v>5300010002</v>
      </c>
      <c r="C168" s="7" t="s">
        <v>1340</v>
      </c>
      <c r="D168" s="10" t="s">
        <v>599</v>
      </c>
      <c r="E168" s="7">
        <v>2</v>
      </c>
      <c r="F168" s="6">
        <v>0</v>
      </c>
      <c r="G168" s="7">
        <v>1</v>
      </c>
      <c r="H168" s="7">
        <v>6</v>
      </c>
      <c r="I168" s="6">
        <v>0</v>
      </c>
      <c r="J168" s="7">
        <v>2</v>
      </c>
      <c r="K168" s="6">
        <v>100</v>
      </c>
      <c r="L168" s="7">
        <v>14</v>
      </c>
      <c r="M168" s="7">
        <v>2</v>
      </c>
      <c r="N168" s="7">
        <v>200</v>
      </c>
      <c r="O168" s="6" t="b">
        <v>0</v>
      </c>
      <c r="P168" s="6">
        <v>0</v>
      </c>
      <c r="Q168" s="6">
        <v>0</v>
      </c>
      <c r="R168" s="7">
        <v>1</v>
      </c>
      <c r="S168" s="5">
        <v>0</v>
      </c>
      <c r="T168" s="7">
        <v>0</v>
      </c>
      <c r="U168" s="5" t="b">
        <v>1</v>
      </c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53"/>
      <c r="AG168" s="53"/>
      <c r="AH168" s="53"/>
      <c r="AI168" s="53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</row>
    <row r="169" spans="1:46" ht="18.75" customHeight="1">
      <c r="A169" s="8"/>
      <c r="B169" s="5">
        <v>5300010003</v>
      </c>
      <c r="C169" s="7" t="s">
        <v>1408</v>
      </c>
      <c r="D169" s="10" t="s">
        <v>599</v>
      </c>
      <c r="E169" s="7">
        <v>2</v>
      </c>
      <c r="F169" s="6">
        <v>0</v>
      </c>
      <c r="G169" s="7">
        <v>1</v>
      </c>
      <c r="H169" s="7">
        <v>6</v>
      </c>
      <c r="I169" s="6">
        <v>0</v>
      </c>
      <c r="J169" s="7">
        <v>2</v>
      </c>
      <c r="K169" s="6">
        <v>100</v>
      </c>
      <c r="L169" s="7">
        <v>14</v>
      </c>
      <c r="M169" s="7">
        <v>2</v>
      </c>
      <c r="N169" s="7">
        <v>200</v>
      </c>
      <c r="O169" s="6" t="b">
        <v>0</v>
      </c>
      <c r="P169" s="6">
        <v>0</v>
      </c>
      <c r="Q169" s="6">
        <v>0</v>
      </c>
      <c r="R169" s="7">
        <v>1</v>
      </c>
      <c r="S169" s="5">
        <v>0</v>
      </c>
      <c r="T169" s="7">
        <v>0</v>
      </c>
      <c r="U169" s="5" t="b">
        <v>1</v>
      </c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53"/>
      <c r="AG169" s="53"/>
      <c r="AH169" s="53"/>
      <c r="AI169" s="53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</row>
    <row r="170" spans="1:46" ht="18.75" customHeight="1">
      <c r="A170" s="8"/>
      <c r="B170" s="5">
        <v>5400010001</v>
      </c>
      <c r="C170" s="7" t="s">
        <v>398</v>
      </c>
      <c r="D170" s="10" t="s">
        <v>600</v>
      </c>
      <c r="E170" s="7">
        <v>1</v>
      </c>
      <c r="F170" s="7">
        <v>0</v>
      </c>
      <c r="G170" s="7">
        <v>3</v>
      </c>
      <c r="H170" s="7">
        <v>1</v>
      </c>
      <c r="I170" s="6">
        <v>0</v>
      </c>
      <c r="J170" s="7">
        <v>1</v>
      </c>
      <c r="K170" s="6">
        <v>100</v>
      </c>
      <c r="L170" s="7">
        <v>1</v>
      </c>
      <c r="M170" s="7">
        <v>0</v>
      </c>
      <c r="N170" s="7">
        <v>25</v>
      </c>
      <c r="O170" s="6" t="b">
        <v>0</v>
      </c>
      <c r="P170" s="6">
        <v>0</v>
      </c>
      <c r="Q170" s="6">
        <v>0</v>
      </c>
      <c r="R170" s="7">
        <v>3</v>
      </c>
      <c r="S170" s="5">
        <v>0</v>
      </c>
      <c r="T170" s="7">
        <v>-1</v>
      </c>
      <c r="U170" s="5" t="b">
        <v>1</v>
      </c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53"/>
      <c r="AG170" s="53"/>
      <c r="AH170" s="53"/>
      <c r="AI170" s="53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</row>
    <row r="171" spans="1:46" ht="18.75" customHeight="1">
      <c r="A171" s="8"/>
      <c r="B171" s="5">
        <v>5400010002</v>
      </c>
      <c r="C171" s="7" t="s">
        <v>1341</v>
      </c>
      <c r="D171" s="10" t="s">
        <v>600</v>
      </c>
      <c r="E171" s="7">
        <v>1</v>
      </c>
      <c r="F171" s="7">
        <v>0</v>
      </c>
      <c r="G171" s="7">
        <v>3</v>
      </c>
      <c r="H171" s="7">
        <v>1</v>
      </c>
      <c r="I171" s="6">
        <v>0</v>
      </c>
      <c r="J171" s="7">
        <v>1</v>
      </c>
      <c r="K171" s="6">
        <v>100</v>
      </c>
      <c r="L171" s="7">
        <v>1</v>
      </c>
      <c r="M171" s="7">
        <v>0</v>
      </c>
      <c r="N171" s="7">
        <v>25</v>
      </c>
      <c r="O171" s="6" t="b">
        <v>0</v>
      </c>
      <c r="P171" s="6">
        <v>0</v>
      </c>
      <c r="Q171" s="6">
        <v>0</v>
      </c>
      <c r="R171" s="7">
        <v>3</v>
      </c>
      <c r="S171" s="5">
        <v>0</v>
      </c>
      <c r="T171" s="7">
        <v>-1</v>
      </c>
      <c r="U171" s="5" t="b">
        <v>1</v>
      </c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53"/>
      <c r="AG171" s="53"/>
      <c r="AH171" s="53"/>
      <c r="AI171" s="53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</row>
    <row r="172" spans="1:46" ht="18.75" customHeight="1">
      <c r="A172" s="8"/>
      <c r="B172" s="5">
        <v>5400010003</v>
      </c>
      <c r="C172" s="7" t="s">
        <v>1409</v>
      </c>
      <c r="D172" s="10" t="s">
        <v>600</v>
      </c>
      <c r="E172" s="7">
        <v>1</v>
      </c>
      <c r="F172" s="7">
        <v>0</v>
      </c>
      <c r="G172" s="7">
        <v>3</v>
      </c>
      <c r="H172" s="7">
        <v>1</v>
      </c>
      <c r="I172" s="6">
        <v>0</v>
      </c>
      <c r="J172" s="7">
        <v>1</v>
      </c>
      <c r="K172" s="6">
        <v>100</v>
      </c>
      <c r="L172" s="7">
        <v>1</v>
      </c>
      <c r="M172" s="7">
        <v>0</v>
      </c>
      <c r="N172" s="7">
        <v>25</v>
      </c>
      <c r="O172" s="6" t="b">
        <v>0</v>
      </c>
      <c r="P172" s="6">
        <v>0</v>
      </c>
      <c r="Q172" s="6">
        <v>0</v>
      </c>
      <c r="R172" s="7">
        <v>3</v>
      </c>
      <c r="S172" s="5">
        <v>0</v>
      </c>
      <c r="T172" s="7">
        <v>-1</v>
      </c>
      <c r="U172" s="5" t="b">
        <v>1</v>
      </c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53"/>
      <c r="AG172" s="53"/>
      <c r="AH172" s="53"/>
      <c r="AI172" s="53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</row>
    <row r="173" spans="1:46" ht="18.75" customHeight="1">
      <c r="A173" s="8"/>
      <c r="B173" s="5">
        <v>5500010001</v>
      </c>
      <c r="C173" s="7" t="s">
        <v>399</v>
      </c>
      <c r="D173" s="10" t="s">
        <v>601</v>
      </c>
      <c r="E173" s="7">
        <v>3</v>
      </c>
      <c r="F173" s="6">
        <v>0</v>
      </c>
      <c r="G173" s="7">
        <v>3</v>
      </c>
      <c r="H173" s="7">
        <v>7</v>
      </c>
      <c r="I173" s="6">
        <v>0</v>
      </c>
      <c r="J173" s="7">
        <v>2</v>
      </c>
      <c r="K173" s="6">
        <v>100</v>
      </c>
      <c r="L173" s="7">
        <v>2</v>
      </c>
      <c r="M173" s="7">
        <v>2</v>
      </c>
      <c r="N173" s="7">
        <v>400</v>
      </c>
      <c r="O173" s="6" t="b">
        <v>0</v>
      </c>
      <c r="P173" s="6">
        <v>0</v>
      </c>
      <c r="Q173" s="6">
        <v>0</v>
      </c>
      <c r="R173" s="7">
        <v>3</v>
      </c>
      <c r="S173" s="5">
        <v>0</v>
      </c>
      <c r="T173" s="7">
        <v>4</v>
      </c>
      <c r="U173" s="5" t="b">
        <v>1</v>
      </c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53"/>
      <c r="AG173" s="53"/>
      <c r="AH173" s="53"/>
      <c r="AI173" s="53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</row>
    <row r="174" spans="1:46" ht="18.75" customHeight="1">
      <c r="A174" s="8"/>
      <c r="B174" s="5">
        <v>5500010002</v>
      </c>
      <c r="C174" s="7" t="s">
        <v>1342</v>
      </c>
      <c r="D174" s="10" t="s">
        <v>601</v>
      </c>
      <c r="E174" s="7">
        <v>3</v>
      </c>
      <c r="F174" s="6">
        <v>0</v>
      </c>
      <c r="G174" s="7">
        <v>3</v>
      </c>
      <c r="H174" s="7">
        <v>7</v>
      </c>
      <c r="I174" s="6">
        <v>0</v>
      </c>
      <c r="J174" s="7">
        <v>2</v>
      </c>
      <c r="K174" s="6">
        <v>100</v>
      </c>
      <c r="L174" s="7">
        <v>2</v>
      </c>
      <c r="M174" s="7">
        <v>2</v>
      </c>
      <c r="N174" s="7">
        <v>400</v>
      </c>
      <c r="O174" s="6" t="b">
        <v>0</v>
      </c>
      <c r="P174" s="6">
        <v>0</v>
      </c>
      <c r="Q174" s="6">
        <v>0</v>
      </c>
      <c r="R174" s="7">
        <v>3</v>
      </c>
      <c r="S174" s="5">
        <v>0</v>
      </c>
      <c r="T174" s="7">
        <v>4</v>
      </c>
      <c r="U174" s="5" t="b">
        <v>1</v>
      </c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53"/>
      <c r="AG174" s="53"/>
      <c r="AH174" s="53"/>
      <c r="AI174" s="53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</row>
    <row r="175" spans="1:46" ht="18.75" customHeight="1">
      <c r="A175" s="8"/>
      <c r="B175" s="5">
        <v>5500010003</v>
      </c>
      <c r="C175" s="7" t="s">
        <v>1410</v>
      </c>
      <c r="D175" s="10" t="s">
        <v>601</v>
      </c>
      <c r="E175" s="7">
        <v>3</v>
      </c>
      <c r="F175" s="6">
        <v>0</v>
      </c>
      <c r="G175" s="7">
        <v>3</v>
      </c>
      <c r="H175" s="7">
        <v>7</v>
      </c>
      <c r="I175" s="6">
        <v>0</v>
      </c>
      <c r="J175" s="7">
        <v>2</v>
      </c>
      <c r="K175" s="6">
        <v>100</v>
      </c>
      <c r="L175" s="7">
        <v>2</v>
      </c>
      <c r="M175" s="7">
        <v>2</v>
      </c>
      <c r="N175" s="7">
        <v>400</v>
      </c>
      <c r="O175" s="6" t="b">
        <v>0</v>
      </c>
      <c r="P175" s="6">
        <v>0</v>
      </c>
      <c r="Q175" s="6">
        <v>0</v>
      </c>
      <c r="R175" s="7">
        <v>3</v>
      </c>
      <c r="S175" s="5">
        <v>0</v>
      </c>
      <c r="T175" s="7">
        <v>4</v>
      </c>
      <c r="U175" s="5" t="b">
        <v>1</v>
      </c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53"/>
      <c r="AG175" s="53"/>
      <c r="AH175" s="53"/>
      <c r="AI175" s="53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</row>
    <row r="176" spans="1:46" ht="18.75" customHeight="1">
      <c r="A176" s="8"/>
      <c r="B176" s="7">
        <v>5600010001</v>
      </c>
      <c r="C176" s="7" t="s">
        <v>400</v>
      </c>
      <c r="D176" s="10" t="s">
        <v>602</v>
      </c>
      <c r="E176" s="6">
        <v>2</v>
      </c>
      <c r="F176" s="7">
        <v>0</v>
      </c>
      <c r="G176" s="6">
        <v>2</v>
      </c>
      <c r="H176" s="6">
        <v>3</v>
      </c>
      <c r="I176" s="6">
        <v>0</v>
      </c>
      <c r="J176" s="6">
        <v>2</v>
      </c>
      <c r="K176" s="6">
        <v>100</v>
      </c>
      <c r="L176" s="6">
        <v>1</v>
      </c>
      <c r="M176" s="6">
        <v>2</v>
      </c>
      <c r="N176" s="6">
        <v>120</v>
      </c>
      <c r="O176" s="6" t="b">
        <v>0</v>
      </c>
      <c r="P176" s="6">
        <v>0</v>
      </c>
      <c r="Q176" s="6">
        <v>0</v>
      </c>
      <c r="R176" s="5">
        <v>49</v>
      </c>
      <c r="S176" s="5">
        <v>0</v>
      </c>
      <c r="T176" s="5">
        <v>0</v>
      </c>
      <c r="U176" s="5" t="b">
        <v>1</v>
      </c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53"/>
      <c r="AG176" s="53"/>
      <c r="AH176" s="53"/>
      <c r="AI176" s="53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</row>
    <row r="177" spans="1:46" ht="18.75" customHeight="1">
      <c r="A177" s="8"/>
      <c r="B177" s="5">
        <v>5600010002</v>
      </c>
      <c r="C177" s="7" t="s">
        <v>1343</v>
      </c>
      <c r="D177" s="10" t="s">
        <v>602</v>
      </c>
      <c r="E177" s="6">
        <v>2</v>
      </c>
      <c r="F177" s="7">
        <v>0</v>
      </c>
      <c r="G177" s="6">
        <v>2</v>
      </c>
      <c r="H177" s="6">
        <v>3</v>
      </c>
      <c r="I177" s="6">
        <v>0</v>
      </c>
      <c r="J177" s="6">
        <v>2</v>
      </c>
      <c r="K177" s="6">
        <v>100</v>
      </c>
      <c r="L177" s="6">
        <v>1</v>
      </c>
      <c r="M177" s="6">
        <v>2</v>
      </c>
      <c r="N177" s="6">
        <v>120</v>
      </c>
      <c r="O177" s="6" t="b">
        <v>0</v>
      </c>
      <c r="P177" s="6">
        <v>0</v>
      </c>
      <c r="Q177" s="6">
        <v>0</v>
      </c>
      <c r="R177" s="5">
        <v>49</v>
      </c>
      <c r="S177" s="5">
        <v>0</v>
      </c>
      <c r="T177" s="5">
        <v>0</v>
      </c>
      <c r="U177" s="5" t="b">
        <v>1</v>
      </c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53"/>
      <c r="AG177" s="53"/>
      <c r="AH177" s="53"/>
      <c r="AI177" s="53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</row>
    <row r="178" spans="1:46" ht="18.75" customHeight="1">
      <c r="A178" s="8"/>
      <c r="B178" s="5">
        <v>5600010003</v>
      </c>
      <c r="C178" s="7" t="s">
        <v>1411</v>
      </c>
      <c r="D178" s="10" t="s">
        <v>602</v>
      </c>
      <c r="E178" s="6">
        <v>2</v>
      </c>
      <c r="F178" s="7">
        <v>0</v>
      </c>
      <c r="G178" s="6">
        <v>2</v>
      </c>
      <c r="H178" s="6">
        <v>3</v>
      </c>
      <c r="I178" s="6">
        <v>0</v>
      </c>
      <c r="J178" s="6">
        <v>2</v>
      </c>
      <c r="K178" s="6">
        <v>100</v>
      </c>
      <c r="L178" s="6">
        <v>1</v>
      </c>
      <c r="M178" s="6">
        <v>2</v>
      </c>
      <c r="N178" s="6">
        <v>120</v>
      </c>
      <c r="O178" s="6" t="b">
        <v>0</v>
      </c>
      <c r="P178" s="6">
        <v>0</v>
      </c>
      <c r="Q178" s="6">
        <v>0</v>
      </c>
      <c r="R178" s="5">
        <v>49</v>
      </c>
      <c r="S178" s="5">
        <v>0</v>
      </c>
      <c r="T178" s="5">
        <v>0</v>
      </c>
      <c r="U178" s="5" t="b">
        <v>1</v>
      </c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53"/>
      <c r="AG178" s="53"/>
      <c r="AH178" s="53"/>
      <c r="AI178" s="53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</row>
    <row r="179" spans="1:46" ht="18.75" customHeight="1">
      <c r="A179" s="8"/>
      <c r="B179" s="5">
        <v>5700010001</v>
      </c>
      <c r="C179" s="7" t="s">
        <v>401</v>
      </c>
      <c r="D179" s="10" t="s">
        <v>603</v>
      </c>
      <c r="E179" s="7">
        <v>2</v>
      </c>
      <c r="F179" s="6">
        <v>0</v>
      </c>
      <c r="G179" s="7">
        <v>2</v>
      </c>
      <c r="H179" s="7">
        <v>4</v>
      </c>
      <c r="I179" s="6">
        <v>0</v>
      </c>
      <c r="J179" s="7">
        <v>2</v>
      </c>
      <c r="K179" s="6">
        <v>100</v>
      </c>
      <c r="L179" s="7">
        <v>1</v>
      </c>
      <c r="M179" s="7">
        <v>2</v>
      </c>
      <c r="N179" s="7">
        <v>150</v>
      </c>
      <c r="O179" s="6" t="b">
        <v>0</v>
      </c>
      <c r="P179" s="6">
        <v>0</v>
      </c>
      <c r="Q179" s="6">
        <v>0</v>
      </c>
      <c r="R179" s="7">
        <v>49</v>
      </c>
      <c r="S179" s="5">
        <v>0</v>
      </c>
      <c r="T179" s="7">
        <v>0</v>
      </c>
      <c r="U179" s="5" t="b">
        <v>1</v>
      </c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53"/>
      <c r="AG179" s="53"/>
      <c r="AH179" s="53"/>
      <c r="AI179" s="53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</row>
    <row r="180" spans="1:46" ht="18.75" customHeight="1">
      <c r="A180" s="8"/>
      <c r="B180" s="5">
        <v>5700010002</v>
      </c>
      <c r="C180" s="7" t="s">
        <v>1344</v>
      </c>
      <c r="D180" s="10" t="s">
        <v>603</v>
      </c>
      <c r="E180" s="7">
        <v>2</v>
      </c>
      <c r="F180" s="6">
        <v>0</v>
      </c>
      <c r="G180" s="7">
        <v>2</v>
      </c>
      <c r="H180" s="7">
        <v>4</v>
      </c>
      <c r="I180" s="6">
        <v>0</v>
      </c>
      <c r="J180" s="7">
        <v>2</v>
      </c>
      <c r="K180" s="6">
        <v>100</v>
      </c>
      <c r="L180" s="7">
        <v>1</v>
      </c>
      <c r="M180" s="7">
        <v>2</v>
      </c>
      <c r="N180" s="7">
        <v>150</v>
      </c>
      <c r="O180" s="6" t="b">
        <v>0</v>
      </c>
      <c r="P180" s="6">
        <v>0</v>
      </c>
      <c r="Q180" s="6">
        <v>0</v>
      </c>
      <c r="R180" s="7">
        <v>49</v>
      </c>
      <c r="S180" s="5">
        <v>0</v>
      </c>
      <c r="T180" s="7">
        <v>0</v>
      </c>
      <c r="U180" s="5" t="b">
        <v>1</v>
      </c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53"/>
      <c r="AG180" s="53"/>
      <c r="AH180" s="53"/>
      <c r="AI180" s="53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</row>
    <row r="181" spans="1:46" ht="18.75" customHeight="1">
      <c r="A181" s="8"/>
      <c r="B181" s="5">
        <v>5700010003</v>
      </c>
      <c r="C181" s="7" t="s">
        <v>1412</v>
      </c>
      <c r="D181" s="10" t="s">
        <v>603</v>
      </c>
      <c r="E181" s="7">
        <v>2</v>
      </c>
      <c r="F181" s="6">
        <v>0</v>
      </c>
      <c r="G181" s="7">
        <v>2</v>
      </c>
      <c r="H181" s="7">
        <v>4</v>
      </c>
      <c r="I181" s="6">
        <v>0</v>
      </c>
      <c r="J181" s="7">
        <v>2</v>
      </c>
      <c r="K181" s="6">
        <v>100</v>
      </c>
      <c r="L181" s="7">
        <v>1</v>
      </c>
      <c r="M181" s="7">
        <v>2</v>
      </c>
      <c r="N181" s="7">
        <v>150</v>
      </c>
      <c r="O181" s="6" t="b">
        <v>0</v>
      </c>
      <c r="P181" s="6">
        <v>0</v>
      </c>
      <c r="Q181" s="6">
        <v>0</v>
      </c>
      <c r="R181" s="7">
        <v>49</v>
      </c>
      <c r="S181" s="5">
        <v>0</v>
      </c>
      <c r="T181" s="7">
        <v>0</v>
      </c>
      <c r="U181" s="5" t="b">
        <v>1</v>
      </c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53"/>
      <c r="AG181" s="53"/>
      <c r="AH181" s="53"/>
      <c r="AI181" s="53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</row>
    <row r="182" spans="1:46" ht="18.75" customHeight="1">
      <c r="A182" s="8"/>
      <c r="B182" s="5">
        <v>5800010001</v>
      </c>
      <c r="C182" s="7" t="s">
        <v>402</v>
      </c>
      <c r="D182" s="10" t="s">
        <v>604</v>
      </c>
      <c r="E182" s="7">
        <v>2</v>
      </c>
      <c r="F182" s="7">
        <v>0</v>
      </c>
      <c r="G182" s="7">
        <v>1</v>
      </c>
      <c r="H182" s="7">
        <v>6</v>
      </c>
      <c r="I182" s="6">
        <v>0</v>
      </c>
      <c r="J182" s="7">
        <v>2</v>
      </c>
      <c r="K182" s="6">
        <v>100</v>
      </c>
      <c r="L182" s="7">
        <v>14</v>
      </c>
      <c r="M182" s="7">
        <v>2</v>
      </c>
      <c r="N182" s="7">
        <v>200</v>
      </c>
      <c r="O182" s="6" t="b">
        <v>0</v>
      </c>
      <c r="P182" s="6">
        <v>0</v>
      </c>
      <c r="Q182" s="6">
        <v>0</v>
      </c>
      <c r="R182" s="7">
        <v>1</v>
      </c>
      <c r="S182" s="5">
        <v>0</v>
      </c>
      <c r="T182" s="7">
        <v>0</v>
      </c>
      <c r="U182" s="5" t="b">
        <v>1</v>
      </c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53"/>
      <c r="AG182" s="53"/>
      <c r="AH182" s="53"/>
      <c r="AI182" s="53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</row>
    <row r="183" spans="1:46" ht="18.75" customHeight="1">
      <c r="A183" s="8"/>
      <c r="B183" s="5">
        <v>5800010002</v>
      </c>
      <c r="C183" s="7" t="s">
        <v>1345</v>
      </c>
      <c r="D183" s="10" t="s">
        <v>604</v>
      </c>
      <c r="E183" s="7">
        <v>2</v>
      </c>
      <c r="F183" s="7">
        <v>0</v>
      </c>
      <c r="G183" s="7">
        <v>1</v>
      </c>
      <c r="H183" s="7">
        <v>6</v>
      </c>
      <c r="I183" s="6">
        <v>0</v>
      </c>
      <c r="J183" s="7">
        <v>2</v>
      </c>
      <c r="K183" s="6">
        <v>100</v>
      </c>
      <c r="L183" s="7">
        <v>14</v>
      </c>
      <c r="M183" s="7">
        <v>2</v>
      </c>
      <c r="N183" s="7">
        <v>200</v>
      </c>
      <c r="O183" s="6" t="b">
        <v>0</v>
      </c>
      <c r="P183" s="6">
        <v>0</v>
      </c>
      <c r="Q183" s="6">
        <v>0</v>
      </c>
      <c r="R183" s="7">
        <v>1</v>
      </c>
      <c r="S183" s="5">
        <v>0</v>
      </c>
      <c r="T183" s="7">
        <v>0</v>
      </c>
      <c r="U183" s="5" t="b">
        <v>1</v>
      </c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53"/>
      <c r="AG183" s="53"/>
      <c r="AH183" s="53"/>
      <c r="AI183" s="53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</row>
    <row r="184" spans="1:46" ht="18.75" customHeight="1">
      <c r="A184" s="8"/>
      <c r="B184" s="5">
        <v>5800010003</v>
      </c>
      <c r="C184" s="7" t="s">
        <v>1413</v>
      </c>
      <c r="D184" s="10" t="s">
        <v>604</v>
      </c>
      <c r="E184" s="7">
        <v>2</v>
      </c>
      <c r="F184" s="7">
        <v>0</v>
      </c>
      <c r="G184" s="7">
        <v>1</v>
      </c>
      <c r="H184" s="7">
        <v>6</v>
      </c>
      <c r="I184" s="6">
        <v>0</v>
      </c>
      <c r="J184" s="7">
        <v>2</v>
      </c>
      <c r="K184" s="6">
        <v>100</v>
      </c>
      <c r="L184" s="7">
        <v>14</v>
      </c>
      <c r="M184" s="7">
        <v>2</v>
      </c>
      <c r="N184" s="7">
        <v>200</v>
      </c>
      <c r="O184" s="6" t="b">
        <v>0</v>
      </c>
      <c r="P184" s="6">
        <v>0</v>
      </c>
      <c r="Q184" s="6">
        <v>0</v>
      </c>
      <c r="R184" s="7">
        <v>1</v>
      </c>
      <c r="S184" s="5">
        <v>0</v>
      </c>
      <c r="T184" s="7">
        <v>0</v>
      </c>
      <c r="U184" s="5" t="b">
        <v>1</v>
      </c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53"/>
      <c r="AG184" s="53"/>
      <c r="AH184" s="53"/>
      <c r="AI184" s="53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</row>
    <row r="185" spans="1:46" ht="18.75" customHeight="1">
      <c r="A185" s="8"/>
      <c r="B185" s="7">
        <v>5900010001</v>
      </c>
      <c r="C185" s="7" t="s">
        <v>403</v>
      </c>
      <c r="D185" s="10" t="s">
        <v>605</v>
      </c>
      <c r="E185" s="7">
        <v>1</v>
      </c>
      <c r="F185" s="6">
        <v>0</v>
      </c>
      <c r="G185" s="7">
        <v>3</v>
      </c>
      <c r="H185" s="7">
        <v>1</v>
      </c>
      <c r="I185" s="6">
        <v>0</v>
      </c>
      <c r="J185" s="7">
        <v>1</v>
      </c>
      <c r="K185" s="6">
        <v>100</v>
      </c>
      <c r="L185" s="7">
        <v>1</v>
      </c>
      <c r="M185" s="7">
        <v>0</v>
      </c>
      <c r="N185" s="7">
        <v>25</v>
      </c>
      <c r="O185" s="6" t="b">
        <v>0</v>
      </c>
      <c r="P185" s="6">
        <v>0</v>
      </c>
      <c r="Q185" s="6">
        <v>0</v>
      </c>
      <c r="R185" s="7">
        <v>3</v>
      </c>
      <c r="S185" s="5">
        <v>0</v>
      </c>
      <c r="T185" s="7">
        <v>-1</v>
      </c>
      <c r="U185" s="5" t="b">
        <v>1</v>
      </c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53"/>
      <c r="AG185" s="53"/>
      <c r="AH185" s="53"/>
      <c r="AI185" s="53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</row>
    <row r="186" spans="1:46" ht="18.75" customHeight="1">
      <c r="A186" s="8"/>
      <c r="B186" s="5">
        <v>5900010002</v>
      </c>
      <c r="C186" s="7" t="s">
        <v>1346</v>
      </c>
      <c r="D186" s="10" t="s">
        <v>605</v>
      </c>
      <c r="E186" s="7">
        <v>1</v>
      </c>
      <c r="F186" s="6">
        <v>0</v>
      </c>
      <c r="G186" s="7">
        <v>3</v>
      </c>
      <c r="H186" s="7">
        <v>1</v>
      </c>
      <c r="I186" s="6">
        <v>0</v>
      </c>
      <c r="J186" s="7">
        <v>1</v>
      </c>
      <c r="K186" s="6">
        <v>100</v>
      </c>
      <c r="L186" s="7">
        <v>1</v>
      </c>
      <c r="M186" s="7">
        <v>0</v>
      </c>
      <c r="N186" s="7">
        <v>25</v>
      </c>
      <c r="O186" s="6" t="b">
        <v>0</v>
      </c>
      <c r="P186" s="6">
        <v>0</v>
      </c>
      <c r="Q186" s="6">
        <v>0</v>
      </c>
      <c r="R186" s="7">
        <v>3</v>
      </c>
      <c r="S186" s="5">
        <v>0</v>
      </c>
      <c r="T186" s="7">
        <v>-1</v>
      </c>
      <c r="U186" s="5" t="b">
        <v>1</v>
      </c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53"/>
      <c r="AG186" s="53"/>
      <c r="AH186" s="53"/>
      <c r="AI186" s="53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</row>
    <row r="187" spans="1:46" ht="18.75" customHeight="1">
      <c r="A187" s="8"/>
      <c r="B187" s="5">
        <v>5900010003</v>
      </c>
      <c r="C187" s="7" t="s">
        <v>1414</v>
      </c>
      <c r="D187" s="10" t="s">
        <v>605</v>
      </c>
      <c r="E187" s="7">
        <v>1</v>
      </c>
      <c r="F187" s="6">
        <v>0</v>
      </c>
      <c r="G187" s="7">
        <v>3</v>
      </c>
      <c r="H187" s="7">
        <v>1</v>
      </c>
      <c r="I187" s="6">
        <v>0</v>
      </c>
      <c r="J187" s="7">
        <v>1</v>
      </c>
      <c r="K187" s="6">
        <v>100</v>
      </c>
      <c r="L187" s="7">
        <v>1</v>
      </c>
      <c r="M187" s="7">
        <v>0</v>
      </c>
      <c r="N187" s="7">
        <v>25</v>
      </c>
      <c r="O187" s="6" t="b">
        <v>0</v>
      </c>
      <c r="P187" s="6">
        <v>0</v>
      </c>
      <c r="Q187" s="6">
        <v>0</v>
      </c>
      <c r="R187" s="7">
        <v>3</v>
      </c>
      <c r="S187" s="5">
        <v>0</v>
      </c>
      <c r="T187" s="7">
        <v>-1</v>
      </c>
      <c r="U187" s="5" t="b">
        <v>1</v>
      </c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53"/>
      <c r="AG187" s="53"/>
      <c r="AH187" s="53"/>
      <c r="AI187" s="53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</row>
    <row r="188" spans="1:46" ht="18.75" customHeight="1">
      <c r="A188" s="8"/>
      <c r="B188" s="5">
        <v>6000010001</v>
      </c>
      <c r="C188" s="7" t="s">
        <v>404</v>
      </c>
      <c r="D188" s="10" t="s">
        <v>606</v>
      </c>
      <c r="E188" s="7">
        <v>3</v>
      </c>
      <c r="F188" s="7">
        <v>0</v>
      </c>
      <c r="G188" s="7">
        <v>3</v>
      </c>
      <c r="H188" s="7">
        <v>7</v>
      </c>
      <c r="I188" s="6">
        <v>0</v>
      </c>
      <c r="J188" s="7">
        <v>2</v>
      </c>
      <c r="K188" s="6">
        <v>100</v>
      </c>
      <c r="L188" s="7">
        <v>2</v>
      </c>
      <c r="M188" s="7">
        <v>2</v>
      </c>
      <c r="N188" s="7">
        <v>400</v>
      </c>
      <c r="O188" s="6" t="b">
        <v>0</v>
      </c>
      <c r="P188" s="6">
        <v>0</v>
      </c>
      <c r="Q188" s="6">
        <v>0</v>
      </c>
      <c r="R188" s="7">
        <v>3</v>
      </c>
      <c r="S188" s="5">
        <v>0</v>
      </c>
      <c r="T188" s="7">
        <v>4</v>
      </c>
      <c r="U188" s="5" t="b">
        <v>1</v>
      </c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53"/>
      <c r="AG188" s="53"/>
      <c r="AH188" s="53"/>
      <c r="AI188" s="53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</row>
    <row r="189" spans="1:46" ht="53.25" customHeight="1">
      <c r="A189" s="8"/>
      <c r="B189" s="5">
        <v>6000010002</v>
      </c>
      <c r="C189" s="7" t="s">
        <v>1347</v>
      </c>
      <c r="D189" s="10" t="s">
        <v>606</v>
      </c>
      <c r="E189" s="7">
        <v>3</v>
      </c>
      <c r="F189" s="7">
        <v>0</v>
      </c>
      <c r="G189" s="7">
        <v>3</v>
      </c>
      <c r="H189" s="7">
        <v>7</v>
      </c>
      <c r="I189" s="6">
        <v>0</v>
      </c>
      <c r="J189" s="7">
        <v>2</v>
      </c>
      <c r="K189" s="6">
        <v>100</v>
      </c>
      <c r="L189" s="7">
        <v>2</v>
      </c>
      <c r="M189" s="7">
        <v>2</v>
      </c>
      <c r="N189" s="7">
        <v>400</v>
      </c>
      <c r="O189" s="6" t="b">
        <v>0</v>
      </c>
      <c r="P189" s="6">
        <v>0</v>
      </c>
      <c r="Q189" s="6">
        <v>0</v>
      </c>
      <c r="R189" s="7">
        <v>3</v>
      </c>
      <c r="S189" s="5">
        <v>0</v>
      </c>
      <c r="T189" s="7">
        <v>4</v>
      </c>
      <c r="U189" s="5" t="b">
        <v>1</v>
      </c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53"/>
      <c r="AG189" s="53"/>
      <c r="AH189" s="53"/>
      <c r="AI189" s="53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</row>
    <row r="190" spans="1:46" ht="36" customHeight="1">
      <c r="A190" s="8"/>
      <c r="B190" s="5">
        <v>6000010003</v>
      </c>
      <c r="C190" s="7" t="s">
        <v>1415</v>
      </c>
      <c r="D190" s="10" t="s">
        <v>606</v>
      </c>
      <c r="E190" s="7">
        <v>3</v>
      </c>
      <c r="F190" s="7">
        <v>0</v>
      </c>
      <c r="G190" s="7">
        <v>3</v>
      </c>
      <c r="H190" s="7">
        <v>7</v>
      </c>
      <c r="I190" s="6">
        <v>0</v>
      </c>
      <c r="J190" s="7">
        <v>2</v>
      </c>
      <c r="K190" s="6">
        <v>100</v>
      </c>
      <c r="L190" s="7">
        <v>2</v>
      </c>
      <c r="M190" s="7">
        <v>2</v>
      </c>
      <c r="N190" s="7">
        <v>400</v>
      </c>
      <c r="O190" s="6" t="b">
        <v>0</v>
      </c>
      <c r="P190" s="6">
        <v>0</v>
      </c>
      <c r="Q190" s="6">
        <v>0</v>
      </c>
      <c r="R190" s="7">
        <v>3</v>
      </c>
      <c r="S190" s="5">
        <v>0</v>
      </c>
      <c r="T190" s="7">
        <v>4</v>
      </c>
      <c r="U190" s="5" t="b">
        <v>1</v>
      </c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53"/>
      <c r="AG190" s="53"/>
      <c r="AH190" s="53"/>
      <c r="AI190" s="53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</row>
    <row r="191" spans="1:46" ht="18.75" customHeight="1">
      <c r="B191" s="5">
        <v>6100010001</v>
      </c>
      <c r="C191" s="7" t="s">
        <v>405</v>
      </c>
      <c r="D191" s="10" t="s">
        <v>607</v>
      </c>
      <c r="E191" s="6">
        <v>2</v>
      </c>
      <c r="F191" s="6">
        <v>0</v>
      </c>
      <c r="G191" s="6">
        <v>2</v>
      </c>
      <c r="H191" s="6">
        <v>3</v>
      </c>
      <c r="I191" s="6">
        <v>0</v>
      </c>
      <c r="J191" s="6">
        <v>2</v>
      </c>
      <c r="K191" s="6">
        <v>100</v>
      </c>
      <c r="L191" s="6">
        <v>1</v>
      </c>
      <c r="M191" s="6">
        <v>2</v>
      </c>
      <c r="N191" s="6">
        <v>120</v>
      </c>
      <c r="O191" s="6" t="b">
        <v>0</v>
      </c>
      <c r="P191" s="6">
        <v>0</v>
      </c>
      <c r="Q191" s="6">
        <v>0</v>
      </c>
      <c r="R191" s="5">
        <v>49</v>
      </c>
      <c r="S191" s="5">
        <v>0</v>
      </c>
      <c r="T191" s="5">
        <v>0</v>
      </c>
      <c r="U191" s="5" t="b">
        <v>1</v>
      </c>
    </row>
    <row r="192" spans="1:46" ht="18.75" customHeight="1">
      <c r="B192" s="5">
        <v>6100010002</v>
      </c>
      <c r="C192" s="7" t="s">
        <v>1348</v>
      </c>
      <c r="D192" s="10" t="s">
        <v>607</v>
      </c>
      <c r="E192" s="6">
        <v>2</v>
      </c>
      <c r="F192" s="6">
        <v>0</v>
      </c>
      <c r="G192" s="6">
        <v>2</v>
      </c>
      <c r="H192" s="6">
        <v>3</v>
      </c>
      <c r="I192" s="6">
        <v>0</v>
      </c>
      <c r="J192" s="6">
        <v>2</v>
      </c>
      <c r="K192" s="6">
        <v>100</v>
      </c>
      <c r="L192" s="6">
        <v>1</v>
      </c>
      <c r="M192" s="6">
        <v>2</v>
      </c>
      <c r="N192" s="6">
        <v>120</v>
      </c>
      <c r="O192" s="6" t="b">
        <v>0</v>
      </c>
      <c r="P192" s="6">
        <v>0</v>
      </c>
      <c r="Q192" s="6">
        <v>0</v>
      </c>
      <c r="R192" s="5">
        <v>49</v>
      </c>
      <c r="S192" s="5">
        <v>0</v>
      </c>
      <c r="T192" s="5">
        <v>0</v>
      </c>
      <c r="U192" s="5" t="b">
        <v>1</v>
      </c>
      <c r="V192" s="54"/>
      <c r="W192" s="54"/>
      <c r="X192" s="54"/>
      <c r="Y192" s="54"/>
      <c r="Z192" s="54"/>
      <c r="AA192" s="54"/>
      <c r="AB192" s="54"/>
      <c r="AC192" s="54"/>
      <c r="AD192" s="54"/>
      <c r="AE192" s="54"/>
      <c r="AF192" s="54"/>
      <c r="AG192" s="54"/>
      <c r="AH192" s="54"/>
      <c r="AI192" s="54"/>
    </row>
    <row r="193" spans="1:35" ht="18.75" customHeight="1">
      <c r="B193" s="5">
        <v>6100010003</v>
      </c>
      <c r="C193" s="7" t="s">
        <v>1416</v>
      </c>
      <c r="D193" s="10" t="s">
        <v>607</v>
      </c>
      <c r="E193" s="6">
        <v>2</v>
      </c>
      <c r="F193" s="6">
        <v>0</v>
      </c>
      <c r="G193" s="6">
        <v>2</v>
      </c>
      <c r="H193" s="6">
        <v>3</v>
      </c>
      <c r="I193" s="6">
        <v>0</v>
      </c>
      <c r="J193" s="6">
        <v>2</v>
      </c>
      <c r="K193" s="6">
        <v>100</v>
      </c>
      <c r="L193" s="6">
        <v>1</v>
      </c>
      <c r="M193" s="6">
        <v>2</v>
      </c>
      <c r="N193" s="6">
        <v>120</v>
      </c>
      <c r="O193" s="6" t="b">
        <v>0</v>
      </c>
      <c r="P193" s="6">
        <v>0</v>
      </c>
      <c r="Q193" s="6">
        <v>0</v>
      </c>
      <c r="R193" s="5">
        <v>49</v>
      </c>
      <c r="S193" s="5">
        <v>0</v>
      </c>
      <c r="T193" s="5">
        <v>0</v>
      </c>
      <c r="U193" s="5" t="b">
        <v>1</v>
      </c>
      <c r="V193" s="54"/>
      <c r="W193" s="54"/>
      <c r="X193" s="54"/>
      <c r="Y193" s="54"/>
      <c r="Z193" s="54"/>
      <c r="AA193" s="54"/>
      <c r="AB193" s="54"/>
      <c r="AC193" s="54"/>
      <c r="AD193" s="54"/>
      <c r="AE193" s="54"/>
      <c r="AF193" s="54"/>
      <c r="AG193" s="54"/>
      <c r="AH193" s="54"/>
      <c r="AI193" s="54"/>
    </row>
    <row r="194" spans="1:35" ht="18.75" customHeight="1">
      <c r="B194" s="7">
        <v>6200010001</v>
      </c>
      <c r="C194" s="7" t="s">
        <v>406</v>
      </c>
      <c r="D194" s="10" t="s">
        <v>608</v>
      </c>
      <c r="E194" s="7">
        <v>2</v>
      </c>
      <c r="F194" s="7">
        <v>0</v>
      </c>
      <c r="G194" s="7">
        <v>2</v>
      </c>
      <c r="H194" s="7">
        <v>4</v>
      </c>
      <c r="I194" s="6">
        <v>0</v>
      </c>
      <c r="J194" s="7">
        <v>2</v>
      </c>
      <c r="K194" s="6">
        <v>100</v>
      </c>
      <c r="L194" s="7">
        <v>1</v>
      </c>
      <c r="M194" s="7">
        <v>2</v>
      </c>
      <c r="N194" s="7">
        <v>150</v>
      </c>
      <c r="O194" s="6" t="b">
        <v>0</v>
      </c>
      <c r="P194" s="6">
        <v>0</v>
      </c>
      <c r="Q194" s="6">
        <v>0</v>
      </c>
      <c r="R194" s="7">
        <v>49</v>
      </c>
      <c r="S194" s="5">
        <v>0</v>
      </c>
      <c r="T194" s="7">
        <v>0</v>
      </c>
      <c r="U194" s="5" t="b">
        <v>1</v>
      </c>
    </row>
    <row r="195" spans="1:35" ht="18.75" customHeight="1">
      <c r="B195" s="5">
        <v>6200010002</v>
      </c>
      <c r="C195" s="7" t="s">
        <v>1349</v>
      </c>
      <c r="D195" s="10" t="s">
        <v>608</v>
      </c>
      <c r="E195" s="7">
        <v>2</v>
      </c>
      <c r="F195" s="7">
        <v>0</v>
      </c>
      <c r="G195" s="7">
        <v>2</v>
      </c>
      <c r="H195" s="7">
        <v>4</v>
      </c>
      <c r="I195" s="6">
        <v>0</v>
      </c>
      <c r="J195" s="7">
        <v>2</v>
      </c>
      <c r="K195" s="6">
        <v>100</v>
      </c>
      <c r="L195" s="7">
        <v>1</v>
      </c>
      <c r="M195" s="7">
        <v>2</v>
      </c>
      <c r="N195" s="7">
        <v>150</v>
      </c>
      <c r="O195" s="6" t="b">
        <v>0</v>
      </c>
      <c r="P195" s="6">
        <v>0</v>
      </c>
      <c r="Q195" s="6">
        <v>0</v>
      </c>
      <c r="R195" s="7">
        <v>49</v>
      </c>
      <c r="S195" s="5">
        <v>0</v>
      </c>
      <c r="T195" s="7">
        <v>0</v>
      </c>
      <c r="U195" s="5" t="b">
        <v>1</v>
      </c>
      <c r="V195" s="54"/>
      <c r="W195" s="54"/>
      <c r="X195" s="54"/>
      <c r="Y195" s="54"/>
      <c r="Z195" s="54"/>
      <c r="AA195" s="54"/>
      <c r="AB195" s="54"/>
      <c r="AC195" s="54"/>
      <c r="AD195" s="54"/>
      <c r="AE195" s="54"/>
      <c r="AF195" s="54"/>
      <c r="AG195" s="54"/>
      <c r="AH195" s="54"/>
      <c r="AI195" s="54"/>
    </row>
    <row r="196" spans="1:35" ht="18.75" customHeight="1">
      <c r="B196" s="5">
        <v>6200010003</v>
      </c>
      <c r="C196" s="7" t="s">
        <v>1417</v>
      </c>
      <c r="D196" s="10" t="s">
        <v>608</v>
      </c>
      <c r="E196" s="7">
        <v>2</v>
      </c>
      <c r="F196" s="7">
        <v>0</v>
      </c>
      <c r="G196" s="7">
        <v>2</v>
      </c>
      <c r="H196" s="7">
        <v>4</v>
      </c>
      <c r="I196" s="6">
        <v>0</v>
      </c>
      <c r="J196" s="7">
        <v>2</v>
      </c>
      <c r="K196" s="6">
        <v>100</v>
      </c>
      <c r="L196" s="7">
        <v>1</v>
      </c>
      <c r="M196" s="7">
        <v>2</v>
      </c>
      <c r="N196" s="7">
        <v>150</v>
      </c>
      <c r="O196" s="6" t="b">
        <v>0</v>
      </c>
      <c r="P196" s="6">
        <v>0</v>
      </c>
      <c r="Q196" s="6">
        <v>0</v>
      </c>
      <c r="R196" s="7">
        <v>49</v>
      </c>
      <c r="S196" s="5">
        <v>0</v>
      </c>
      <c r="T196" s="7">
        <v>0</v>
      </c>
      <c r="U196" s="5" t="b">
        <v>1</v>
      </c>
      <c r="V196" s="54"/>
      <c r="W196" s="54"/>
      <c r="X196" s="54"/>
      <c r="Y196" s="54"/>
      <c r="Z196" s="54"/>
      <c r="AA196" s="54"/>
      <c r="AB196" s="54"/>
      <c r="AC196" s="54"/>
      <c r="AD196" s="54"/>
      <c r="AE196" s="54"/>
      <c r="AF196" s="54"/>
      <c r="AG196" s="54"/>
      <c r="AH196" s="54"/>
      <c r="AI196" s="54"/>
    </row>
    <row r="197" spans="1:35" ht="18.75" customHeight="1">
      <c r="B197" s="5">
        <v>6300010001</v>
      </c>
      <c r="C197" s="7" t="s">
        <v>407</v>
      </c>
      <c r="D197" s="10" t="s">
        <v>609</v>
      </c>
      <c r="E197" s="7">
        <v>2</v>
      </c>
      <c r="F197" s="6">
        <v>0</v>
      </c>
      <c r="G197" s="7">
        <v>1</v>
      </c>
      <c r="H197" s="7">
        <v>6</v>
      </c>
      <c r="I197" s="6">
        <v>0</v>
      </c>
      <c r="J197" s="7">
        <v>2</v>
      </c>
      <c r="K197" s="6">
        <v>100</v>
      </c>
      <c r="L197" s="7">
        <v>14</v>
      </c>
      <c r="M197" s="7">
        <v>2</v>
      </c>
      <c r="N197" s="7">
        <v>200</v>
      </c>
      <c r="O197" s="6" t="b">
        <v>0</v>
      </c>
      <c r="P197" s="6">
        <v>0</v>
      </c>
      <c r="Q197" s="6">
        <v>0</v>
      </c>
      <c r="R197" s="7">
        <v>1</v>
      </c>
      <c r="S197" s="5">
        <v>0</v>
      </c>
      <c r="T197" s="7">
        <v>0</v>
      </c>
      <c r="U197" s="5" t="b">
        <v>1</v>
      </c>
    </row>
    <row r="198" spans="1:35" ht="18.75" customHeight="1">
      <c r="B198" s="5">
        <v>6300010002</v>
      </c>
      <c r="C198" s="7" t="s">
        <v>1350</v>
      </c>
      <c r="D198" s="10" t="s">
        <v>609</v>
      </c>
      <c r="E198" s="7">
        <v>2</v>
      </c>
      <c r="F198" s="6">
        <v>0</v>
      </c>
      <c r="G198" s="7">
        <v>1</v>
      </c>
      <c r="H198" s="7">
        <v>6</v>
      </c>
      <c r="I198" s="6">
        <v>0</v>
      </c>
      <c r="J198" s="7">
        <v>2</v>
      </c>
      <c r="K198" s="6">
        <v>100</v>
      </c>
      <c r="L198" s="7">
        <v>14</v>
      </c>
      <c r="M198" s="7">
        <v>2</v>
      </c>
      <c r="N198" s="7">
        <v>200</v>
      </c>
      <c r="O198" s="6" t="b">
        <v>0</v>
      </c>
      <c r="P198" s="6">
        <v>0</v>
      </c>
      <c r="Q198" s="6">
        <v>0</v>
      </c>
      <c r="R198" s="7">
        <v>1</v>
      </c>
      <c r="S198" s="5">
        <v>0</v>
      </c>
      <c r="T198" s="7">
        <v>0</v>
      </c>
      <c r="U198" s="5" t="b">
        <v>1</v>
      </c>
      <c r="V198" s="54"/>
      <c r="W198" s="54"/>
      <c r="X198" s="54"/>
      <c r="Y198" s="54"/>
      <c r="Z198" s="54"/>
      <c r="AA198" s="54"/>
      <c r="AB198" s="54"/>
      <c r="AC198" s="54"/>
      <c r="AD198" s="54"/>
      <c r="AE198" s="54"/>
      <c r="AF198" s="54"/>
      <c r="AG198" s="54"/>
      <c r="AH198" s="54"/>
      <c r="AI198" s="54"/>
    </row>
    <row r="199" spans="1:35" ht="18.75" customHeight="1">
      <c r="B199" s="5">
        <v>6300010003</v>
      </c>
      <c r="C199" s="7" t="s">
        <v>1418</v>
      </c>
      <c r="D199" s="10" t="s">
        <v>609</v>
      </c>
      <c r="E199" s="7">
        <v>2</v>
      </c>
      <c r="F199" s="6">
        <v>0</v>
      </c>
      <c r="G199" s="7">
        <v>1</v>
      </c>
      <c r="H199" s="7">
        <v>6</v>
      </c>
      <c r="I199" s="6">
        <v>0</v>
      </c>
      <c r="J199" s="7">
        <v>2</v>
      </c>
      <c r="K199" s="6">
        <v>100</v>
      </c>
      <c r="L199" s="7">
        <v>14</v>
      </c>
      <c r="M199" s="7">
        <v>2</v>
      </c>
      <c r="N199" s="7">
        <v>200</v>
      </c>
      <c r="O199" s="6" t="b">
        <v>0</v>
      </c>
      <c r="P199" s="6">
        <v>0</v>
      </c>
      <c r="Q199" s="6">
        <v>0</v>
      </c>
      <c r="R199" s="7">
        <v>1</v>
      </c>
      <c r="S199" s="5">
        <v>0</v>
      </c>
      <c r="T199" s="7">
        <v>0</v>
      </c>
      <c r="U199" s="5" t="b">
        <v>1</v>
      </c>
    </row>
    <row r="200" spans="1:35" ht="18.75" customHeight="1">
      <c r="B200" s="5">
        <v>6400010001</v>
      </c>
      <c r="C200" s="7" t="s">
        <v>408</v>
      </c>
      <c r="D200" s="10" t="s">
        <v>610</v>
      </c>
      <c r="E200" s="7">
        <v>1</v>
      </c>
      <c r="F200" s="7">
        <v>0</v>
      </c>
      <c r="G200" s="7">
        <v>3</v>
      </c>
      <c r="H200" s="7">
        <v>1</v>
      </c>
      <c r="I200" s="6">
        <v>0</v>
      </c>
      <c r="J200" s="7">
        <v>1</v>
      </c>
      <c r="K200" s="6">
        <v>100</v>
      </c>
      <c r="L200" s="7">
        <v>1</v>
      </c>
      <c r="M200" s="7">
        <v>0</v>
      </c>
      <c r="N200" s="7">
        <v>25</v>
      </c>
      <c r="O200" s="6" t="b">
        <v>0</v>
      </c>
      <c r="P200" s="6">
        <v>0</v>
      </c>
      <c r="Q200" s="6">
        <v>0</v>
      </c>
      <c r="R200" s="7">
        <v>3</v>
      </c>
      <c r="S200" s="5">
        <v>0</v>
      </c>
      <c r="T200" s="7">
        <v>-1</v>
      </c>
      <c r="U200" s="5" t="b">
        <v>1</v>
      </c>
    </row>
    <row r="201" spans="1:35" ht="18.75" customHeight="1">
      <c r="A201" s="54"/>
      <c r="B201" s="5">
        <v>6400010002</v>
      </c>
      <c r="C201" s="7" t="s">
        <v>1351</v>
      </c>
      <c r="D201" s="10" t="s">
        <v>610</v>
      </c>
      <c r="E201" s="7">
        <v>1</v>
      </c>
      <c r="F201" s="7">
        <v>0</v>
      </c>
      <c r="G201" s="7">
        <v>3</v>
      </c>
      <c r="H201" s="7">
        <v>1</v>
      </c>
      <c r="I201" s="6">
        <v>0</v>
      </c>
      <c r="J201" s="7">
        <v>1</v>
      </c>
      <c r="K201" s="6">
        <v>100</v>
      </c>
      <c r="L201" s="7">
        <v>1</v>
      </c>
      <c r="M201" s="7">
        <v>0</v>
      </c>
      <c r="N201" s="7">
        <v>25</v>
      </c>
      <c r="O201" s="6" t="b">
        <v>0</v>
      </c>
      <c r="P201" s="6">
        <v>0</v>
      </c>
      <c r="Q201" s="6">
        <v>0</v>
      </c>
      <c r="R201" s="7">
        <v>3</v>
      </c>
      <c r="S201" s="5">
        <v>0</v>
      </c>
      <c r="T201" s="7">
        <v>-1</v>
      </c>
      <c r="U201" s="5" t="b">
        <v>1</v>
      </c>
    </row>
    <row r="202" spans="1:35" ht="18.75" customHeight="1">
      <c r="A202" s="54"/>
      <c r="B202" s="5">
        <v>6400010003</v>
      </c>
      <c r="C202" s="7" t="s">
        <v>1419</v>
      </c>
      <c r="D202" s="10" t="s">
        <v>610</v>
      </c>
      <c r="E202" s="7">
        <v>1</v>
      </c>
      <c r="F202" s="7">
        <v>0</v>
      </c>
      <c r="G202" s="7">
        <v>3</v>
      </c>
      <c r="H202" s="7">
        <v>1</v>
      </c>
      <c r="I202" s="6">
        <v>0</v>
      </c>
      <c r="J202" s="7">
        <v>1</v>
      </c>
      <c r="K202" s="6">
        <v>100</v>
      </c>
      <c r="L202" s="7">
        <v>1</v>
      </c>
      <c r="M202" s="7">
        <v>0</v>
      </c>
      <c r="N202" s="7">
        <v>25</v>
      </c>
      <c r="O202" s="6" t="b">
        <v>0</v>
      </c>
      <c r="P202" s="6">
        <v>0</v>
      </c>
      <c r="Q202" s="6">
        <v>0</v>
      </c>
      <c r="R202" s="7">
        <v>3</v>
      </c>
      <c r="S202" s="5">
        <v>0</v>
      </c>
      <c r="T202" s="7">
        <v>-1</v>
      </c>
      <c r="U202" s="5" t="b">
        <v>1</v>
      </c>
    </row>
    <row r="203" spans="1:35" ht="18.75" customHeight="1">
      <c r="A203" s="54"/>
      <c r="B203" s="7">
        <v>6500010001</v>
      </c>
      <c r="C203" s="7" t="s">
        <v>409</v>
      </c>
      <c r="D203" s="10" t="s">
        <v>611</v>
      </c>
      <c r="E203" s="7">
        <v>3</v>
      </c>
      <c r="F203" s="6">
        <v>0</v>
      </c>
      <c r="G203" s="7">
        <v>3</v>
      </c>
      <c r="H203" s="7">
        <v>7</v>
      </c>
      <c r="I203" s="6">
        <v>0</v>
      </c>
      <c r="J203" s="7">
        <v>2</v>
      </c>
      <c r="K203" s="6">
        <v>100</v>
      </c>
      <c r="L203" s="7">
        <v>2</v>
      </c>
      <c r="M203" s="7">
        <v>2</v>
      </c>
      <c r="N203" s="7">
        <v>400</v>
      </c>
      <c r="O203" s="6" t="b">
        <v>0</v>
      </c>
      <c r="P203" s="6">
        <v>0</v>
      </c>
      <c r="Q203" s="6">
        <v>0</v>
      </c>
      <c r="R203" s="7">
        <v>3</v>
      </c>
      <c r="S203" s="5">
        <v>0</v>
      </c>
      <c r="T203" s="7">
        <v>4</v>
      </c>
      <c r="U203" s="5" t="b">
        <v>1</v>
      </c>
    </row>
    <row r="204" spans="1:35" ht="18.75" customHeight="1">
      <c r="A204" s="54"/>
      <c r="B204" s="5">
        <v>6500010002</v>
      </c>
      <c r="C204" s="7" t="s">
        <v>1352</v>
      </c>
      <c r="D204" s="10" t="s">
        <v>611</v>
      </c>
      <c r="E204" s="7">
        <v>3</v>
      </c>
      <c r="F204" s="6">
        <v>0</v>
      </c>
      <c r="G204" s="7">
        <v>3</v>
      </c>
      <c r="H204" s="7">
        <v>7</v>
      </c>
      <c r="I204" s="6">
        <v>0</v>
      </c>
      <c r="J204" s="7">
        <v>2</v>
      </c>
      <c r="K204" s="6">
        <v>100</v>
      </c>
      <c r="L204" s="7">
        <v>2</v>
      </c>
      <c r="M204" s="7">
        <v>2</v>
      </c>
      <c r="N204" s="7">
        <v>400</v>
      </c>
      <c r="O204" s="6" t="b">
        <v>0</v>
      </c>
      <c r="P204" s="6">
        <v>0</v>
      </c>
      <c r="Q204" s="6">
        <v>0</v>
      </c>
      <c r="R204" s="7">
        <v>3</v>
      </c>
      <c r="S204" s="5">
        <v>0</v>
      </c>
      <c r="T204" s="7">
        <v>4</v>
      </c>
      <c r="U204" s="5" t="b">
        <v>1</v>
      </c>
    </row>
    <row r="205" spans="1:35" ht="18.75" customHeight="1">
      <c r="A205" s="54"/>
      <c r="B205" s="5">
        <v>6500010003</v>
      </c>
      <c r="C205" s="7" t="s">
        <v>1420</v>
      </c>
      <c r="D205" s="10" t="s">
        <v>611</v>
      </c>
      <c r="E205" s="7">
        <v>3</v>
      </c>
      <c r="F205" s="6">
        <v>0</v>
      </c>
      <c r="G205" s="7">
        <v>3</v>
      </c>
      <c r="H205" s="7">
        <v>7</v>
      </c>
      <c r="I205" s="6">
        <v>0</v>
      </c>
      <c r="J205" s="7">
        <v>2</v>
      </c>
      <c r="K205" s="6">
        <v>100</v>
      </c>
      <c r="L205" s="7">
        <v>2</v>
      </c>
      <c r="M205" s="7">
        <v>2</v>
      </c>
      <c r="N205" s="7">
        <v>400</v>
      </c>
      <c r="O205" s="6" t="b">
        <v>0</v>
      </c>
      <c r="P205" s="6">
        <v>0</v>
      </c>
      <c r="Q205" s="6">
        <v>0</v>
      </c>
      <c r="R205" s="7">
        <v>3</v>
      </c>
      <c r="S205" s="5">
        <v>0</v>
      </c>
      <c r="T205" s="7">
        <v>4</v>
      </c>
      <c r="U205" s="5" t="b">
        <v>1</v>
      </c>
    </row>
    <row r="206" spans="1:35" ht="18.75" customHeight="1">
      <c r="A206" s="54"/>
      <c r="B206" s="5">
        <v>6600010001</v>
      </c>
      <c r="C206" s="7" t="s">
        <v>410</v>
      </c>
      <c r="D206" s="10" t="s">
        <v>612</v>
      </c>
      <c r="E206" s="6">
        <v>2</v>
      </c>
      <c r="F206" s="7">
        <v>0</v>
      </c>
      <c r="G206" s="6">
        <v>2</v>
      </c>
      <c r="H206" s="6">
        <v>3</v>
      </c>
      <c r="I206" s="6">
        <v>0</v>
      </c>
      <c r="J206" s="6">
        <v>2</v>
      </c>
      <c r="K206" s="6">
        <v>100</v>
      </c>
      <c r="L206" s="6">
        <v>1</v>
      </c>
      <c r="M206" s="6">
        <v>2</v>
      </c>
      <c r="N206" s="6">
        <v>120</v>
      </c>
      <c r="O206" s="6" t="b">
        <v>0</v>
      </c>
      <c r="P206" s="6">
        <v>0</v>
      </c>
      <c r="Q206" s="6">
        <v>0</v>
      </c>
      <c r="R206" s="5">
        <v>49</v>
      </c>
      <c r="S206" s="5">
        <v>0</v>
      </c>
      <c r="T206" s="5">
        <v>0</v>
      </c>
      <c r="U206" s="5" t="b">
        <v>1</v>
      </c>
    </row>
    <row r="207" spans="1:35" ht="18.75" customHeight="1">
      <c r="A207" s="54"/>
      <c r="B207" s="5">
        <v>6600010002</v>
      </c>
      <c r="C207" s="7" t="s">
        <v>1353</v>
      </c>
      <c r="D207" s="10" t="s">
        <v>612</v>
      </c>
      <c r="E207" s="6">
        <v>2</v>
      </c>
      <c r="F207" s="7">
        <v>0</v>
      </c>
      <c r="G207" s="6">
        <v>2</v>
      </c>
      <c r="H207" s="6">
        <v>3</v>
      </c>
      <c r="I207" s="6">
        <v>0</v>
      </c>
      <c r="J207" s="6">
        <v>2</v>
      </c>
      <c r="K207" s="6">
        <v>100</v>
      </c>
      <c r="L207" s="6">
        <v>1</v>
      </c>
      <c r="M207" s="6">
        <v>2</v>
      </c>
      <c r="N207" s="6">
        <v>120</v>
      </c>
      <c r="O207" s="6" t="b">
        <v>0</v>
      </c>
      <c r="P207" s="6">
        <v>0</v>
      </c>
      <c r="Q207" s="6">
        <v>0</v>
      </c>
      <c r="R207" s="5">
        <v>49</v>
      </c>
      <c r="S207" s="5">
        <v>0</v>
      </c>
      <c r="T207" s="5">
        <v>0</v>
      </c>
      <c r="U207" s="5" t="b">
        <v>1</v>
      </c>
    </row>
    <row r="208" spans="1:35" ht="18.75" customHeight="1">
      <c r="A208" s="54"/>
      <c r="B208" s="5">
        <v>6600010003</v>
      </c>
      <c r="C208" s="7" t="s">
        <v>1421</v>
      </c>
      <c r="D208" s="10" t="s">
        <v>612</v>
      </c>
      <c r="E208" s="6">
        <v>2</v>
      </c>
      <c r="F208" s="7">
        <v>0</v>
      </c>
      <c r="G208" s="6">
        <v>2</v>
      </c>
      <c r="H208" s="6">
        <v>3</v>
      </c>
      <c r="I208" s="6">
        <v>0</v>
      </c>
      <c r="J208" s="6">
        <v>2</v>
      </c>
      <c r="K208" s="6">
        <v>100</v>
      </c>
      <c r="L208" s="6">
        <v>1</v>
      </c>
      <c r="M208" s="6">
        <v>2</v>
      </c>
      <c r="N208" s="6">
        <v>120</v>
      </c>
      <c r="O208" s="6" t="b">
        <v>0</v>
      </c>
      <c r="P208" s="6">
        <v>0</v>
      </c>
      <c r="Q208" s="6">
        <v>0</v>
      </c>
      <c r="R208" s="5">
        <v>49</v>
      </c>
      <c r="S208" s="5">
        <v>0</v>
      </c>
      <c r="T208" s="5">
        <v>0</v>
      </c>
      <c r="U208" s="5" t="b">
        <v>1</v>
      </c>
    </row>
    <row r="209" spans="1:21" ht="18.75" customHeight="1">
      <c r="A209" s="54"/>
      <c r="B209" s="5">
        <v>6700010001</v>
      </c>
      <c r="C209" s="7" t="s">
        <v>411</v>
      </c>
      <c r="D209" s="10" t="s">
        <v>613</v>
      </c>
      <c r="E209" s="7">
        <v>2</v>
      </c>
      <c r="F209" s="6">
        <v>0</v>
      </c>
      <c r="G209" s="7">
        <v>2</v>
      </c>
      <c r="H209" s="7">
        <v>4</v>
      </c>
      <c r="I209" s="6">
        <v>0</v>
      </c>
      <c r="J209" s="7">
        <v>2</v>
      </c>
      <c r="K209" s="6">
        <v>100</v>
      </c>
      <c r="L209" s="7">
        <v>1</v>
      </c>
      <c r="M209" s="7">
        <v>2</v>
      </c>
      <c r="N209" s="7">
        <v>150</v>
      </c>
      <c r="O209" s="6" t="b">
        <v>0</v>
      </c>
      <c r="P209" s="6">
        <v>0</v>
      </c>
      <c r="Q209" s="6">
        <v>0</v>
      </c>
      <c r="R209" s="7">
        <v>49</v>
      </c>
      <c r="S209" s="5">
        <v>0</v>
      </c>
      <c r="T209" s="7">
        <v>0</v>
      </c>
      <c r="U209" s="5" t="b">
        <v>1</v>
      </c>
    </row>
    <row r="210" spans="1:21" ht="18.75" customHeight="1">
      <c r="A210" s="54"/>
      <c r="B210" s="5">
        <v>6700010002</v>
      </c>
      <c r="C210" s="7" t="s">
        <v>1354</v>
      </c>
      <c r="D210" s="10" t="s">
        <v>613</v>
      </c>
      <c r="E210" s="7">
        <v>2</v>
      </c>
      <c r="F210" s="6">
        <v>0</v>
      </c>
      <c r="G210" s="7">
        <v>2</v>
      </c>
      <c r="H210" s="7">
        <v>4</v>
      </c>
      <c r="I210" s="6">
        <v>0</v>
      </c>
      <c r="J210" s="7">
        <v>2</v>
      </c>
      <c r="K210" s="6">
        <v>100</v>
      </c>
      <c r="L210" s="7">
        <v>1</v>
      </c>
      <c r="M210" s="7">
        <v>2</v>
      </c>
      <c r="N210" s="7">
        <v>150</v>
      </c>
      <c r="O210" s="6" t="b">
        <v>0</v>
      </c>
      <c r="P210" s="6">
        <v>0</v>
      </c>
      <c r="Q210" s="6">
        <v>0</v>
      </c>
      <c r="R210" s="7">
        <v>49</v>
      </c>
      <c r="S210" s="5">
        <v>0</v>
      </c>
      <c r="T210" s="7">
        <v>0</v>
      </c>
      <c r="U210" s="5" t="b">
        <v>1</v>
      </c>
    </row>
    <row r="211" spans="1:21" ht="18.75" customHeight="1">
      <c r="A211" s="54"/>
      <c r="B211" s="5">
        <v>6700010003</v>
      </c>
      <c r="C211" s="7" t="s">
        <v>1422</v>
      </c>
      <c r="D211" s="10" t="s">
        <v>613</v>
      </c>
      <c r="E211" s="7">
        <v>2</v>
      </c>
      <c r="F211" s="6">
        <v>0</v>
      </c>
      <c r="G211" s="7">
        <v>2</v>
      </c>
      <c r="H211" s="7">
        <v>4</v>
      </c>
      <c r="I211" s="6">
        <v>0</v>
      </c>
      <c r="J211" s="7">
        <v>2</v>
      </c>
      <c r="K211" s="6">
        <v>100</v>
      </c>
      <c r="L211" s="7">
        <v>1</v>
      </c>
      <c r="M211" s="7">
        <v>2</v>
      </c>
      <c r="N211" s="7">
        <v>150</v>
      </c>
      <c r="O211" s="6" t="b">
        <v>0</v>
      </c>
      <c r="P211" s="6">
        <v>0</v>
      </c>
      <c r="Q211" s="6">
        <v>0</v>
      </c>
      <c r="R211" s="7">
        <v>49</v>
      </c>
      <c r="S211" s="5">
        <v>0</v>
      </c>
      <c r="T211" s="7">
        <v>0</v>
      </c>
      <c r="U211" s="5" t="b">
        <v>1</v>
      </c>
    </row>
    <row r="212" spans="1:21" ht="18.75" customHeight="1">
      <c r="A212" s="54"/>
      <c r="B212" s="7">
        <v>6800010001</v>
      </c>
      <c r="C212" s="7" t="s">
        <v>412</v>
      </c>
      <c r="D212" s="10" t="s">
        <v>614</v>
      </c>
      <c r="E212" s="7">
        <v>2</v>
      </c>
      <c r="F212" s="7">
        <v>0</v>
      </c>
      <c r="G212" s="7">
        <v>1</v>
      </c>
      <c r="H212" s="7">
        <v>6</v>
      </c>
      <c r="I212" s="6">
        <v>0</v>
      </c>
      <c r="J212" s="7">
        <v>2</v>
      </c>
      <c r="K212" s="6">
        <v>100</v>
      </c>
      <c r="L212" s="7">
        <v>14</v>
      </c>
      <c r="M212" s="7">
        <v>2</v>
      </c>
      <c r="N212" s="7">
        <v>200</v>
      </c>
      <c r="O212" s="6" t="b">
        <v>0</v>
      </c>
      <c r="P212" s="6">
        <v>0</v>
      </c>
      <c r="Q212" s="6">
        <v>0</v>
      </c>
      <c r="R212" s="7">
        <v>1</v>
      </c>
      <c r="S212" s="5">
        <v>0</v>
      </c>
      <c r="T212" s="7">
        <v>0</v>
      </c>
      <c r="U212" s="5" t="b">
        <v>1</v>
      </c>
    </row>
    <row r="213" spans="1:21" ht="18.75" customHeight="1">
      <c r="B213" s="5">
        <v>6800010002</v>
      </c>
      <c r="C213" s="7" t="s">
        <v>1355</v>
      </c>
      <c r="D213" s="10" t="s">
        <v>614</v>
      </c>
      <c r="E213" s="7">
        <v>2</v>
      </c>
      <c r="F213" s="7">
        <v>0</v>
      </c>
      <c r="G213" s="7">
        <v>1</v>
      </c>
      <c r="H213" s="7">
        <v>6</v>
      </c>
      <c r="I213" s="6">
        <v>0</v>
      </c>
      <c r="J213" s="7">
        <v>2</v>
      </c>
      <c r="K213" s="6">
        <v>100</v>
      </c>
      <c r="L213" s="7">
        <v>14</v>
      </c>
      <c r="M213" s="7">
        <v>2</v>
      </c>
      <c r="N213" s="7">
        <v>200</v>
      </c>
      <c r="O213" s="6" t="b">
        <v>0</v>
      </c>
      <c r="P213" s="6">
        <v>0</v>
      </c>
      <c r="Q213" s="6">
        <v>0</v>
      </c>
      <c r="R213" s="7">
        <v>1</v>
      </c>
      <c r="S213" s="5">
        <v>0</v>
      </c>
      <c r="T213" s="7">
        <v>0</v>
      </c>
      <c r="U213" s="5" t="b">
        <v>1</v>
      </c>
    </row>
    <row r="214" spans="1:21" ht="18.75" customHeight="1">
      <c r="B214" s="5">
        <v>6800010003</v>
      </c>
      <c r="C214" s="7" t="s">
        <v>1423</v>
      </c>
      <c r="D214" s="10" t="s">
        <v>614</v>
      </c>
      <c r="E214" s="7">
        <v>2</v>
      </c>
      <c r="F214" s="7">
        <v>0</v>
      </c>
      <c r="G214" s="7">
        <v>1</v>
      </c>
      <c r="H214" s="7">
        <v>6</v>
      </c>
      <c r="I214" s="6">
        <v>0</v>
      </c>
      <c r="J214" s="7">
        <v>2</v>
      </c>
      <c r="K214" s="6">
        <v>100</v>
      </c>
      <c r="L214" s="7">
        <v>14</v>
      </c>
      <c r="M214" s="7">
        <v>2</v>
      </c>
      <c r="N214" s="7">
        <v>200</v>
      </c>
      <c r="O214" s="6" t="b">
        <v>0</v>
      </c>
      <c r="P214" s="6">
        <v>0</v>
      </c>
      <c r="Q214" s="6">
        <v>0</v>
      </c>
      <c r="R214" s="7">
        <v>1</v>
      </c>
      <c r="S214" s="5">
        <v>0</v>
      </c>
      <c r="T214" s="7">
        <v>0</v>
      </c>
      <c r="U214" s="5" t="b">
        <v>1</v>
      </c>
    </row>
    <row r="215" spans="1:21" ht="18.75" customHeight="1">
      <c r="B215" s="5">
        <v>6900010001</v>
      </c>
      <c r="C215" s="7" t="s">
        <v>413</v>
      </c>
      <c r="D215" s="10" t="s">
        <v>615</v>
      </c>
      <c r="E215" s="7">
        <v>1</v>
      </c>
      <c r="F215" s="6">
        <v>0</v>
      </c>
      <c r="G215" s="7">
        <v>3</v>
      </c>
      <c r="H215" s="7">
        <v>1</v>
      </c>
      <c r="I215" s="6">
        <v>0</v>
      </c>
      <c r="J215" s="7">
        <v>1</v>
      </c>
      <c r="K215" s="6">
        <v>100</v>
      </c>
      <c r="L215" s="7">
        <v>1</v>
      </c>
      <c r="M215" s="7">
        <v>0</v>
      </c>
      <c r="N215" s="7">
        <v>25</v>
      </c>
      <c r="O215" s="6" t="b">
        <v>0</v>
      </c>
      <c r="P215" s="6">
        <v>0</v>
      </c>
      <c r="Q215" s="6">
        <v>0</v>
      </c>
      <c r="R215" s="7">
        <v>3</v>
      </c>
      <c r="S215" s="5">
        <v>0</v>
      </c>
      <c r="T215" s="7">
        <v>-1</v>
      </c>
      <c r="U215" s="5" t="b">
        <v>1</v>
      </c>
    </row>
    <row r="216" spans="1:21" ht="18.75" customHeight="1">
      <c r="B216" s="5">
        <v>6900010002</v>
      </c>
      <c r="C216" s="7" t="s">
        <v>1356</v>
      </c>
      <c r="D216" s="10" t="s">
        <v>615</v>
      </c>
      <c r="E216" s="7">
        <v>1</v>
      </c>
      <c r="F216" s="6">
        <v>0</v>
      </c>
      <c r="G216" s="7">
        <v>3</v>
      </c>
      <c r="H216" s="7">
        <v>1</v>
      </c>
      <c r="I216" s="6">
        <v>0</v>
      </c>
      <c r="J216" s="7">
        <v>1</v>
      </c>
      <c r="K216" s="6">
        <v>100</v>
      </c>
      <c r="L216" s="7">
        <v>1</v>
      </c>
      <c r="M216" s="7">
        <v>0</v>
      </c>
      <c r="N216" s="7">
        <v>25</v>
      </c>
      <c r="O216" s="6" t="b">
        <v>0</v>
      </c>
      <c r="P216" s="6">
        <v>0</v>
      </c>
      <c r="Q216" s="6">
        <v>0</v>
      </c>
      <c r="R216" s="7">
        <v>3</v>
      </c>
      <c r="S216" s="5">
        <v>0</v>
      </c>
      <c r="T216" s="7">
        <v>-1</v>
      </c>
      <c r="U216" s="5" t="b">
        <v>1</v>
      </c>
    </row>
    <row r="217" spans="1:21" ht="18.75" customHeight="1">
      <c r="B217" s="5">
        <v>6900010003</v>
      </c>
      <c r="C217" s="7" t="s">
        <v>1424</v>
      </c>
      <c r="D217" s="10" t="s">
        <v>615</v>
      </c>
      <c r="E217" s="7">
        <v>1</v>
      </c>
      <c r="F217" s="6">
        <v>0</v>
      </c>
      <c r="G217" s="7">
        <v>3</v>
      </c>
      <c r="H217" s="7">
        <v>1</v>
      </c>
      <c r="I217" s="6">
        <v>0</v>
      </c>
      <c r="J217" s="7">
        <v>1</v>
      </c>
      <c r="K217" s="6">
        <v>100</v>
      </c>
      <c r="L217" s="7">
        <v>1</v>
      </c>
      <c r="M217" s="7">
        <v>0</v>
      </c>
      <c r="N217" s="7">
        <v>25</v>
      </c>
      <c r="O217" s="6" t="b">
        <v>0</v>
      </c>
      <c r="P217" s="6">
        <v>0</v>
      </c>
      <c r="Q217" s="6">
        <v>0</v>
      </c>
      <c r="R217" s="7">
        <v>3</v>
      </c>
      <c r="S217" s="5">
        <v>0</v>
      </c>
      <c r="T217" s="7">
        <v>-1</v>
      </c>
      <c r="U217" s="5" t="b">
        <v>1</v>
      </c>
    </row>
    <row r="218" spans="1:21" ht="18.75" customHeight="1">
      <c r="B218" s="5">
        <v>7000010001</v>
      </c>
      <c r="C218" s="7" t="s">
        <v>414</v>
      </c>
      <c r="D218" s="10" t="s">
        <v>616</v>
      </c>
      <c r="E218" s="7">
        <v>3</v>
      </c>
      <c r="F218" s="7">
        <v>0</v>
      </c>
      <c r="G218" s="7">
        <v>3</v>
      </c>
      <c r="H218" s="7">
        <v>7</v>
      </c>
      <c r="I218" s="6">
        <v>0</v>
      </c>
      <c r="J218" s="7">
        <v>2</v>
      </c>
      <c r="K218" s="6">
        <v>100</v>
      </c>
      <c r="L218" s="7">
        <v>2</v>
      </c>
      <c r="M218" s="7">
        <v>2</v>
      </c>
      <c r="N218" s="7">
        <v>400</v>
      </c>
      <c r="O218" s="6" t="b">
        <v>0</v>
      </c>
      <c r="P218" s="6">
        <v>0</v>
      </c>
      <c r="Q218" s="6">
        <v>0</v>
      </c>
      <c r="R218" s="7">
        <v>3</v>
      </c>
      <c r="S218" s="5">
        <v>0</v>
      </c>
      <c r="T218" s="7">
        <v>4</v>
      </c>
      <c r="U218" s="5" t="b">
        <v>1</v>
      </c>
    </row>
    <row r="219" spans="1:21" ht="18.75" customHeight="1">
      <c r="B219" s="5">
        <v>7000010002</v>
      </c>
      <c r="C219" s="7" t="s">
        <v>1357</v>
      </c>
      <c r="D219" s="10" t="s">
        <v>616</v>
      </c>
      <c r="E219" s="7">
        <v>3</v>
      </c>
      <c r="F219" s="7">
        <v>0</v>
      </c>
      <c r="G219" s="7">
        <v>3</v>
      </c>
      <c r="H219" s="7">
        <v>7</v>
      </c>
      <c r="I219" s="6">
        <v>0</v>
      </c>
      <c r="J219" s="7">
        <v>2</v>
      </c>
      <c r="K219" s="6">
        <v>100</v>
      </c>
      <c r="L219" s="7">
        <v>2</v>
      </c>
      <c r="M219" s="7">
        <v>2</v>
      </c>
      <c r="N219" s="7">
        <v>400</v>
      </c>
      <c r="O219" s="6" t="b">
        <v>0</v>
      </c>
      <c r="P219" s="6">
        <v>0</v>
      </c>
      <c r="Q219" s="6">
        <v>0</v>
      </c>
      <c r="R219" s="7">
        <v>3</v>
      </c>
      <c r="S219" s="5">
        <v>0</v>
      </c>
      <c r="T219" s="7">
        <v>4</v>
      </c>
      <c r="U219" s="5" t="b">
        <v>1</v>
      </c>
    </row>
    <row r="220" spans="1:21" ht="18.75" customHeight="1">
      <c r="B220" s="5">
        <v>7000010003</v>
      </c>
      <c r="C220" s="7" t="s">
        <v>1425</v>
      </c>
      <c r="D220" s="10" t="s">
        <v>616</v>
      </c>
      <c r="E220" s="7">
        <v>3</v>
      </c>
      <c r="F220" s="7">
        <v>0</v>
      </c>
      <c r="G220" s="7">
        <v>3</v>
      </c>
      <c r="H220" s="7">
        <v>7</v>
      </c>
      <c r="I220" s="6">
        <v>0</v>
      </c>
      <c r="J220" s="7">
        <v>2</v>
      </c>
      <c r="K220" s="6">
        <v>100</v>
      </c>
      <c r="L220" s="7">
        <v>2</v>
      </c>
      <c r="M220" s="7">
        <v>2</v>
      </c>
      <c r="N220" s="7">
        <v>400</v>
      </c>
      <c r="O220" s="6" t="b">
        <v>0</v>
      </c>
      <c r="P220" s="6">
        <v>0</v>
      </c>
      <c r="Q220" s="6">
        <v>0</v>
      </c>
      <c r="R220" s="7">
        <v>3</v>
      </c>
      <c r="S220" s="5">
        <v>0</v>
      </c>
      <c r="T220" s="7">
        <v>4</v>
      </c>
      <c r="U220" s="5" t="b">
        <v>1</v>
      </c>
    </row>
    <row r="221" spans="1:21" ht="18.75" customHeight="1">
      <c r="B221" s="5"/>
      <c r="C221" s="7"/>
      <c r="D221" s="10"/>
      <c r="E221" s="13"/>
      <c r="F221" s="13"/>
      <c r="H221" s="7"/>
      <c r="I221" s="13"/>
      <c r="J221" s="13"/>
      <c r="K221" s="13"/>
      <c r="L221" s="13"/>
    </row>
    <row r="222" spans="1:21" ht="18.75" customHeight="1">
      <c r="B222" s="7"/>
      <c r="C222" s="7"/>
      <c r="D222" s="10"/>
      <c r="E222" s="13"/>
      <c r="F222" s="13"/>
      <c r="H222" s="7"/>
      <c r="I222" s="13"/>
      <c r="J222" s="13"/>
      <c r="K222" s="13"/>
      <c r="L222" s="13"/>
    </row>
    <row r="223" spans="1:21" ht="18.75" customHeight="1">
      <c r="B223" s="5"/>
      <c r="C223" s="7"/>
      <c r="D223" s="10"/>
      <c r="E223" s="13"/>
      <c r="F223" s="13"/>
      <c r="H223" s="7"/>
      <c r="I223" s="13"/>
      <c r="J223" s="13"/>
      <c r="K223" s="13"/>
      <c r="L223" s="13"/>
    </row>
    <row r="224" spans="1:21" ht="18.75" customHeight="1">
      <c r="B224" s="7"/>
      <c r="C224" s="7"/>
      <c r="D224" s="10"/>
      <c r="E224" s="13"/>
      <c r="F224" s="13"/>
      <c r="H224" s="7"/>
      <c r="I224" s="13"/>
      <c r="J224" s="13"/>
      <c r="K224" s="13"/>
      <c r="L224" s="13"/>
    </row>
    <row r="225" spans="2:12" ht="18.75" customHeight="1">
      <c r="B225" s="5"/>
      <c r="C225" s="7"/>
      <c r="D225" s="10"/>
      <c r="E225" s="13"/>
      <c r="F225" s="13"/>
      <c r="H225" s="7"/>
      <c r="I225" s="13"/>
      <c r="J225" s="13"/>
      <c r="K225" s="13"/>
      <c r="L225" s="13"/>
    </row>
    <row r="226" spans="2:12" ht="18.75" customHeight="1">
      <c r="B226" s="5"/>
      <c r="C226" s="7"/>
      <c r="D226" s="10"/>
      <c r="E226" s="13"/>
      <c r="F226" s="13"/>
      <c r="H226" s="7"/>
      <c r="I226" s="13"/>
      <c r="J226" s="13"/>
      <c r="K226" s="13"/>
      <c r="L226" s="13"/>
    </row>
    <row r="227" spans="2:12" ht="18.75" customHeight="1">
      <c r="B227" s="7"/>
      <c r="C227" s="7"/>
      <c r="D227" s="10"/>
      <c r="E227" s="13"/>
      <c r="F227" s="13"/>
      <c r="H227" s="7"/>
      <c r="I227" s="13"/>
      <c r="J227" s="13"/>
      <c r="K227" s="13"/>
      <c r="L227" s="13"/>
    </row>
    <row r="228" spans="2:12" ht="18.75" customHeight="1">
      <c r="B228" s="5"/>
      <c r="C228" s="7"/>
      <c r="D228" s="10"/>
      <c r="E228" s="13"/>
      <c r="F228" s="13"/>
      <c r="H228" s="7"/>
      <c r="I228" s="13"/>
      <c r="J228" s="13"/>
      <c r="K228" s="13"/>
      <c r="L228" s="13"/>
    </row>
    <row r="229" spans="2:12" ht="18.75" customHeight="1">
      <c r="B229" s="7"/>
      <c r="C229" s="7"/>
      <c r="D229" s="10"/>
      <c r="E229" s="13"/>
      <c r="F229" s="13"/>
      <c r="H229" s="7"/>
      <c r="I229" s="13"/>
      <c r="J229" s="13"/>
      <c r="K229" s="13"/>
      <c r="L229" s="13"/>
    </row>
    <row r="230" spans="2:12" ht="18.75" customHeight="1">
      <c r="B230" s="5"/>
      <c r="C230" s="7"/>
      <c r="D230" s="10"/>
      <c r="E230" s="13"/>
      <c r="F230" s="13"/>
      <c r="H230" s="7"/>
      <c r="I230" s="13"/>
      <c r="J230" s="13"/>
      <c r="K230" s="13"/>
      <c r="L230" s="13"/>
    </row>
    <row r="231" spans="2:12" ht="18.75" customHeight="1">
      <c r="B231" s="5"/>
      <c r="C231" s="7"/>
      <c r="D231" s="10"/>
      <c r="E231" s="13"/>
      <c r="F231" s="13"/>
      <c r="H231" s="7"/>
      <c r="I231" s="13"/>
      <c r="J231" s="13"/>
      <c r="K231" s="13"/>
      <c r="L231" s="13"/>
    </row>
    <row r="232" spans="2:12" ht="18.75" customHeight="1">
      <c r="B232" s="7"/>
      <c r="C232" s="7"/>
      <c r="D232" s="10"/>
      <c r="E232" s="13"/>
      <c r="F232" s="13"/>
      <c r="H232" s="7"/>
      <c r="I232" s="13"/>
      <c r="J232" s="13"/>
      <c r="K232" s="13"/>
      <c r="L232" s="13"/>
    </row>
    <row r="233" spans="2:12" ht="18.75" customHeight="1">
      <c r="B233" s="5"/>
      <c r="C233" s="7"/>
      <c r="D233" s="10"/>
      <c r="E233" s="13"/>
      <c r="F233" s="13"/>
      <c r="H233" s="7"/>
      <c r="I233" s="13"/>
      <c r="J233" s="13"/>
      <c r="K233" s="13"/>
      <c r="L233" s="13"/>
    </row>
    <row r="234" spans="2:12" ht="18.75" customHeight="1">
      <c r="B234" s="7"/>
      <c r="C234" s="7"/>
      <c r="D234" s="10"/>
      <c r="E234" s="13"/>
      <c r="F234" s="13"/>
      <c r="H234" s="7"/>
      <c r="I234" s="13"/>
      <c r="J234" s="13"/>
      <c r="K234" s="13"/>
      <c r="L234" s="13"/>
    </row>
    <row r="235" spans="2:12" ht="18.75" customHeight="1">
      <c r="B235" s="5"/>
      <c r="C235" s="7"/>
      <c r="D235" s="10"/>
      <c r="E235" s="13"/>
      <c r="F235" s="13"/>
      <c r="H235" s="7"/>
      <c r="I235" s="13"/>
      <c r="J235" s="13"/>
      <c r="K235" s="13"/>
      <c r="L235" s="13"/>
    </row>
    <row r="236" spans="2:12" ht="18.75" customHeight="1">
      <c r="B236" s="5"/>
      <c r="C236" s="7"/>
      <c r="D236" s="10"/>
      <c r="E236" s="13"/>
      <c r="F236" s="13"/>
      <c r="H236" s="7"/>
      <c r="I236" s="13"/>
      <c r="J236" s="13"/>
      <c r="K236" s="13"/>
      <c r="L236" s="13"/>
    </row>
    <row r="237" spans="2:12" ht="18.75" customHeight="1">
      <c r="B237" s="7"/>
      <c r="C237" s="7"/>
      <c r="D237" s="10"/>
      <c r="E237" s="13"/>
      <c r="F237" s="13"/>
      <c r="H237" s="7"/>
      <c r="I237" s="13"/>
      <c r="J237" s="13"/>
      <c r="K237" s="13"/>
      <c r="L237" s="13"/>
    </row>
    <row r="238" spans="2:12" ht="18.75" customHeight="1">
      <c r="B238" s="5"/>
      <c r="C238" s="7"/>
      <c r="D238" s="10"/>
      <c r="E238" s="13"/>
      <c r="F238" s="13"/>
      <c r="H238" s="7"/>
      <c r="I238" s="13"/>
      <c r="J238" s="13"/>
      <c r="K238" s="13"/>
      <c r="L238" s="13"/>
    </row>
    <row r="239" spans="2:12" ht="18.75" customHeight="1">
      <c r="B239" s="7"/>
      <c r="C239" s="7"/>
      <c r="D239" s="10"/>
      <c r="E239" s="13"/>
      <c r="F239" s="13"/>
      <c r="H239" s="7"/>
      <c r="I239" s="13"/>
      <c r="J239" s="13"/>
      <c r="K239" s="13"/>
      <c r="L239" s="13"/>
    </row>
    <row r="240" spans="2:12" ht="18.75" customHeight="1">
      <c r="B240" s="5"/>
      <c r="C240" s="7"/>
      <c r="D240" s="10"/>
      <c r="E240" s="13"/>
      <c r="F240" s="13"/>
      <c r="H240" s="7"/>
      <c r="I240" s="13"/>
      <c r="J240" s="13"/>
      <c r="K240" s="13"/>
      <c r="L240" s="13"/>
    </row>
    <row r="241" spans="2:12" ht="43.5" customHeight="1">
      <c r="B241" s="5"/>
      <c r="C241" s="7"/>
      <c r="D241" s="10"/>
      <c r="E241" s="13"/>
      <c r="F241" s="13"/>
      <c r="H241" s="7"/>
      <c r="I241" s="13"/>
      <c r="J241" s="13"/>
      <c r="K241" s="13"/>
      <c r="L241" s="13"/>
    </row>
    <row r="242" spans="2:12" ht="49.5" customHeight="1">
      <c r="B242" s="7"/>
      <c r="C242" s="7"/>
      <c r="D242" s="10"/>
      <c r="E242" s="13"/>
      <c r="F242" s="13"/>
      <c r="H242" s="7"/>
      <c r="I242" s="13"/>
      <c r="J242" s="13"/>
      <c r="K242" s="13"/>
      <c r="L242" s="13"/>
    </row>
    <row r="243" spans="2:12" ht="57" customHeight="1">
      <c r="B243" s="5"/>
      <c r="C243" s="7"/>
      <c r="D243" s="10"/>
      <c r="E243" s="13"/>
      <c r="F243" s="13"/>
      <c r="H243" s="7"/>
      <c r="I243" s="13"/>
      <c r="J243" s="13"/>
      <c r="K243" s="13"/>
      <c r="L243" s="13"/>
    </row>
    <row r="244" spans="2:12" ht="60" customHeight="1">
      <c r="B244" s="7"/>
      <c r="C244" s="7"/>
      <c r="D244" s="10"/>
      <c r="E244" s="13"/>
      <c r="F244" s="13"/>
      <c r="H244" s="7"/>
      <c r="I244" s="13"/>
      <c r="J244" s="13"/>
      <c r="K244" s="13"/>
      <c r="L244" s="13"/>
    </row>
    <row r="245" spans="2:12" ht="18.75" customHeight="1">
      <c r="B245" s="5"/>
      <c r="C245" s="7"/>
      <c r="D245" s="10"/>
      <c r="E245" s="13"/>
      <c r="F245" s="13"/>
      <c r="H245" s="7"/>
      <c r="I245" s="13"/>
      <c r="J245" s="13"/>
      <c r="K245" s="13"/>
      <c r="L245" s="13"/>
    </row>
    <row r="246" spans="2:12" ht="18.75" customHeight="1">
      <c r="B246" s="7"/>
      <c r="C246" s="7"/>
      <c r="D246" s="7"/>
      <c r="E246" s="13"/>
      <c r="F246" s="13"/>
      <c r="H246" s="7"/>
      <c r="I246" s="13"/>
      <c r="J246" s="13"/>
      <c r="K246" s="13"/>
      <c r="L246" s="13"/>
    </row>
    <row r="247" spans="2:12" ht="18.75" customHeight="1">
      <c r="B247" s="5"/>
      <c r="C247" s="7"/>
      <c r="D247" s="7"/>
      <c r="E247" s="13"/>
      <c r="F247" s="13"/>
      <c r="H247" s="7"/>
      <c r="I247" s="13"/>
      <c r="J247" s="13"/>
      <c r="K247" s="13"/>
      <c r="L247" s="13"/>
    </row>
    <row r="248" spans="2:12" ht="18.75" customHeight="1">
      <c r="B248" s="7"/>
      <c r="C248" s="7"/>
      <c r="D248" s="7"/>
      <c r="E248" s="13"/>
      <c r="F248" s="13"/>
      <c r="H248" s="7"/>
      <c r="I248" s="13"/>
      <c r="J248" s="13"/>
      <c r="K248" s="13"/>
      <c r="L248" s="13"/>
    </row>
    <row r="249" spans="2:12" ht="18.75" customHeight="1">
      <c r="B249" s="5"/>
      <c r="C249" s="7"/>
      <c r="D249" s="7"/>
      <c r="E249" s="13"/>
      <c r="F249" s="13"/>
      <c r="H249" s="7"/>
      <c r="I249" s="13"/>
      <c r="J249" s="13"/>
      <c r="K249" s="13"/>
      <c r="L249" s="13"/>
    </row>
    <row r="250" spans="2:12" ht="18.75" customHeight="1">
      <c r="B250" s="7"/>
      <c r="C250" s="7"/>
      <c r="D250" s="7"/>
      <c r="E250" s="13"/>
      <c r="F250" s="13"/>
      <c r="H250" s="7"/>
      <c r="I250" s="13"/>
      <c r="J250" s="13"/>
      <c r="K250" s="13"/>
      <c r="L250" s="13"/>
    </row>
    <row r="251" spans="2:12" ht="18.75" customHeight="1"/>
    <row r="252" spans="2:12" ht="18.75" customHeight="1"/>
    <row r="253" spans="2:12" ht="18.75" customHeight="1"/>
    <row r="254" spans="2:12" ht="18.75" customHeight="1"/>
    <row r="255" spans="2:12" ht="18.75" customHeight="1"/>
    <row r="256" spans="2:12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I220">
    <sortCondition ref="B11:B220"/>
  </sortState>
  <phoneticPr fontId="3"/>
  <conditionalFormatting sqref="G26">
    <cfRule type="expression" dxfId="68" priority="13">
      <formula>CELL("ROW")=ROW()</formula>
    </cfRule>
  </conditionalFormatting>
  <conditionalFormatting sqref="E11:U29 E85:U97 F17:F220 I17:I220 E153:U165">
    <cfRule type="expression" dxfId="67" priority="12">
      <formula>CELL("ROW")=ROW()</formula>
    </cfRule>
  </conditionalFormatting>
  <conditionalFormatting sqref="A2:U9 A10:G10 V5:AI9 J10:K10 N10:O10 Q10:V10 AB10:AC10 AE10:AI10 X10:Z10 A11:U220">
    <cfRule type="expression" dxfId="66" priority="11">
      <formula>CELL("ROW")=ROW()</formula>
    </cfRule>
  </conditionalFormatting>
  <conditionalFormatting sqref="I10">
    <cfRule type="expression" dxfId="65" priority="10">
      <formula>CELL("ROW")=ROW()</formula>
    </cfRule>
  </conditionalFormatting>
  <conditionalFormatting sqref="W10">
    <cfRule type="expression" dxfId="64" priority="9">
      <formula>CELL("ROW")=ROW()</formula>
    </cfRule>
  </conditionalFormatting>
  <conditionalFormatting sqref="L10">
    <cfRule type="expression" dxfId="63" priority="8">
      <formula>CELL("ROW")=ROW()</formula>
    </cfRule>
  </conditionalFormatting>
  <conditionalFormatting sqref="M10">
    <cfRule type="expression" dxfId="62" priority="7">
      <formula>CELL("ROW")=ROW()</formula>
    </cfRule>
  </conditionalFormatting>
  <conditionalFormatting sqref="P10">
    <cfRule type="expression" dxfId="61" priority="6">
      <formula>CELL("ROW")=ROW()</formula>
    </cfRule>
  </conditionalFormatting>
  <conditionalFormatting sqref="AA10">
    <cfRule type="expression" dxfId="60" priority="5">
      <formula>CELL("ROW")=ROW()</formula>
    </cfRule>
  </conditionalFormatting>
  <conditionalFormatting sqref="AD10">
    <cfRule type="expression" dxfId="59" priority="4">
      <formula>CELL("ROW")=ROW()</formula>
    </cfRule>
  </conditionalFormatting>
  <conditionalFormatting sqref="H10">
    <cfRule type="expression" dxfId="58" priority="3">
      <formula>CELL("ROW")=ROW()</formula>
    </cfRule>
  </conditionalFormatting>
  <conditionalFormatting sqref="G94">
    <cfRule type="expression" dxfId="57" priority="2">
      <formula>CELL("ROW")=ROW()</formula>
    </cfRule>
  </conditionalFormatting>
  <conditionalFormatting sqref="G162">
    <cfRule type="expression" dxfId="56" priority="1">
      <formula>CELL("ROW")=ROW()</formula>
    </cfRule>
  </conditionalFormatting>
  <dataValidations disablePrompts="1" count="1">
    <dataValidation type="list" allowBlank="1" showErrorMessage="1" sqref="B8:AT8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12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Z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2.75" style="36" customWidth="1"/>
    <col min="3" max="3" width="21.875" style="36" customWidth="1"/>
    <col min="4" max="4" width="89.625" style="36" customWidth="1"/>
    <col min="5" max="5" width="20.875" style="36" customWidth="1"/>
    <col min="6" max="6" width="18.875" style="36" customWidth="1"/>
    <col min="7" max="8" width="20.875" style="36" customWidth="1"/>
    <col min="9" max="9" width="29.25" style="36" customWidth="1"/>
    <col min="10" max="17" width="18.875" style="36" customWidth="1"/>
    <col min="18" max="18" width="17" style="36" customWidth="1"/>
    <col min="19" max="19" width="13.25" style="36" customWidth="1"/>
    <col min="20" max="21" width="20.875" style="36" customWidth="1"/>
    <col min="22" max="22" width="33.875" style="36" customWidth="1"/>
    <col min="23" max="23" width="13.625" style="36" customWidth="1"/>
    <col min="24" max="24" width="12.625" style="36" customWidth="1"/>
    <col min="25" max="27" width="18.875" style="36" customWidth="1"/>
    <col min="28" max="28" width="12.625" style="36" customWidth="1"/>
    <col min="29" max="29" width="18.875" style="36" customWidth="1"/>
    <col min="30" max="30" width="12.625" style="36" customWidth="1"/>
    <col min="31" max="31" width="17" style="36" customWidth="1"/>
    <col min="32" max="52" width="12.625" style="36" customWidth="1"/>
    <col min="53" max="16384" width="12.625" style="36"/>
  </cols>
  <sheetData>
    <row r="1" spans="1:52" ht="12" customHeight="1"/>
    <row r="2" spans="1:52" ht="40.5" customHeight="1">
      <c r="A2" s="55" t="s">
        <v>0</v>
      </c>
      <c r="B2" s="7" t="s">
        <v>212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213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5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5" t="s">
        <v>5</v>
      </c>
      <c r="B6" s="3"/>
      <c r="C6" s="3"/>
      <c r="D6" s="3"/>
      <c r="E6" s="3"/>
      <c r="F6" s="3" t="s">
        <v>196</v>
      </c>
      <c r="G6" s="3" t="s">
        <v>208</v>
      </c>
      <c r="H6" s="3" t="s">
        <v>617</v>
      </c>
      <c r="I6" s="3" t="s">
        <v>194</v>
      </c>
      <c r="J6" s="3" t="s">
        <v>195</v>
      </c>
      <c r="K6" s="3" t="s">
        <v>197</v>
      </c>
      <c r="L6" s="3" t="s">
        <v>619</v>
      </c>
      <c r="M6" s="3" t="s">
        <v>621</v>
      </c>
      <c r="N6" s="3" t="s">
        <v>623</v>
      </c>
      <c r="O6" s="3" t="s">
        <v>217</v>
      </c>
      <c r="P6" s="3" t="s">
        <v>628</v>
      </c>
      <c r="Q6" s="3" t="s">
        <v>198</v>
      </c>
      <c r="R6" s="3" t="s">
        <v>625</v>
      </c>
      <c r="S6" s="3" t="s">
        <v>196</v>
      </c>
      <c r="T6" s="3" t="s">
        <v>208</v>
      </c>
      <c r="U6" s="3" t="s">
        <v>617</v>
      </c>
      <c r="V6" s="3" t="s">
        <v>194</v>
      </c>
      <c r="W6" s="3" t="s">
        <v>195</v>
      </c>
      <c r="X6" s="3" t="s">
        <v>197</v>
      </c>
      <c r="Y6" s="3" t="s">
        <v>619</v>
      </c>
      <c r="Z6" s="3" t="s">
        <v>621</v>
      </c>
      <c r="AA6" s="3" t="s">
        <v>623</v>
      </c>
      <c r="AB6" s="3" t="s">
        <v>217</v>
      </c>
      <c r="AC6" s="3" t="s">
        <v>628</v>
      </c>
      <c r="AD6" s="3" t="s">
        <v>198</v>
      </c>
      <c r="AE6" s="3" t="s">
        <v>625</v>
      </c>
      <c r="AF6" s="3" t="s">
        <v>196</v>
      </c>
      <c r="AG6" s="3" t="s">
        <v>208</v>
      </c>
      <c r="AH6" s="3" t="s">
        <v>617</v>
      </c>
      <c r="AI6" s="3" t="s">
        <v>194</v>
      </c>
      <c r="AJ6" s="3" t="s">
        <v>195</v>
      </c>
      <c r="AK6" s="3" t="s">
        <v>197</v>
      </c>
      <c r="AL6" s="3" t="s">
        <v>619</v>
      </c>
      <c r="AM6" s="3" t="s">
        <v>621</v>
      </c>
      <c r="AN6" s="3" t="s">
        <v>623</v>
      </c>
      <c r="AO6" s="3" t="s">
        <v>217</v>
      </c>
      <c r="AP6" s="3" t="s">
        <v>628</v>
      </c>
      <c r="AQ6" s="3" t="s">
        <v>198</v>
      </c>
      <c r="AR6" s="3" t="s">
        <v>625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5" t="s">
        <v>1922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5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7</v>
      </c>
      <c r="G8" s="4" t="s">
        <v>173</v>
      </c>
      <c r="H8" s="4" t="s">
        <v>173</v>
      </c>
      <c r="I8" s="4" t="s">
        <v>7</v>
      </c>
      <c r="J8" s="4" t="s">
        <v>7</v>
      </c>
      <c r="K8" s="4" t="s">
        <v>7</v>
      </c>
      <c r="L8" s="4" t="s">
        <v>9</v>
      </c>
      <c r="M8" s="4" t="s">
        <v>173</v>
      </c>
      <c r="N8" s="4" t="s">
        <v>173</v>
      </c>
      <c r="O8" s="4" t="s">
        <v>173</v>
      </c>
      <c r="P8" s="4" t="s">
        <v>173</v>
      </c>
      <c r="Q8" s="4" t="s">
        <v>7</v>
      </c>
      <c r="R8" s="4" t="s">
        <v>626</v>
      </c>
      <c r="S8" s="4" t="s">
        <v>7</v>
      </c>
      <c r="T8" s="4" t="s">
        <v>173</v>
      </c>
      <c r="U8" s="4" t="s">
        <v>173</v>
      </c>
      <c r="V8" s="4" t="s">
        <v>7</v>
      </c>
      <c r="W8" s="4" t="s">
        <v>7</v>
      </c>
      <c r="X8" s="4" t="s">
        <v>7</v>
      </c>
      <c r="Y8" s="4" t="s">
        <v>9</v>
      </c>
      <c r="Z8" s="4" t="s">
        <v>173</v>
      </c>
      <c r="AA8" s="4" t="s">
        <v>173</v>
      </c>
      <c r="AB8" s="4" t="s">
        <v>173</v>
      </c>
      <c r="AC8" s="4" t="s">
        <v>173</v>
      </c>
      <c r="AD8" s="4" t="s">
        <v>7</v>
      </c>
      <c r="AE8" s="4" t="s">
        <v>626</v>
      </c>
      <c r="AF8" s="4" t="s">
        <v>7</v>
      </c>
      <c r="AG8" s="4" t="s">
        <v>173</v>
      </c>
      <c r="AH8" s="4" t="s">
        <v>173</v>
      </c>
      <c r="AI8" s="4" t="s">
        <v>7</v>
      </c>
      <c r="AJ8" s="4" t="s">
        <v>7</v>
      </c>
      <c r="AK8" s="4" t="s">
        <v>7</v>
      </c>
      <c r="AL8" s="4" t="s">
        <v>9</v>
      </c>
      <c r="AM8" s="4" t="s">
        <v>173</v>
      </c>
      <c r="AN8" s="4" t="s">
        <v>173</v>
      </c>
      <c r="AO8" s="4" t="s">
        <v>173</v>
      </c>
      <c r="AP8" s="4" t="s">
        <v>173</v>
      </c>
      <c r="AQ8" s="4" t="s">
        <v>7</v>
      </c>
      <c r="AR8" s="4" t="s">
        <v>626</v>
      </c>
      <c r="AS8" s="4"/>
      <c r="AT8" s="4"/>
      <c r="AU8" s="4"/>
      <c r="AV8" s="4"/>
      <c r="AW8" s="4"/>
      <c r="AX8" s="4"/>
      <c r="AY8" s="4"/>
      <c r="AZ8" s="4"/>
    </row>
    <row r="9" spans="1:52" ht="76.5" customHeight="1">
      <c r="A9" s="55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5" t="s">
        <v>205</v>
      </c>
      <c r="G9" s="9" t="s">
        <v>209</v>
      </c>
      <c r="H9" s="9" t="s">
        <v>618</v>
      </c>
      <c r="I9" s="9" t="s">
        <v>203</v>
      </c>
      <c r="J9" s="5" t="s">
        <v>204</v>
      </c>
      <c r="K9" s="6" t="s">
        <v>206</v>
      </c>
      <c r="L9" s="6" t="s">
        <v>620</v>
      </c>
      <c r="M9" s="6" t="s">
        <v>622</v>
      </c>
      <c r="N9" s="6" t="s">
        <v>624</v>
      </c>
      <c r="O9" s="6" t="s">
        <v>218</v>
      </c>
      <c r="P9" s="6" t="s">
        <v>629</v>
      </c>
      <c r="Q9" s="6" t="s">
        <v>207</v>
      </c>
      <c r="R9" s="6" t="s">
        <v>627</v>
      </c>
      <c r="S9" s="5" t="s">
        <v>205</v>
      </c>
      <c r="T9" s="9" t="s">
        <v>209</v>
      </c>
      <c r="U9" s="9" t="s">
        <v>618</v>
      </c>
      <c r="V9" s="9" t="s">
        <v>203</v>
      </c>
      <c r="W9" s="5" t="s">
        <v>204</v>
      </c>
      <c r="X9" s="6" t="s">
        <v>206</v>
      </c>
      <c r="Y9" s="6" t="s">
        <v>620</v>
      </c>
      <c r="Z9" s="6" t="s">
        <v>622</v>
      </c>
      <c r="AA9" s="6" t="s">
        <v>624</v>
      </c>
      <c r="AB9" s="6" t="s">
        <v>218</v>
      </c>
      <c r="AC9" s="6" t="s">
        <v>629</v>
      </c>
      <c r="AD9" s="6" t="s">
        <v>207</v>
      </c>
      <c r="AE9" s="6" t="s">
        <v>627</v>
      </c>
      <c r="AF9" s="5" t="s">
        <v>205</v>
      </c>
      <c r="AG9" s="9" t="s">
        <v>209</v>
      </c>
      <c r="AH9" s="9" t="s">
        <v>618</v>
      </c>
      <c r="AI9" s="9" t="s">
        <v>203</v>
      </c>
      <c r="AJ9" s="5" t="s">
        <v>204</v>
      </c>
      <c r="AK9" s="6" t="s">
        <v>206</v>
      </c>
      <c r="AL9" s="6" t="s">
        <v>620</v>
      </c>
      <c r="AM9" s="6" t="s">
        <v>622</v>
      </c>
      <c r="AN9" s="6" t="s">
        <v>624</v>
      </c>
      <c r="AO9" s="6" t="s">
        <v>218</v>
      </c>
      <c r="AP9" s="6" t="s">
        <v>629</v>
      </c>
      <c r="AQ9" s="6" t="s">
        <v>207</v>
      </c>
      <c r="AR9" s="6" t="s">
        <v>627</v>
      </c>
      <c r="AS9" s="5"/>
      <c r="AT9" s="5"/>
      <c r="AU9" s="5"/>
      <c r="AV9" s="5"/>
      <c r="AW9" s="5"/>
      <c r="AX9" s="5"/>
      <c r="AY9" s="5"/>
      <c r="AZ9" s="5"/>
    </row>
    <row r="10" spans="1:52" ht="257.25" customHeight="1">
      <c r="A10" s="55" t="s">
        <v>12</v>
      </c>
      <c r="B10" s="6" t="s">
        <v>1427</v>
      </c>
      <c r="C10" s="6"/>
      <c r="D10" s="6"/>
      <c r="E10" s="6" t="s">
        <v>216</v>
      </c>
      <c r="F10" s="6" t="s">
        <v>210</v>
      </c>
      <c r="G10" s="6" t="s">
        <v>1275</v>
      </c>
      <c r="H10" s="6"/>
      <c r="I10" s="6" t="s">
        <v>801</v>
      </c>
      <c r="J10" s="6" t="s">
        <v>879</v>
      </c>
      <c r="K10" s="6"/>
      <c r="L10" s="6"/>
      <c r="M10" s="6" t="s">
        <v>879</v>
      </c>
      <c r="N10" s="6"/>
      <c r="O10" s="6"/>
      <c r="P10" s="6"/>
      <c r="Q10" s="6" t="s">
        <v>211</v>
      </c>
      <c r="R10" s="5"/>
      <c r="S10" s="6" t="s">
        <v>763</v>
      </c>
      <c r="T10" s="6" t="s">
        <v>1275</v>
      </c>
      <c r="U10" s="6"/>
      <c r="V10" s="6" t="s">
        <v>801</v>
      </c>
      <c r="W10" s="6" t="s">
        <v>879</v>
      </c>
      <c r="X10" s="6"/>
      <c r="Y10" s="6"/>
      <c r="Z10" s="6" t="s">
        <v>879</v>
      </c>
      <c r="AA10" s="6"/>
      <c r="AB10" s="5"/>
      <c r="AC10" s="5"/>
      <c r="AD10" s="6" t="s">
        <v>211</v>
      </c>
      <c r="AE10" s="5"/>
      <c r="AF10" s="6" t="s">
        <v>763</v>
      </c>
      <c r="AG10" s="6" t="s">
        <v>1275</v>
      </c>
      <c r="AH10" s="6"/>
      <c r="AI10" s="6" t="s">
        <v>215</v>
      </c>
      <c r="AJ10" s="6" t="s">
        <v>879</v>
      </c>
      <c r="AK10" s="6"/>
      <c r="AL10" s="6"/>
      <c r="AM10" s="6" t="s">
        <v>879</v>
      </c>
      <c r="AN10" s="6"/>
      <c r="AO10" s="5"/>
      <c r="AP10" s="5"/>
      <c r="AQ10" s="6" t="s">
        <v>211</v>
      </c>
      <c r="AR10" s="5"/>
      <c r="AS10" s="6"/>
      <c r="AT10" s="6"/>
      <c r="AU10" s="6"/>
      <c r="AV10" s="6"/>
      <c r="AW10" s="6"/>
      <c r="AX10" s="6"/>
      <c r="AY10" s="6"/>
      <c r="AZ10" s="6"/>
    </row>
    <row r="11" spans="1:52" ht="20.100000000000001" customHeight="1">
      <c r="A11" s="56" t="s">
        <v>107</v>
      </c>
      <c r="B11" s="5">
        <v>10001</v>
      </c>
      <c r="C11" s="6" t="s">
        <v>273</v>
      </c>
      <c r="D11" s="6" t="s">
        <v>510</v>
      </c>
      <c r="E11" s="6">
        <v>2</v>
      </c>
      <c r="F11" s="6">
        <v>1</v>
      </c>
      <c r="G11" s="6">
        <v>2</v>
      </c>
      <c r="H11" s="6">
        <v>100</v>
      </c>
      <c r="I11" s="6">
        <v>21</v>
      </c>
      <c r="J11" s="6">
        <v>2</v>
      </c>
      <c r="K11" s="6">
        <v>100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25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49</v>
      </c>
      <c r="AC11" s="5">
        <v>31</v>
      </c>
      <c r="AD11" s="5">
        <v>1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</row>
    <row r="12" spans="1:52" ht="18.75" customHeight="1">
      <c r="A12" s="56"/>
      <c r="B12" s="5">
        <v>10002</v>
      </c>
      <c r="C12" s="6" t="s">
        <v>1428</v>
      </c>
      <c r="D12" s="6" t="s">
        <v>510</v>
      </c>
      <c r="E12" s="6">
        <v>2</v>
      </c>
      <c r="F12" s="6">
        <v>1</v>
      </c>
      <c r="G12" s="6">
        <v>2</v>
      </c>
      <c r="H12" s="6">
        <v>100</v>
      </c>
      <c r="I12" s="6">
        <v>21</v>
      </c>
      <c r="J12" s="6">
        <v>2</v>
      </c>
      <c r="K12" s="6">
        <v>100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25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49</v>
      </c>
      <c r="AC12" s="5">
        <v>31</v>
      </c>
      <c r="AD12" s="5">
        <v>1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5">
        <v>10003</v>
      </c>
      <c r="C13" s="6" t="s">
        <v>1498</v>
      </c>
      <c r="D13" s="6" t="s">
        <v>510</v>
      </c>
      <c r="E13" s="6">
        <v>2</v>
      </c>
      <c r="F13" s="6">
        <v>1</v>
      </c>
      <c r="G13" s="6">
        <v>2</v>
      </c>
      <c r="H13" s="6">
        <v>100</v>
      </c>
      <c r="I13" s="6">
        <v>21</v>
      </c>
      <c r="J13" s="6">
        <v>2</v>
      </c>
      <c r="K13" s="6">
        <v>100</v>
      </c>
      <c r="L13" s="6" t="b">
        <v>0</v>
      </c>
      <c r="M13" s="6">
        <v>0</v>
      </c>
      <c r="N13" s="6">
        <v>0</v>
      </c>
      <c r="O13" s="5">
        <v>1</v>
      </c>
      <c r="P13" s="5">
        <v>0</v>
      </c>
      <c r="Q13" s="5">
        <v>0</v>
      </c>
      <c r="R13" s="5" t="b">
        <v>1</v>
      </c>
      <c r="S13" s="6">
        <v>3</v>
      </c>
      <c r="T13" s="6">
        <v>2</v>
      </c>
      <c r="U13" s="6">
        <v>25</v>
      </c>
      <c r="V13" s="5">
        <v>30</v>
      </c>
      <c r="W13" s="5">
        <v>0</v>
      </c>
      <c r="X13" s="5">
        <v>0</v>
      </c>
      <c r="Y13" s="6" t="b">
        <v>0</v>
      </c>
      <c r="Z13" s="6">
        <v>0</v>
      </c>
      <c r="AA13" s="6">
        <v>0</v>
      </c>
      <c r="AB13" s="5">
        <v>49</v>
      </c>
      <c r="AC13" s="5">
        <v>31</v>
      </c>
      <c r="AD13" s="5">
        <v>1</v>
      </c>
      <c r="AE13" s="5" t="b">
        <v>1</v>
      </c>
      <c r="AF13" s="6"/>
      <c r="AG13" s="6"/>
      <c r="AH13" s="6"/>
      <c r="AI13" s="6"/>
      <c r="AJ13" s="6"/>
      <c r="AK13" s="6"/>
      <c r="AL13" s="6"/>
      <c r="AM13" s="6"/>
      <c r="AN13" s="5"/>
      <c r="AO13" s="5"/>
      <c r="AP13" s="6"/>
      <c r="AQ13" s="6"/>
      <c r="AR13" s="6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20001</v>
      </c>
      <c r="C14" s="6" t="s">
        <v>274</v>
      </c>
      <c r="D14" s="7" t="s">
        <v>884</v>
      </c>
      <c r="E14" s="7">
        <v>2</v>
      </c>
      <c r="F14" s="7">
        <v>1</v>
      </c>
      <c r="G14" s="7">
        <v>2</v>
      </c>
      <c r="H14" s="6">
        <v>100</v>
      </c>
      <c r="I14" s="7">
        <v>21</v>
      </c>
      <c r="J14" s="7">
        <v>2</v>
      </c>
      <c r="K14" s="7">
        <v>100</v>
      </c>
      <c r="L14" s="6" t="b">
        <v>0</v>
      </c>
      <c r="M14" s="6">
        <v>0</v>
      </c>
      <c r="N14" s="6">
        <v>0</v>
      </c>
      <c r="O14" s="7">
        <v>1</v>
      </c>
      <c r="P14" s="5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20</v>
      </c>
      <c r="V14" s="7">
        <v>30</v>
      </c>
      <c r="W14" s="7">
        <v>0</v>
      </c>
      <c r="X14" s="7">
        <v>0</v>
      </c>
      <c r="Y14" s="6" t="b">
        <v>0</v>
      </c>
      <c r="Z14" s="6">
        <v>0</v>
      </c>
      <c r="AA14" s="6">
        <v>0</v>
      </c>
      <c r="AB14" s="7">
        <v>49</v>
      </c>
      <c r="AC14" s="5">
        <v>32</v>
      </c>
      <c r="AD14" s="7">
        <v>1</v>
      </c>
      <c r="AE14" s="5" t="b">
        <v>1</v>
      </c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20002</v>
      </c>
      <c r="C15" s="6" t="s">
        <v>1429</v>
      </c>
      <c r="D15" s="7" t="s">
        <v>884</v>
      </c>
      <c r="E15" s="7">
        <v>2</v>
      </c>
      <c r="F15" s="7">
        <v>1</v>
      </c>
      <c r="G15" s="7">
        <v>2</v>
      </c>
      <c r="H15" s="6">
        <v>100</v>
      </c>
      <c r="I15" s="7">
        <v>21</v>
      </c>
      <c r="J15" s="7">
        <v>2</v>
      </c>
      <c r="K15" s="7">
        <v>100</v>
      </c>
      <c r="L15" s="6" t="b">
        <v>0</v>
      </c>
      <c r="M15" s="6">
        <v>0</v>
      </c>
      <c r="N15" s="6">
        <v>0</v>
      </c>
      <c r="O15" s="7">
        <v>1</v>
      </c>
      <c r="P15" s="5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20</v>
      </c>
      <c r="V15" s="7">
        <v>30</v>
      </c>
      <c r="W15" s="7">
        <v>0</v>
      </c>
      <c r="X15" s="7">
        <v>0</v>
      </c>
      <c r="Y15" s="6" t="b">
        <v>0</v>
      </c>
      <c r="Z15" s="6">
        <v>0</v>
      </c>
      <c r="AA15" s="6">
        <v>0</v>
      </c>
      <c r="AB15" s="7">
        <v>49</v>
      </c>
      <c r="AC15" s="5">
        <v>32</v>
      </c>
      <c r="AD15" s="7">
        <v>1</v>
      </c>
      <c r="AE15" s="5" t="b">
        <v>1</v>
      </c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7">
        <v>20003</v>
      </c>
      <c r="C16" s="6" t="s">
        <v>1499</v>
      </c>
      <c r="D16" s="7" t="s">
        <v>884</v>
      </c>
      <c r="E16" s="7">
        <v>2</v>
      </c>
      <c r="F16" s="7">
        <v>1</v>
      </c>
      <c r="G16" s="7">
        <v>2</v>
      </c>
      <c r="H16" s="6">
        <v>100</v>
      </c>
      <c r="I16" s="7">
        <v>21</v>
      </c>
      <c r="J16" s="7">
        <v>2</v>
      </c>
      <c r="K16" s="7">
        <v>100</v>
      </c>
      <c r="L16" s="6" t="b">
        <v>0</v>
      </c>
      <c r="M16" s="6">
        <v>0</v>
      </c>
      <c r="N16" s="6">
        <v>0</v>
      </c>
      <c r="O16" s="7">
        <v>1</v>
      </c>
      <c r="P16" s="5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20</v>
      </c>
      <c r="V16" s="7">
        <v>30</v>
      </c>
      <c r="W16" s="7">
        <v>0</v>
      </c>
      <c r="X16" s="7">
        <v>0</v>
      </c>
      <c r="Y16" s="6" t="b">
        <v>0</v>
      </c>
      <c r="Z16" s="6">
        <v>0</v>
      </c>
      <c r="AA16" s="6">
        <v>0</v>
      </c>
      <c r="AB16" s="7">
        <v>49</v>
      </c>
      <c r="AC16" s="5">
        <v>32</v>
      </c>
      <c r="AD16" s="7">
        <v>1</v>
      </c>
      <c r="AE16" s="5" t="b">
        <v>1</v>
      </c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30001</v>
      </c>
      <c r="C17" s="6" t="s">
        <v>275</v>
      </c>
      <c r="D17" s="7" t="s">
        <v>269</v>
      </c>
      <c r="E17" s="7">
        <v>2</v>
      </c>
      <c r="F17" s="7">
        <v>1</v>
      </c>
      <c r="G17" s="7">
        <v>2</v>
      </c>
      <c r="H17" s="6">
        <v>100</v>
      </c>
      <c r="I17" s="7">
        <v>21</v>
      </c>
      <c r="J17" s="7">
        <v>2</v>
      </c>
      <c r="K17" s="6">
        <v>100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>
        <v>3</v>
      </c>
      <c r="T17" s="7">
        <v>2</v>
      </c>
      <c r="U17" s="6">
        <v>30</v>
      </c>
      <c r="V17" s="7">
        <v>30</v>
      </c>
      <c r="W17" s="7">
        <v>0</v>
      </c>
      <c r="X17" s="7">
        <v>0</v>
      </c>
      <c r="Y17" s="6" t="b">
        <v>0</v>
      </c>
      <c r="Z17" s="6">
        <v>0</v>
      </c>
      <c r="AA17" s="6">
        <v>0</v>
      </c>
      <c r="AB17" s="7">
        <v>49</v>
      </c>
      <c r="AC17" s="5">
        <v>37</v>
      </c>
      <c r="AD17" s="7">
        <v>1</v>
      </c>
      <c r="AE17" s="5" t="b">
        <v>1</v>
      </c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30002</v>
      </c>
      <c r="C18" s="6" t="s">
        <v>1430</v>
      </c>
      <c r="D18" s="7" t="s">
        <v>269</v>
      </c>
      <c r="E18" s="7">
        <v>2</v>
      </c>
      <c r="F18" s="7">
        <v>1</v>
      </c>
      <c r="G18" s="7">
        <v>2</v>
      </c>
      <c r="H18" s="6">
        <v>100</v>
      </c>
      <c r="I18" s="7">
        <v>21</v>
      </c>
      <c r="J18" s="7">
        <v>2</v>
      </c>
      <c r="K18" s="6">
        <v>100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>
        <v>3</v>
      </c>
      <c r="T18" s="7">
        <v>2</v>
      </c>
      <c r="U18" s="6">
        <v>30</v>
      </c>
      <c r="V18" s="7">
        <v>30</v>
      </c>
      <c r="W18" s="7">
        <v>0</v>
      </c>
      <c r="X18" s="7">
        <v>0</v>
      </c>
      <c r="Y18" s="6" t="b">
        <v>0</v>
      </c>
      <c r="Z18" s="6">
        <v>0</v>
      </c>
      <c r="AA18" s="6">
        <v>0</v>
      </c>
      <c r="AB18" s="7">
        <v>49</v>
      </c>
      <c r="AC18" s="5">
        <v>37</v>
      </c>
      <c r="AD18" s="7">
        <v>1</v>
      </c>
      <c r="AE18" s="5" t="b">
        <v>1</v>
      </c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5">
        <v>30003</v>
      </c>
      <c r="C19" s="6" t="s">
        <v>1500</v>
      </c>
      <c r="D19" s="7" t="s">
        <v>269</v>
      </c>
      <c r="E19" s="7">
        <v>2</v>
      </c>
      <c r="F19" s="7">
        <v>1</v>
      </c>
      <c r="G19" s="7">
        <v>2</v>
      </c>
      <c r="H19" s="6">
        <v>100</v>
      </c>
      <c r="I19" s="7">
        <v>21</v>
      </c>
      <c r="J19" s="7">
        <v>2</v>
      </c>
      <c r="K19" s="6">
        <v>100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>
        <v>3</v>
      </c>
      <c r="T19" s="7">
        <v>2</v>
      </c>
      <c r="U19" s="6">
        <v>30</v>
      </c>
      <c r="V19" s="7">
        <v>30</v>
      </c>
      <c r="W19" s="7">
        <v>0</v>
      </c>
      <c r="X19" s="7">
        <v>0</v>
      </c>
      <c r="Y19" s="6" t="b">
        <v>0</v>
      </c>
      <c r="Z19" s="6">
        <v>0</v>
      </c>
      <c r="AA19" s="6">
        <v>0</v>
      </c>
      <c r="AB19" s="7">
        <v>49</v>
      </c>
      <c r="AC19" s="5">
        <v>37</v>
      </c>
      <c r="AD19" s="7">
        <v>1</v>
      </c>
      <c r="AE19" s="5" t="b">
        <v>1</v>
      </c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40001</v>
      </c>
      <c r="C20" s="6" t="s">
        <v>276</v>
      </c>
      <c r="D20" s="7" t="s">
        <v>800</v>
      </c>
      <c r="E20" s="7">
        <v>2</v>
      </c>
      <c r="F20" s="7">
        <v>1</v>
      </c>
      <c r="G20" s="7">
        <v>2</v>
      </c>
      <c r="H20" s="6">
        <v>100</v>
      </c>
      <c r="I20" s="7">
        <v>21</v>
      </c>
      <c r="J20" s="7">
        <v>2</v>
      </c>
      <c r="K20" s="7">
        <v>100</v>
      </c>
      <c r="L20" s="6" t="b">
        <v>0</v>
      </c>
      <c r="M20" s="6">
        <v>0</v>
      </c>
      <c r="N20" s="6">
        <v>0</v>
      </c>
      <c r="O20" s="7">
        <v>1</v>
      </c>
      <c r="P20" s="5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30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49</v>
      </c>
      <c r="AC20" s="5">
        <v>36</v>
      </c>
      <c r="AD20" s="7">
        <v>1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40002</v>
      </c>
      <c r="C21" s="6" t="s">
        <v>1431</v>
      </c>
      <c r="D21" s="7" t="s">
        <v>800</v>
      </c>
      <c r="E21" s="7">
        <v>2</v>
      </c>
      <c r="F21" s="7">
        <v>1</v>
      </c>
      <c r="G21" s="7">
        <v>2</v>
      </c>
      <c r="H21" s="6">
        <v>100</v>
      </c>
      <c r="I21" s="7">
        <v>21</v>
      </c>
      <c r="J21" s="7">
        <v>2</v>
      </c>
      <c r="K21" s="7">
        <v>100</v>
      </c>
      <c r="L21" s="6" t="b">
        <v>0</v>
      </c>
      <c r="M21" s="6">
        <v>0</v>
      </c>
      <c r="N21" s="6">
        <v>0</v>
      </c>
      <c r="O21" s="7">
        <v>1</v>
      </c>
      <c r="P21" s="5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30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49</v>
      </c>
      <c r="AC21" s="5">
        <v>36</v>
      </c>
      <c r="AD21" s="7">
        <v>1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7">
        <v>40003</v>
      </c>
      <c r="C22" s="6" t="s">
        <v>1501</v>
      </c>
      <c r="D22" s="7" t="s">
        <v>800</v>
      </c>
      <c r="E22" s="7">
        <v>2</v>
      </c>
      <c r="F22" s="7">
        <v>1</v>
      </c>
      <c r="G22" s="7">
        <v>2</v>
      </c>
      <c r="H22" s="6">
        <v>100</v>
      </c>
      <c r="I22" s="7">
        <v>21</v>
      </c>
      <c r="J22" s="7">
        <v>2</v>
      </c>
      <c r="K22" s="7">
        <v>100</v>
      </c>
      <c r="L22" s="6" t="b">
        <v>0</v>
      </c>
      <c r="M22" s="6">
        <v>0</v>
      </c>
      <c r="N22" s="6">
        <v>0</v>
      </c>
      <c r="O22" s="7">
        <v>1</v>
      </c>
      <c r="P22" s="5">
        <v>0</v>
      </c>
      <c r="Q22" s="7">
        <v>0</v>
      </c>
      <c r="R22" s="5" t="b">
        <v>1</v>
      </c>
      <c r="S22" s="7">
        <v>3</v>
      </c>
      <c r="T22" s="7">
        <v>2</v>
      </c>
      <c r="U22" s="6">
        <v>30</v>
      </c>
      <c r="V22" s="7">
        <v>30</v>
      </c>
      <c r="W22" s="7">
        <v>0</v>
      </c>
      <c r="X22" s="7">
        <v>0</v>
      </c>
      <c r="Y22" s="6" t="b">
        <v>0</v>
      </c>
      <c r="Z22" s="6">
        <v>0</v>
      </c>
      <c r="AA22" s="6">
        <v>0</v>
      </c>
      <c r="AB22" s="7">
        <v>49</v>
      </c>
      <c r="AC22" s="5">
        <v>36</v>
      </c>
      <c r="AD22" s="7">
        <v>1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50001</v>
      </c>
      <c r="C23" s="6" t="s">
        <v>277</v>
      </c>
      <c r="D23" s="7" t="s">
        <v>511</v>
      </c>
      <c r="E23" s="7">
        <v>2</v>
      </c>
      <c r="F23" s="7">
        <v>1</v>
      </c>
      <c r="G23" s="7">
        <v>2</v>
      </c>
      <c r="H23" s="6">
        <v>100</v>
      </c>
      <c r="I23" s="7">
        <v>21</v>
      </c>
      <c r="J23" s="7">
        <v>2</v>
      </c>
      <c r="K23" s="6">
        <v>100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6">
        <v>3</v>
      </c>
      <c r="T23" s="6">
        <v>2</v>
      </c>
      <c r="U23" s="6">
        <v>10</v>
      </c>
      <c r="V23" s="5">
        <v>30</v>
      </c>
      <c r="W23" s="5">
        <v>0</v>
      </c>
      <c r="X23" s="5">
        <v>0</v>
      </c>
      <c r="Y23" s="6" t="b">
        <v>0</v>
      </c>
      <c r="Z23" s="6">
        <v>0</v>
      </c>
      <c r="AA23" s="6">
        <v>0</v>
      </c>
      <c r="AB23" s="5">
        <v>49</v>
      </c>
      <c r="AC23" s="5">
        <v>35</v>
      </c>
      <c r="AD23" s="5">
        <v>1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50002</v>
      </c>
      <c r="C24" s="6" t="s">
        <v>1432</v>
      </c>
      <c r="D24" s="7" t="s">
        <v>511</v>
      </c>
      <c r="E24" s="7">
        <v>2</v>
      </c>
      <c r="F24" s="7">
        <v>1</v>
      </c>
      <c r="G24" s="7">
        <v>2</v>
      </c>
      <c r="H24" s="6">
        <v>100</v>
      </c>
      <c r="I24" s="7">
        <v>21</v>
      </c>
      <c r="J24" s="7">
        <v>2</v>
      </c>
      <c r="K24" s="6">
        <v>100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6">
        <v>3</v>
      </c>
      <c r="T24" s="6">
        <v>2</v>
      </c>
      <c r="U24" s="6">
        <v>10</v>
      </c>
      <c r="V24" s="5">
        <v>30</v>
      </c>
      <c r="W24" s="5">
        <v>0</v>
      </c>
      <c r="X24" s="5">
        <v>0</v>
      </c>
      <c r="Y24" s="6" t="b">
        <v>0</v>
      </c>
      <c r="Z24" s="6">
        <v>0</v>
      </c>
      <c r="AA24" s="6">
        <v>0</v>
      </c>
      <c r="AB24" s="5">
        <v>49</v>
      </c>
      <c r="AC24" s="5">
        <v>35</v>
      </c>
      <c r="AD24" s="5">
        <v>1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5">
        <v>50003</v>
      </c>
      <c r="C25" s="6" t="s">
        <v>1502</v>
      </c>
      <c r="D25" s="7" t="s">
        <v>511</v>
      </c>
      <c r="E25" s="7">
        <v>2</v>
      </c>
      <c r="F25" s="7">
        <v>1</v>
      </c>
      <c r="G25" s="7">
        <v>2</v>
      </c>
      <c r="H25" s="6">
        <v>100</v>
      </c>
      <c r="I25" s="7">
        <v>21</v>
      </c>
      <c r="J25" s="7">
        <v>2</v>
      </c>
      <c r="K25" s="6">
        <v>100</v>
      </c>
      <c r="L25" s="6" t="b">
        <v>0</v>
      </c>
      <c r="M25" s="6">
        <v>0</v>
      </c>
      <c r="N25" s="6">
        <v>0</v>
      </c>
      <c r="O25" s="7">
        <v>1</v>
      </c>
      <c r="P25" s="5">
        <v>0</v>
      </c>
      <c r="Q25" s="7">
        <v>0</v>
      </c>
      <c r="R25" s="5" t="b">
        <v>1</v>
      </c>
      <c r="S25" s="6">
        <v>3</v>
      </c>
      <c r="T25" s="6">
        <v>2</v>
      </c>
      <c r="U25" s="6">
        <v>10</v>
      </c>
      <c r="V25" s="5">
        <v>30</v>
      </c>
      <c r="W25" s="5">
        <v>0</v>
      </c>
      <c r="X25" s="5">
        <v>0</v>
      </c>
      <c r="Y25" s="6" t="b">
        <v>0</v>
      </c>
      <c r="Z25" s="6">
        <v>0</v>
      </c>
      <c r="AA25" s="6">
        <v>0</v>
      </c>
      <c r="AB25" s="5">
        <v>49</v>
      </c>
      <c r="AC25" s="5">
        <v>35</v>
      </c>
      <c r="AD25" s="5">
        <v>1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18.75" customHeight="1">
      <c r="A26" s="8"/>
      <c r="B26" s="7">
        <v>60001</v>
      </c>
      <c r="C26" s="6" t="s">
        <v>278</v>
      </c>
      <c r="D26" s="7" t="s">
        <v>824</v>
      </c>
      <c r="E26" s="6">
        <v>2</v>
      </c>
      <c r="F26" s="6">
        <v>1</v>
      </c>
      <c r="G26" s="6">
        <v>2</v>
      </c>
      <c r="H26" s="6">
        <v>100</v>
      </c>
      <c r="I26" s="6">
        <v>21</v>
      </c>
      <c r="J26" s="6">
        <v>2</v>
      </c>
      <c r="K26" s="7">
        <v>100</v>
      </c>
      <c r="L26" s="6" t="b">
        <v>0</v>
      </c>
      <c r="M26" s="6">
        <v>0</v>
      </c>
      <c r="N26" s="6">
        <v>0</v>
      </c>
      <c r="O26" s="5">
        <v>1</v>
      </c>
      <c r="P26" s="5">
        <v>0</v>
      </c>
      <c r="Q26" s="5">
        <v>0</v>
      </c>
      <c r="R26" s="5" t="b">
        <v>1</v>
      </c>
      <c r="S26" s="7">
        <v>2</v>
      </c>
      <c r="T26" s="7">
        <v>5</v>
      </c>
      <c r="U26" s="6">
        <v>100</v>
      </c>
      <c r="V26" s="7">
        <v>1</v>
      </c>
      <c r="W26" s="7">
        <v>4</v>
      </c>
      <c r="X26" s="7">
        <v>20</v>
      </c>
      <c r="Y26" s="6" t="b">
        <v>0</v>
      </c>
      <c r="Z26" s="6">
        <v>0</v>
      </c>
      <c r="AA26" s="6">
        <v>0</v>
      </c>
      <c r="AB26" s="7">
        <v>49</v>
      </c>
      <c r="AC26" s="5">
        <v>0</v>
      </c>
      <c r="AD26" s="7">
        <v>0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60002</v>
      </c>
      <c r="C27" s="6" t="s">
        <v>1433</v>
      </c>
      <c r="D27" s="7" t="s">
        <v>824</v>
      </c>
      <c r="E27" s="6">
        <v>2</v>
      </c>
      <c r="F27" s="6">
        <v>1</v>
      </c>
      <c r="G27" s="6">
        <v>2</v>
      </c>
      <c r="H27" s="6">
        <v>100</v>
      </c>
      <c r="I27" s="6">
        <v>21</v>
      </c>
      <c r="J27" s="6">
        <v>2</v>
      </c>
      <c r="K27" s="7">
        <v>100</v>
      </c>
      <c r="L27" s="6" t="b">
        <v>0</v>
      </c>
      <c r="M27" s="6">
        <v>0</v>
      </c>
      <c r="N27" s="6">
        <v>0</v>
      </c>
      <c r="O27" s="5">
        <v>1</v>
      </c>
      <c r="P27" s="5">
        <v>0</v>
      </c>
      <c r="Q27" s="5">
        <v>0</v>
      </c>
      <c r="R27" s="5" t="b">
        <v>1</v>
      </c>
      <c r="S27" s="7">
        <v>2</v>
      </c>
      <c r="T27" s="7">
        <v>5</v>
      </c>
      <c r="U27" s="6">
        <v>100</v>
      </c>
      <c r="V27" s="7">
        <v>1</v>
      </c>
      <c r="W27" s="7">
        <v>4</v>
      </c>
      <c r="X27" s="7">
        <v>20</v>
      </c>
      <c r="Y27" s="6" t="b">
        <v>0</v>
      </c>
      <c r="Z27" s="6">
        <v>0</v>
      </c>
      <c r="AA27" s="6">
        <v>0</v>
      </c>
      <c r="AB27" s="7">
        <v>49</v>
      </c>
      <c r="AC27" s="5">
        <v>0</v>
      </c>
      <c r="AD27" s="7">
        <v>0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7">
        <v>60003</v>
      </c>
      <c r="C28" s="6" t="s">
        <v>1503</v>
      </c>
      <c r="D28" s="7" t="s">
        <v>824</v>
      </c>
      <c r="E28" s="6">
        <v>2</v>
      </c>
      <c r="F28" s="6">
        <v>1</v>
      </c>
      <c r="G28" s="6">
        <v>2</v>
      </c>
      <c r="H28" s="6">
        <v>100</v>
      </c>
      <c r="I28" s="6">
        <v>21</v>
      </c>
      <c r="J28" s="6">
        <v>2</v>
      </c>
      <c r="K28" s="7">
        <v>100</v>
      </c>
      <c r="L28" s="6" t="b">
        <v>0</v>
      </c>
      <c r="M28" s="6">
        <v>0</v>
      </c>
      <c r="N28" s="6">
        <v>0</v>
      </c>
      <c r="O28" s="5">
        <v>1</v>
      </c>
      <c r="P28" s="5">
        <v>0</v>
      </c>
      <c r="Q28" s="5">
        <v>0</v>
      </c>
      <c r="R28" s="5" t="b">
        <v>1</v>
      </c>
      <c r="S28" s="7">
        <v>2</v>
      </c>
      <c r="T28" s="7">
        <v>5</v>
      </c>
      <c r="U28" s="6">
        <v>100</v>
      </c>
      <c r="V28" s="7">
        <v>1</v>
      </c>
      <c r="W28" s="7">
        <v>4</v>
      </c>
      <c r="X28" s="7">
        <v>20</v>
      </c>
      <c r="Y28" s="6" t="b">
        <v>0</v>
      </c>
      <c r="Z28" s="6">
        <v>0</v>
      </c>
      <c r="AA28" s="6">
        <v>0</v>
      </c>
      <c r="AB28" s="7">
        <v>49</v>
      </c>
      <c r="AC28" s="5">
        <v>0</v>
      </c>
      <c r="AD28" s="7">
        <v>0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5">
        <v>70001</v>
      </c>
      <c r="C29" s="6" t="s">
        <v>279</v>
      </c>
      <c r="D29" s="7" t="s">
        <v>825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6">
        <v>100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50</v>
      </c>
      <c r="V29" s="7">
        <v>30</v>
      </c>
      <c r="W29" s="7">
        <v>2</v>
      </c>
      <c r="X29" s="7">
        <v>24</v>
      </c>
      <c r="Y29" s="6" t="b">
        <v>0</v>
      </c>
      <c r="Z29" s="6">
        <v>0</v>
      </c>
      <c r="AA29" s="6">
        <v>0</v>
      </c>
      <c r="AB29" s="7">
        <v>49</v>
      </c>
      <c r="AC29" s="5">
        <v>64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9.5" customHeight="1">
      <c r="A30" s="8"/>
      <c r="B30" s="5">
        <v>70002</v>
      </c>
      <c r="C30" s="6" t="s">
        <v>1434</v>
      </c>
      <c r="D30" s="7" t="s">
        <v>825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6">
        <v>100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50</v>
      </c>
      <c r="V30" s="7">
        <v>30</v>
      </c>
      <c r="W30" s="7">
        <v>2</v>
      </c>
      <c r="X30" s="7">
        <v>24</v>
      </c>
      <c r="Y30" s="6" t="b">
        <v>0</v>
      </c>
      <c r="Z30" s="6">
        <v>0</v>
      </c>
      <c r="AA30" s="6">
        <v>0</v>
      </c>
      <c r="AB30" s="7">
        <v>49</v>
      </c>
      <c r="AC30" s="5">
        <v>64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5">
        <v>70003</v>
      </c>
      <c r="C31" s="6" t="s">
        <v>1504</v>
      </c>
      <c r="D31" s="7" t="s">
        <v>825</v>
      </c>
      <c r="E31" s="7">
        <v>2</v>
      </c>
      <c r="F31" s="7">
        <v>1</v>
      </c>
      <c r="G31" s="7">
        <v>2</v>
      </c>
      <c r="H31" s="6">
        <v>100</v>
      </c>
      <c r="I31" s="7">
        <v>21</v>
      </c>
      <c r="J31" s="7">
        <v>2</v>
      </c>
      <c r="K31" s="6">
        <v>100</v>
      </c>
      <c r="L31" s="6" t="b">
        <v>0</v>
      </c>
      <c r="M31" s="6">
        <v>0</v>
      </c>
      <c r="N31" s="6">
        <v>0</v>
      </c>
      <c r="O31" s="7">
        <v>1</v>
      </c>
      <c r="P31" s="5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50</v>
      </c>
      <c r="V31" s="7">
        <v>30</v>
      </c>
      <c r="W31" s="7">
        <v>2</v>
      </c>
      <c r="X31" s="7">
        <v>24</v>
      </c>
      <c r="Y31" s="6" t="b">
        <v>0</v>
      </c>
      <c r="Z31" s="6">
        <v>0</v>
      </c>
      <c r="AA31" s="6">
        <v>0</v>
      </c>
      <c r="AB31" s="7">
        <v>49</v>
      </c>
      <c r="AC31" s="5">
        <v>64</v>
      </c>
      <c r="AD31" s="7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42" customHeight="1">
      <c r="A32" s="8"/>
      <c r="B32" s="7">
        <v>80001</v>
      </c>
      <c r="C32" s="6" t="s">
        <v>280</v>
      </c>
      <c r="D32" s="6" t="s">
        <v>826</v>
      </c>
      <c r="E32" s="7">
        <v>2</v>
      </c>
      <c r="F32" s="7">
        <v>1</v>
      </c>
      <c r="G32" s="7">
        <v>2</v>
      </c>
      <c r="H32" s="6">
        <v>100</v>
      </c>
      <c r="I32" s="7">
        <v>21</v>
      </c>
      <c r="J32" s="7">
        <v>2</v>
      </c>
      <c r="K32" s="7">
        <v>100</v>
      </c>
      <c r="L32" s="6" t="b">
        <v>0</v>
      </c>
      <c r="M32" s="6">
        <v>0</v>
      </c>
      <c r="N32" s="6">
        <v>0</v>
      </c>
      <c r="O32" s="7">
        <v>1</v>
      </c>
      <c r="P32" s="5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25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5">
        <v>33</v>
      </c>
      <c r="AD32" s="7">
        <v>1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42" customHeight="1">
      <c r="A33" s="8"/>
      <c r="B33" s="7">
        <v>80002</v>
      </c>
      <c r="C33" s="6" t="s">
        <v>1435</v>
      </c>
      <c r="D33" s="6" t="s">
        <v>826</v>
      </c>
      <c r="E33" s="7">
        <v>2</v>
      </c>
      <c r="F33" s="7">
        <v>1</v>
      </c>
      <c r="G33" s="7">
        <v>2</v>
      </c>
      <c r="H33" s="6">
        <v>100</v>
      </c>
      <c r="I33" s="7">
        <v>21</v>
      </c>
      <c r="J33" s="7">
        <v>2</v>
      </c>
      <c r="K33" s="7">
        <v>100</v>
      </c>
      <c r="L33" s="6" t="b">
        <v>0</v>
      </c>
      <c r="M33" s="6">
        <v>0</v>
      </c>
      <c r="N33" s="6">
        <v>0</v>
      </c>
      <c r="O33" s="7">
        <v>1</v>
      </c>
      <c r="P33" s="5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25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5">
        <v>33</v>
      </c>
      <c r="AD33" s="7">
        <v>1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42" customHeight="1">
      <c r="A34" s="8"/>
      <c r="B34" s="7">
        <v>80003</v>
      </c>
      <c r="C34" s="6" t="s">
        <v>1505</v>
      </c>
      <c r="D34" s="6" t="s">
        <v>826</v>
      </c>
      <c r="E34" s="7">
        <v>2</v>
      </c>
      <c r="F34" s="7">
        <v>1</v>
      </c>
      <c r="G34" s="7">
        <v>2</v>
      </c>
      <c r="H34" s="6">
        <v>100</v>
      </c>
      <c r="I34" s="7">
        <v>21</v>
      </c>
      <c r="J34" s="7">
        <v>2</v>
      </c>
      <c r="K34" s="7">
        <v>100</v>
      </c>
      <c r="L34" s="6" t="b">
        <v>0</v>
      </c>
      <c r="M34" s="6">
        <v>0</v>
      </c>
      <c r="N34" s="6">
        <v>0</v>
      </c>
      <c r="O34" s="7">
        <v>1</v>
      </c>
      <c r="P34" s="5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25</v>
      </c>
      <c r="V34" s="7">
        <v>30</v>
      </c>
      <c r="W34" s="7">
        <v>0</v>
      </c>
      <c r="X34" s="7">
        <v>0</v>
      </c>
      <c r="Y34" s="6" t="b">
        <v>0</v>
      </c>
      <c r="Z34" s="6">
        <v>0</v>
      </c>
      <c r="AA34" s="6">
        <v>0</v>
      </c>
      <c r="AB34" s="7">
        <v>49</v>
      </c>
      <c r="AC34" s="5">
        <v>33</v>
      </c>
      <c r="AD34" s="7">
        <v>1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42" customHeight="1">
      <c r="A35" s="8"/>
      <c r="B35" s="5">
        <v>90001</v>
      </c>
      <c r="C35" s="6" t="s">
        <v>281</v>
      </c>
      <c r="D35" s="7" t="s">
        <v>827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6">
        <v>100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6">
        <v>3</v>
      </c>
      <c r="T35" s="6">
        <v>2</v>
      </c>
      <c r="U35" s="6">
        <v>20</v>
      </c>
      <c r="V35" s="5">
        <v>30</v>
      </c>
      <c r="W35" s="5">
        <v>0</v>
      </c>
      <c r="X35" s="5">
        <v>0</v>
      </c>
      <c r="Y35" s="6" t="b">
        <v>0</v>
      </c>
      <c r="Z35" s="6">
        <v>0</v>
      </c>
      <c r="AA35" s="6">
        <v>0</v>
      </c>
      <c r="AB35" s="5">
        <v>49</v>
      </c>
      <c r="AC35" s="5">
        <v>34</v>
      </c>
      <c r="AD35" s="5">
        <v>1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90002</v>
      </c>
      <c r="C36" s="6" t="s">
        <v>1436</v>
      </c>
      <c r="D36" s="7" t="s">
        <v>827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6">
        <v>100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6">
        <v>3</v>
      </c>
      <c r="T36" s="6">
        <v>2</v>
      </c>
      <c r="U36" s="6">
        <v>20</v>
      </c>
      <c r="V36" s="5">
        <v>30</v>
      </c>
      <c r="W36" s="5">
        <v>0</v>
      </c>
      <c r="X36" s="5">
        <v>0</v>
      </c>
      <c r="Y36" s="6" t="b">
        <v>0</v>
      </c>
      <c r="Z36" s="6">
        <v>0</v>
      </c>
      <c r="AA36" s="6">
        <v>0</v>
      </c>
      <c r="AB36" s="5">
        <v>49</v>
      </c>
      <c r="AC36" s="5">
        <v>34</v>
      </c>
      <c r="AD36" s="5">
        <v>1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5">
        <v>90003</v>
      </c>
      <c r="C37" s="6" t="s">
        <v>1506</v>
      </c>
      <c r="D37" s="7" t="s">
        <v>827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6">
        <v>100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6">
        <v>3</v>
      </c>
      <c r="T37" s="6">
        <v>2</v>
      </c>
      <c r="U37" s="6">
        <v>20</v>
      </c>
      <c r="V37" s="5">
        <v>30</v>
      </c>
      <c r="W37" s="5">
        <v>0</v>
      </c>
      <c r="X37" s="5">
        <v>0</v>
      </c>
      <c r="Y37" s="6" t="b">
        <v>0</v>
      </c>
      <c r="Z37" s="6">
        <v>0</v>
      </c>
      <c r="AA37" s="6">
        <v>0</v>
      </c>
      <c r="AB37" s="5">
        <v>49</v>
      </c>
      <c r="AC37" s="5">
        <v>34</v>
      </c>
      <c r="AD37" s="5">
        <v>1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100001</v>
      </c>
      <c r="C38" s="6" t="s">
        <v>282</v>
      </c>
      <c r="D38" s="7" t="s">
        <v>269</v>
      </c>
      <c r="E38" s="7">
        <v>2</v>
      </c>
      <c r="F38" s="7">
        <v>1</v>
      </c>
      <c r="G38" s="7">
        <v>2</v>
      </c>
      <c r="H38" s="6">
        <v>100</v>
      </c>
      <c r="I38" s="7">
        <v>21</v>
      </c>
      <c r="J38" s="7">
        <v>2</v>
      </c>
      <c r="K38" s="7">
        <v>100</v>
      </c>
      <c r="L38" s="6" t="b">
        <v>0</v>
      </c>
      <c r="M38" s="6">
        <v>0</v>
      </c>
      <c r="N38" s="6">
        <v>0</v>
      </c>
      <c r="O38" s="7">
        <v>1</v>
      </c>
      <c r="P38" s="5">
        <v>0</v>
      </c>
      <c r="Q38" s="7">
        <v>0</v>
      </c>
      <c r="R38" s="5" t="b">
        <v>1</v>
      </c>
      <c r="S38" s="7">
        <v>3</v>
      </c>
      <c r="T38" s="7">
        <v>2</v>
      </c>
      <c r="U38" s="6">
        <v>30</v>
      </c>
      <c r="V38" s="7">
        <v>30</v>
      </c>
      <c r="W38" s="7">
        <v>0</v>
      </c>
      <c r="X38" s="7">
        <v>0</v>
      </c>
      <c r="Y38" s="6" t="b">
        <v>0</v>
      </c>
      <c r="Z38" s="6">
        <v>0</v>
      </c>
      <c r="AA38" s="6">
        <v>0</v>
      </c>
      <c r="AB38" s="7">
        <v>49</v>
      </c>
      <c r="AC38" s="5">
        <v>37</v>
      </c>
      <c r="AD38" s="7">
        <v>1</v>
      </c>
      <c r="AE38" s="5" t="b">
        <v>1</v>
      </c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30.75" customHeight="1">
      <c r="A39" s="8"/>
      <c r="B39" s="7">
        <v>100002</v>
      </c>
      <c r="C39" s="6" t="s">
        <v>1437</v>
      </c>
      <c r="D39" s="7" t="s">
        <v>269</v>
      </c>
      <c r="E39" s="7">
        <v>2</v>
      </c>
      <c r="F39" s="7">
        <v>1</v>
      </c>
      <c r="G39" s="7">
        <v>2</v>
      </c>
      <c r="H39" s="6">
        <v>100</v>
      </c>
      <c r="I39" s="7">
        <v>21</v>
      </c>
      <c r="J39" s="7">
        <v>2</v>
      </c>
      <c r="K39" s="7">
        <v>100</v>
      </c>
      <c r="L39" s="6" t="b">
        <v>0</v>
      </c>
      <c r="M39" s="6">
        <v>0</v>
      </c>
      <c r="N39" s="6">
        <v>0</v>
      </c>
      <c r="O39" s="7">
        <v>1</v>
      </c>
      <c r="P39" s="5">
        <v>0</v>
      </c>
      <c r="Q39" s="7">
        <v>0</v>
      </c>
      <c r="R39" s="5" t="b">
        <v>1</v>
      </c>
      <c r="S39" s="7">
        <v>3</v>
      </c>
      <c r="T39" s="7">
        <v>2</v>
      </c>
      <c r="U39" s="6">
        <v>30</v>
      </c>
      <c r="V39" s="7">
        <v>30</v>
      </c>
      <c r="W39" s="7">
        <v>0</v>
      </c>
      <c r="X39" s="7">
        <v>0</v>
      </c>
      <c r="Y39" s="6" t="b">
        <v>0</v>
      </c>
      <c r="Z39" s="6">
        <v>0</v>
      </c>
      <c r="AA39" s="6">
        <v>0</v>
      </c>
      <c r="AB39" s="7">
        <v>49</v>
      </c>
      <c r="AC39" s="5">
        <v>37</v>
      </c>
      <c r="AD39" s="7">
        <v>1</v>
      </c>
      <c r="AE39" s="5" t="b">
        <v>1</v>
      </c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30.75" customHeight="1">
      <c r="A40" s="8"/>
      <c r="B40" s="7">
        <v>100003</v>
      </c>
      <c r="C40" s="6" t="s">
        <v>1507</v>
      </c>
      <c r="D40" s="7" t="s">
        <v>269</v>
      </c>
      <c r="E40" s="7">
        <v>2</v>
      </c>
      <c r="F40" s="7">
        <v>1</v>
      </c>
      <c r="G40" s="7">
        <v>2</v>
      </c>
      <c r="H40" s="6">
        <v>100</v>
      </c>
      <c r="I40" s="7">
        <v>21</v>
      </c>
      <c r="J40" s="7">
        <v>2</v>
      </c>
      <c r="K40" s="7">
        <v>100</v>
      </c>
      <c r="L40" s="6" t="b">
        <v>0</v>
      </c>
      <c r="M40" s="6">
        <v>0</v>
      </c>
      <c r="N40" s="6">
        <v>0</v>
      </c>
      <c r="O40" s="7">
        <v>1</v>
      </c>
      <c r="P40" s="5">
        <v>0</v>
      </c>
      <c r="Q40" s="7">
        <v>0</v>
      </c>
      <c r="R40" s="5" t="b">
        <v>1</v>
      </c>
      <c r="S40" s="7">
        <v>3</v>
      </c>
      <c r="T40" s="7">
        <v>2</v>
      </c>
      <c r="U40" s="6">
        <v>30</v>
      </c>
      <c r="V40" s="7">
        <v>30</v>
      </c>
      <c r="W40" s="7">
        <v>0</v>
      </c>
      <c r="X40" s="7">
        <v>0</v>
      </c>
      <c r="Y40" s="6" t="b">
        <v>0</v>
      </c>
      <c r="Z40" s="6">
        <v>0</v>
      </c>
      <c r="AA40" s="6">
        <v>0</v>
      </c>
      <c r="AB40" s="7">
        <v>49</v>
      </c>
      <c r="AC40" s="5">
        <v>37</v>
      </c>
      <c r="AD40" s="7">
        <v>1</v>
      </c>
      <c r="AE40" s="5" t="b">
        <v>1</v>
      </c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30.75" customHeight="1">
      <c r="A41" s="8"/>
      <c r="B41" s="5">
        <v>110001</v>
      </c>
      <c r="C41" s="6" t="s">
        <v>283</v>
      </c>
      <c r="D41" s="7" t="s">
        <v>270</v>
      </c>
      <c r="E41" s="6">
        <v>2</v>
      </c>
      <c r="F41" s="6">
        <v>1</v>
      </c>
      <c r="G41" s="6">
        <v>2</v>
      </c>
      <c r="H41" s="6">
        <v>100</v>
      </c>
      <c r="I41" s="7">
        <v>21</v>
      </c>
      <c r="J41" s="6">
        <v>2</v>
      </c>
      <c r="K41" s="6">
        <v>100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7">
        <v>3</v>
      </c>
      <c r="T41" s="7">
        <v>2</v>
      </c>
      <c r="U41" s="6">
        <v>35</v>
      </c>
      <c r="V41" s="7">
        <v>30</v>
      </c>
      <c r="W41" s="7">
        <v>0</v>
      </c>
      <c r="X41" s="7">
        <v>20</v>
      </c>
      <c r="Y41" s="6" t="b">
        <v>0</v>
      </c>
      <c r="Z41" s="6">
        <v>0</v>
      </c>
      <c r="AA41" s="6">
        <v>0</v>
      </c>
      <c r="AB41" s="7">
        <v>3</v>
      </c>
      <c r="AC41" s="5">
        <v>21</v>
      </c>
      <c r="AD41" s="7">
        <v>3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30.75" customHeight="1">
      <c r="A42" s="8"/>
      <c r="B42" s="5">
        <v>110002</v>
      </c>
      <c r="C42" s="6" t="s">
        <v>1438</v>
      </c>
      <c r="D42" s="7" t="s">
        <v>270</v>
      </c>
      <c r="E42" s="6">
        <v>2</v>
      </c>
      <c r="F42" s="6">
        <v>1</v>
      </c>
      <c r="G42" s="6">
        <v>2</v>
      </c>
      <c r="H42" s="6">
        <v>100</v>
      </c>
      <c r="I42" s="7">
        <v>21</v>
      </c>
      <c r="J42" s="6">
        <v>2</v>
      </c>
      <c r="K42" s="6">
        <v>100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7">
        <v>3</v>
      </c>
      <c r="T42" s="7">
        <v>2</v>
      </c>
      <c r="U42" s="6">
        <v>35</v>
      </c>
      <c r="V42" s="7">
        <v>30</v>
      </c>
      <c r="W42" s="7">
        <v>0</v>
      </c>
      <c r="X42" s="7">
        <v>20</v>
      </c>
      <c r="Y42" s="6" t="b">
        <v>0</v>
      </c>
      <c r="Z42" s="6">
        <v>0</v>
      </c>
      <c r="AA42" s="6">
        <v>0</v>
      </c>
      <c r="AB42" s="7">
        <v>3</v>
      </c>
      <c r="AC42" s="5">
        <v>21</v>
      </c>
      <c r="AD42" s="7">
        <v>3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5">
        <v>110003</v>
      </c>
      <c r="C43" s="6" t="s">
        <v>1508</v>
      </c>
      <c r="D43" s="7" t="s">
        <v>270</v>
      </c>
      <c r="E43" s="6">
        <v>2</v>
      </c>
      <c r="F43" s="6">
        <v>1</v>
      </c>
      <c r="G43" s="6">
        <v>2</v>
      </c>
      <c r="H43" s="6">
        <v>100</v>
      </c>
      <c r="I43" s="7">
        <v>21</v>
      </c>
      <c r="J43" s="6">
        <v>2</v>
      </c>
      <c r="K43" s="6">
        <v>100</v>
      </c>
      <c r="L43" s="6" t="b">
        <v>0</v>
      </c>
      <c r="M43" s="6">
        <v>0</v>
      </c>
      <c r="N43" s="6">
        <v>0</v>
      </c>
      <c r="O43" s="5">
        <v>1</v>
      </c>
      <c r="P43" s="5">
        <v>0</v>
      </c>
      <c r="Q43" s="5">
        <v>0</v>
      </c>
      <c r="R43" s="5" t="b">
        <v>1</v>
      </c>
      <c r="S43" s="7">
        <v>3</v>
      </c>
      <c r="T43" s="7">
        <v>2</v>
      </c>
      <c r="U43" s="6">
        <v>35</v>
      </c>
      <c r="V43" s="7">
        <v>30</v>
      </c>
      <c r="W43" s="7">
        <v>0</v>
      </c>
      <c r="X43" s="7">
        <v>20</v>
      </c>
      <c r="Y43" s="6" t="b">
        <v>0</v>
      </c>
      <c r="Z43" s="6">
        <v>0</v>
      </c>
      <c r="AA43" s="6">
        <v>0</v>
      </c>
      <c r="AB43" s="7">
        <v>3</v>
      </c>
      <c r="AC43" s="5">
        <v>21</v>
      </c>
      <c r="AD43" s="7">
        <v>3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18.75" customHeight="1">
      <c r="A44" s="8"/>
      <c r="B44" s="7">
        <v>120001</v>
      </c>
      <c r="C44" s="6" t="s">
        <v>284</v>
      </c>
      <c r="D44" s="7" t="s">
        <v>511</v>
      </c>
      <c r="E44" s="7">
        <v>2</v>
      </c>
      <c r="F44" s="7">
        <v>1</v>
      </c>
      <c r="G44" s="7">
        <v>2</v>
      </c>
      <c r="H44" s="6">
        <v>100</v>
      </c>
      <c r="I44" s="7">
        <v>21</v>
      </c>
      <c r="J44" s="7">
        <v>2</v>
      </c>
      <c r="K44" s="7">
        <v>100</v>
      </c>
      <c r="L44" s="6" t="b">
        <v>0</v>
      </c>
      <c r="M44" s="6">
        <v>0</v>
      </c>
      <c r="N44" s="6">
        <v>0</v>
      </c>
      <c r="O44" s="7">
        <v>1</v>
      </c>
      <c r="P44" s="5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</v>
      </c>
      <c r="V44" s="7">
        <v>30</v>
      </c>
      <c r="W44" s="7">
        <v>0</v>
      </c>
      <c r="X44" s="7">
        <v>0</v>
      </c>
      <c r="Y44" s="6" t="b">
        <v>0</v>
      </c>
      <c r="Z44" s="6">
        <v>0</v>
      </c>
      <c r="AA44" s="6">
        <v>0</v>
      </c>
      <c r="AB44" s="7">
        <v>3</v>
      </c>
      <c r="AC44" s="5">
        <v>32</v>
      </c>
      <c r="AD44" s="7">
        <v>1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120002</v>
      </c>
      <c r="C45" s="6" t="s">
        <v>1439</v>
      </c>
      <c r="D45" s="7" t="s">
        <v>511</v>
      </c>
      <c r="E45" s="7">
        <v>2</v>
      </c>
      <c r="F45" s="7">
        <v>1</v>
      </c>
      <c r="G45" s="7">
        <v>2</v>
      </c>
      <c r="H45" s="6">
        <v>100</v>
      </c>
      <c r="I45" s="7">
        <v>21</v>
      </c>
      <c r="J45" s="7">
        <v>2</v>
      </c>
      <c r="K45" s="7">
        <v>100</v>
      </c>
      <c r="L45" s="6" t="b">
        <v>0</v>
      </c>
      <c r="M45" s="6">
        <v>0</v>
      </c>
      <c r="N45" s="6">
        <v>0</v>
      </c>
      <c r="O45" s="7">
        <v>1</v>
      </c>
      <c r="P45" s="5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</v>
      </c>
      <c r="V45" s="7">
        <v>30</v>
      </c>
      <c r="W45" s="7">
        <v>0</v>
      </c>
      <c r="X45" s="7">
        <v>0</v>
      </c>
      <c r="Y45" s="6" t="b">
        <v>0</v>
      </c>
      <c r="Z45" s="6">
        <v>0</v>
      </c>
      <c r="AA45" s="6">
        <v>0</v>
      </c>
      <c r="AB45" s="7">
        <v>3</v>
      </c>
      <c r="AC45" s="5">
        <v>32</v>
      </c>
      <c r="AD45" s="7">
        <v>1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18.75" customHeight="1">
      <c r="A46" s="8"/>
      <c r="B46" s="7">
        <v>120003</v>
      </c>
      <c r="C46" s="6" t="s">
        <v>1509</v>
      </c>
      <c r="D46" s="7" t="s">
        <v>511</v>
      </c>
      <c r="E46" s="7">
        <v>2</v>
      </c>
      <c r="F46" s="7">
        <v>1</v>
      </c>
      <c r="G46" s="7">
        <v>2</v>
      </c>
      <c r="H46" s="6">
        <v>100</v>
      </c>
      <c r="I46" s="7">
        <v>21</v>
      </c>
      <c r="J46" s="7">
        <v>2</v>
      </c>
      <c r="K46" s="7">
        <v>100</v>
      </c>
      <c r="L46" s="6" t="b">
        <v>0</v>
      </c>
      <c r="M46" s="6">
        <v>0</v>
      </c>
      <c r="N46" s="6">
        <v>0</v>
      </c>
      <c r="O46" s="7">
        <v>1</v>
      </c>
      <c r="P46" s="5">
        <v>0</v>
      </c>
      <c r="Q46" s="7">
        <v>0</v>
      </c>
      <c r="R46" s="5" t="b">
        <v>1</v>
      </c>
      <c r="S46" s="7">
        <v>3</v>
      </c>
      <c r="T46" s="7">
        <v>2</v>
      </c>
      <c r="U46" s="6">
        <v>10</v>
      </c>
      <c r="V46" s="7">
        <v>30</v>
      </c>
      <c r="W46" s="7">
        <v>0</v>
      </c>
      <c r="X46" s="7">
        <v>0</v>
      </c>
      <c r="Y46" s="6" t="b">
        <v>0</v>
      </c>
      <c r="Z46" s="6">
        <v>0</v>
      </c>
      <c r="AA46" s="6">
        <v>0</v>
      </c>
      <c r="AB46" s="7">
        <v>3</v>
      </c>
      <c r="AC46" s="5">
        <v>32</v>
      </c>
      <c r="AD46" s="7">
        <v>1</v>
      </c>
      <c r="AE46" s="5" t="b">
        <v>1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18.75" customHeight="1">
      <c r="A47" s="8"/>
      <c r="B47" s="5">
        <v>130001</v>
      </c>
      <c r="C47" s="6" t="s">
        <v>285</v>
      </c>
      <c r="D47" s="7" t="s">
        <v>271</v>
      </c>
      <c r="E47" s="7">
        <v>2</v>
      </c>
      <c r="F47" s="7">
        <v>1</v>
      </c>
      <c r="G47" s="7">
        <v>2</v>
      </c>
      <c r="H47" s="6">
        <v>100</v>
      </c>
      <c r="I47" s="7">
        <v>21</v>
      </c>
      <c r="J47" s="7">
        <v>2</v>
      </c>
      <c r="K47" s="6">
        <v>100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6">
        <v>2</v>
      </c>
      <c r="T47" s="6">
        <v>5</v>
      </c>
      <c r="U47" s="6">
        <v>100</v>
      </c>
      <c r="V47" s="5">
        <v>1</v>
      </c>
      <c r="W47" s="5">
        <v>4</v>
      </c>
      <c r="X47" s="5">
        <v>20</v>
      </c>
      <c r="Y47" s="6" t="b">
        <v>0</v>
      </c>
      <c r="Z47" s="6">
        <v>0</v>
      </c>
      <c r="AA47" s="6">
        <v>0</v>
      </c>
      <c r="AB47" s="5">
        <v>49</v>
      </c>
      <c r="AC47" s="5">
        <v>0</v>
      </c>
      <c r="AD47" s="5">
        <v>0</v>
      </c>
      <c r="AE47" s="5" t="b">
        <v>1</v>
      </c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130002</v>
      </c>
      <c r="C48" s="6" t="s">
        <v>1440</v>
      </c>
      <c r="D48" s="7" t="s">
        <v>271</v>
      </c>
      <c r="E48" s="7">
        <v>2</v>
      </c>
      <c r="F48" s="7">
        <v>1</v>
      </c>
      <c r="G48" s="7">
        <v>2</v>
      </c>
      <c r="H48" s="6">
        <v>100</v>
      </c>
      <c r="I48" s="7">
        <v>21</v>
      </c>
      <c r="J48" s="7">
        <v>2</v>
      </c>
      <c r="K48" s="6">
        <v>100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6">
        <v>2</v>
      </c>
      <c r="T48" s="6">
        <v>5</v>
      </c>
      <c r="U48" s="6">
        <v>100</v>
      </c>
      <c r="V48" s="5">
        <v>1</v>
      </c>
      <c r="W48" s="5">
        <v>4</v>
      </c>
      <c r="X48" s="5">
        <v>20</v>
      </c>
      <c r="Y48" s="6" t="b">
        <v>0</v>
      </c>
      <c r="Z48" s="6">
        <v>0</v>
      </c>
      <c r="AA48" s="6">
        <v>0</v>
      </c>
      <c r="AB48" s="5">
        <v>49</v>
      </c>
      <c r="AC48" s="5">
        <v>0</v>
      </c>
      <c r="AD48" s="5">
        <v>0</v>
      </c>
      <c r="AE48" s="5" t="b">
        <v>1</v>
      </c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5">
        <v>130003</v>
      </c>
      <c r="C49" s="6" t="s">
        <v>1510</v>
      </c>
      <c r="D49" s="7" t="s">
        <v>271</v>
      </c>
      <c r="E49" s="7">
        <v>2</v>
      </c>
      <c r="F49" s="7">
        <v>1</v>
      </c>
      <c r="G49" s="7">
        <v>2</v>
      </c>
      <c r="H49" s="6">
        <v>100</v>
      </c>
      <c r="I49" s="7">
        <v>21</v>
      </c>
      <c r="J49" s="7">
        <v>2</v>
      </c>
      <c r="K49" s="6">
        <v>100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6">
        <v>2</v>
      </c>
      <c r="T49" s="6">
        <v>5</v>
      </c>
      <c r="U49" s="6">
        <v>100</v>
      </c>
      <c r="V49" s="5">
        <v>1</v>
      </c>
      <c r="W49" s="5">
        <v>4</v>
      </c>
      <c r="X49" s="5">
        <v>20</v>
      </c>
      <c r="Y49" s="6" t="b">
        <v>0</v>
      </c>
      <c r="Z49" s="6">
        <v>0</v>
      </c>
      <c r="AA49" s="6">
        <v>0</v>
      </c>
      <c r="AB49" s="5">
        <v>49</v>
      </c>
      <c r="AC49" s="5">
        <v>0</v>
      </c>
      <c r="AD49" s="5">
        <v>0</v>
      </c>
      <c r="AE49" s="5" t="b">
        <v>1</v>
      </c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A50" s="8"/>
      <c r="B50" s="7">
        <v>140001</v>
      </c>
      <c r="C50" s="6" t="s">
        <v>286</v>
      </c>
      <c r="D50" s="7" t="s">
        <v>272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100</v>
      </c>
      <c r="L50" s="6" t="b">
        <v>0</v>
      </c>
      <c r="M50" s="6">
        <v>0</v>
      </c>
      <c r="N50" s="6">
        <v>0</v>
      </c>
      <c r="O50" s="7">
        <v>1</v>
      </c>
      <c r="P50" s="5">
        <v>0</v>
      </c>
      <c r="Q50" s="7">
        <v>0</v>
      </c>
      <c r="R50" s="5" t="b">
        <v>1</v>
      </c>
      <c r="S50" s="7">
        <v>3</v>
      </c>
      <c r="T50" s="7">
        <v>2</v>
      </c>
      <c r="U50" s="6">
        <v>50</v>
      </c>
      <c r="V50" s="7">
        <v>30</v>
      </c>
      <c r="W50" s="7">
        <v>2</v>
      </c>
      <c r="X50" s="7">
        <v>24</v>
      </c>
      <c r="Y50" s="6" t="b">
        <v>0</v>
      </c>
      <c r="Z50" s="6">
        <v>0</v>
      </c>
      <c r="AA50" s="6">
        <v>0</v>
      </c>
      <c r="AB50" s="7">
        <v>1</v>
      </c>
      <c r="AC50" s="5">
        <v>65</v>
      </c>
      <c r="AD50" s="7">
        <v>2</v>
      </c>
      <c r="AE50" s="5" t="b">
        <v>1</v>
      </c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</row>
    <row r="51" spans="1:52" ht="18.75" customHeight="1">
      <c r="B51" s="7">
        <v>140002</v>
      </c>
      <c r="C51" s="6" t="s">
        <v>1441</v>
      </c>
      <c r="D51" s="7" t="s">
        <v>272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100</v>
      </c>
      <c r="L51" s="6" t="b">
        <v>0</v>
      </c>
      <c r="M51" s="6">
        <v>0</v>
      </c>
      <c r="N51" s="6">
        <v>0</v>
      </c>
      <c r="O51" s="7">
        <v>1</v>
      </c>
      <c r="P51" s="5">
        <v>0</v>
      </c>
      <c r="Q51" s="7">
        <v>0</v>
      </c>
      <c r="R51" s="5" t="b">
        <v>1</v>
      </c>
      <c r="S51" s="7">
        <v>3</v>
      </c>
      <c r="T51" s="7">
        <v>2</v>
      </c>
      <c r="U51" s="6">
        <v>50</v>
      </c>
      <c r="V51" s="7">
        <v>30</v>
      </c>
      <c r="W51" s="7">
        <v>2</v>
      </c>
      <c r="X51" s="7">
        <v>24</v>
      </c>
      <c r="Y51" s="6" t="b">
        <v>0</v>
      </c>
      <c r="Z51" s="6">
        <v>0</v>
      </c>
      <c r="AA51" s="6">
        <v>0</v>
      </c>
      <c r="AB51" s="7">
        <v>1</v>
      </c>
      <c r="AC51" s="5">
        <v>65</v>
      </c>
      <c r="AD51" s="7">
        <v>2</v>
      </c>
      <c r="AE51" s="5" t="b">
        <v>1</v>
      </c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</row>
    <row r="52" spans="1:52" ht="18.75" customHeight="1">
      <c r="B52" s="7">
        <v>140003</v>
      </c>
      <c r="C52" s="6" t="s">
        <v>1511</v>
      </c>
      <c r="D52" s="7" t="s">
        <v>272</v>
      </c>
      <c r="E52" s="7">
        <v>2</v>
      </c>
      <c r="F52" s="7">
        <v>1</v>
      </c>
      <c r="G52" s="7">
        <v>2</v>
      </c>
      <c r="H52" s="6">
        <v>100</v>
      </c>
      <c r="I52" s="7">
        <v>21</v>
      </c>
      <c r="J52" s="7">
        <v>2</v>
      </c>
      <c r="K52" s="7">
        <v>100</v>
      </c>
      <c r="L52" s="6" t="b">
        <v>0</v>
      </c>
      <c r="M52" s="6">
        <v>0</v>
      </c>
      <c r="N52" s="6">
        <v>0</v>
      </c>
      <c r="O52" s="7">
        <v>1</v>
      </c>
      <c r="P52" s="5">
        <v>0</v>
      </c>
      <c r="Q52" s="7">
        <v>0</v>
      </c>
      <c r="R52" s="5" t="b">
        <v>1</v>
      </c>
      <c r="S52" s="7">
        <v>3</v>
      </c>
      <c r="T52" s="7">
        <v>2</v>
      </c>
      <c r="U52" s="6">
        <v>50</v>
      </c>
      <c r="V52" s="7">
        <v>30</v>
      </c>
      <c r="W52" s="7">
        <v>2</v>
      </c>
      <c r="X52" s="7">
        <v>24</v>
      </c>
      <c r="Y52" s="6" t="b">
        <v>0</v>
      </c>
      <c r="Z52" s="6">
        <v>0</v>
      </c>
      <c r="AA52" s="6">
        <v>0</v>
      </c>
      <c r="AB52" s="7">
        <v>1</v>
      </c>
      <c r="AC52" s="5">
        <v>65</v>
      </c>
      <c r="AD52" s="7">
        <v>2</v>
      </c>
      <c r="AE52" s="5" t="b">
        <v>1</v>
      </c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</row>
    <row r="53" spans="1:52" ht="18.75" customHeight="1">
      <c r="B53" s="5">
        <v>150001</v>
      </c>
      <c r="C53" s="6" t="s">
        <v>287</v>
      </c>
      <c r="D53" s="7" t="s">
        <v>343</v>
      </c>
      <c r="E53" s="7">
        <v>2</v>
      </c>
      <c r="F53" s="7">
        <v>1</v>
      </c>
      <c r="G53" s="7">
        <v>2</v>
      </c>
      <c r="H53" s="6">
        <v>100</v>
      </c>
      <c r="I53" s="7">
        <v>21</v>
      </c>
      <c r="J53" s="7">
        <v>2</v>
      </c>
      <c r="K53" s="6">
        <v>100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25</v>
      </c>
      <c r="V53" s="7">
        <v>30</v>
      </c>
      <c r="W53" s="7">
        <v>0</v>
      </c>
      <c r="X53" s="7">
        <v>10</v>
      </c>
      <c r="Y53" s="6" t="b">
        <v>0</v>
      </c>
      <c r="Z53" s="6">
        <v>0</v>
      </c>
      <c r="AA53" s="6">
        <v>0</v>
      </c>
      <c r="AB53" s="7">
        <v>3</v>
      </c>
      <c r="AC53" s="5">
        <v>17</v>
      </c>
      <c r="AD53" s="7">
        <v>3</v>
      </c>
      <c r="AE53" s="5" t="b">
        <v>1</v>
      </c>
      <c r="AF53" s="29">
        <v>3</v>
      </c>
      <c r="AG53" s="29">
        <v>2</v>
      </c>
      <c r="AH53" s="29">
        <v>100</v>
      </c>
      <c r="AI53" s="29">
        <v>1</v>
      </c>
      <c r="AJ53" s="29">
        <v>0</v>
      </c>
      <c r="AK53" s="29">
        <v>10</v>
      </c>
      <c r="AL53" s="29" t="b">
        <v>0</v>
      </c>
      <c r="AM53" s="29">
        <v>0</v>
      </c>
      <c r="AN53" s="29">
        <v>0</v>
      </c>
      <c r="AO53" s="29">
        <v>3</v>
      </c>
      <c r="AP53" s="29">
        <v>2</v>
      </c>
      <c r="AQ53" s="29">
        <v>3</v>
      </c>
      <c r="AR53" s="29" t="b">
        <v>1</v>
      </c>
    </row>
    <row r="54" spans="1:52" ht="18.75" customHeight="1">
      <c r="B54" s="5">
        <v>150002</v>
      </c>
      <c r="C54" s="6" t="s">
        <v>1442</v>
      </c>
      <c r="D54" s="7" t="s">
        <v>343</v>
      </c>
      <c r="E54" s="7">
        <v>2</v>
      </c>
      <c r="F54" s="7">
        <v>1</v>
      </c>
      <c r="G54" s="7">
        <v>2</v>
      </c>
      <c r="H54" s="6">
        <v>100</v>
      </c>
      <c r="I54" s="7">
        <v>21</v>
      </c>
      <c r="J54" s="7">
        <v>2</v>
      </c>
      <c r="K54" s="6">
        <v>100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25</v>
      </c>
      <c r="V54" s="7">
        <v>30</v>
      </c>
      <c r="W54" s="7">
        <v>0</v>
      </c>
      <c r="X54" s="7">
        <v>10</v>
      </c>
      <c r="Y54" s="6" t="b">
        <v>0</v>
      </c>
      <c r="Z54" s="6">
        <v>0</v>
      </c>
      <c r="AA54" s="6">
        <v>0</v>
      </c>
      <c r="AB54" s="7">
        <v>3</v>
      </c>
      <c r="AC54" s="5">
        <v>17</v>
      </c>
      <c r="AD54" s="7">
        <v>3</v>
      </c>
      <c r="AE54" s="5" t="b">
        <v>1</v>
      </c>
      <c r="AF54" s="29">
        <v>3</v>
      </c>
      <c r="AG54" s="29">
        <v>2</v>
      </c>
      <c r="AH54" s="29">
        <v>100</v>
      </c>
      <c r="AI54" s="29">
        <v>1</v>
      </c>
      <c r="AJ54" s="29">
        <v>0</v>
      </c>
      <c r="AK54" s="29">
        <v>10</v>
      </c>
      <c r="AL54" s="29" t="b">
        <v>0</v>
      </c>
      <c r="AM54" s="29">
        <v>0</v>
      </c>
      <c r="AN54" s="29">
        <v>0</v>
      </c>
      <c r="AO54" s="29">
        <v>3</v>
      </c>
      <c r="AP54" s="29">
        <v>2</v>
      </c>
      <c r="AQ54" s="29">
        <v>3</v>
      </c>
      <c r="AR54" s="29" t="b">
        <v>1</v>
      </c>
    </row>
    <row r="55" spans="1:52" ht="18.75" customHeight="1">
      <c r="B55" s="5">
        <v>150003</v>
      </c>
      <c r="C55" s="6" t="s">
        <v>1512</v>
      </c>
      <c r="D55" s="7" t="s">
        <v>343</v>
      </c>
      <c r="E55" s="7">
        <v>2</v>
      </c>
      <c r="F55" s="7">
        <v>1</v>
      </c>
      <c r="G55" s="7">
        <v>2</v>
      </c>
      <c r="H55" s="6">
        <v>100</v>
      </c>
      <c r="I55" s="7">
        <v>21</v>
      </c>
      <c r="J55" s="7">
        <v>2</v>
      </c>
      <c r="K55" s="6">
        <v>100</v>
      </c>
      <c r="L55" s="6" t="b">
        <v>0</v>
      </c>
      <c r="M55" s="6">
        <v>0</v>
      </c>
      <c r="N55" s="6">
        <v>0</v>
      </c>
      <c r="O55" s="7">
        <v>1</v>
      </c>
      <c r="P55" s="5">
        <v>0</v>
      </c>
      <c r="Q55" s="7">
        <v>0</v>
      </c>
      <c r="R55" s="5" t="b">
        <v>1</v>
      </c>
      <c r="S55" s="7">
        <v>3</v>
      </c>
      <c r="T55" s="7">
        <v>2</v>
      </c>
      <c r="U55" s="6">
        <v>25</v>
      </c>
      <c r="V55" s="7">
        <v>30</v>
      </c>
      <c r="W55" s="7">
        <v>0</v>
      </c>
      <c r="X55" s="7">
        <v>10</v>
      </c>
      <c r="Y55" s="6" t="b">
        <v>0</v>
      </c>
      <c r="Z55" s="6">
        <v>0</v>
      </c>
      <c r="AA55" s="6">
        <v>0</v>
      </c>
      <c r="AB55" s="7">
        <v>3</v>
      </c>
      <c r="AC55" s="5">
        <v>17</v>
      </c>
      <c r="AD55" s="7">
        <v>3</v>
      </c>
      <c r="AE55" s="5" t="b">
        <v>1</v>
      </c>
      <c r="AF55" s="29">
        <v>3</v>
      </c>
      <c r="AG55" s="29">
        <v>2</v>
      </c>
      <c r="AH55" s="29">
        <v>100</v>
      </c>
      <c r="AI55" s="29">
        <v>1</v>
      </c>
      <c r="AJ55" s="29">
        <v>0</v>
      </c>
      <c r="AK55" s="29">
        <v>10</v>
      </c>
      <c r="AL55" s="29" t="b">
        <v>0</v>
      </c>
      <c r="AM55" s="29">
        <v>0</v>
      </c>
      <c r="AN55" s="29">
        <v>0</v>
      </c>
      <c r="AO55" s="29">
        <v>3</v>
      </c>
      <c r="AP55" s="29">
        <v>2</v>
      </c>
      <c r="AQ55" s="29">
        <v>3</v>
      </c>
      <c r="AR55" s="29" t="b">
        <v>1</v>
      </c>
    </row>
    <row r="56" spans="1:52" ht="18.75" customHeight="1">
      <c r="B56" s="7">
        <v>160001</v>
      </c>
      <c r="C56" s="7" t="s">
        <v>288</v>
      </c>
      <c r="D56" s="7" t="s">
        <v>839</v>
      </c>
      <c r="E56" s="6">
        <v>2</v>
      </c>
      <c r="F56" s="6">
        <v>1</v>
      </c>
      <c r="G56" s="6">
        <v>2</v>
      </c>
      <c r="H56" s="6">
        <v>100</v>
      </c>
      <c r="I56" s="7">
        <v>21</v>
      </c>
      <c r="J56" s="6">
        <v>2</v>
      </c>
      <c r="K56" s="7">
        <v>100</v>
      </c>
      <c r="L56" s="6" t="b">
        <v>0</v>
      </c>
      <c r="M56" s="6">
        <v>0</v>
      </c>
      <c r="N56" s="6">
        <v>0</v>
      </c>
      <c r="O56" s="5">
        <v>1</v>
      </c>
      <c r="P56" s="5">
        <v>0</v>
      </c>
      <c r="Q56" s="5">
        <v>0</v>
      </c>
      <c r="R56" s="5" t="b">
        <v>1</v>
      </c>
      <c r="S56" s="7">
        <v>3</v>
      </c>
      <c r="T56" s="7">
        <v>2</v>
      </c>
      <c r="U56" s="6">
        <v>50</v>
      </c>
      <c r="V56" s="7">
        <v>30</v>
      </c>
      <c r="W56" s="7">
        <v>2</v>
      </c>
      <c r="X56" s="7">
        <v>40</v>
      </c>
      <c r="Y56" s="6" t="b">
        <v>0</v>
      </c>
      <c r="Z56" s="6">
        <v>0</v>
      </c>
      <c r="AA56" s="6">
        <v>0</v>
      </c>
      <c r="AB56" s="7">
        <v>1</v>
      </c>
      <c r="AC56" s="5">
        <v>63</v>
      </c>
      <c r="AD56" s="7">
        <v>2</v>
      </c>
      <c r="AE56" s="5" t="b">
        <v>1</v>
      </c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</row>
    <row r="57" spans="1:52" ht="18.75" customHeight="1">
      <c r="B57" s="7">
        <v>160002</v>
      </c>
      <c r="C57" s="7" t="s">
        <v>1443</v>
      </c>
      <c r="D57" s="7" t="s">
        <v>839</v>
      </c>
      <c r="E57" s="6">
        <v>2</v>
      </c>
      <c r="F57" s="6">
        <v>1</v>
      </c>
      <c r="G57" s="6">
        <v>2</v>
      </c>
      <c r="H57" s="6">
        <v>100</v>
      </c>
      <c r="I57" s="7">
        <v>21</v>
      </c>
      <c r="J57" s="6">
        <v>2</v>
      </c>
      <c r="K57" s="7">
        <v>100</v>
      </c>
      <c r="L57" s="6" t="b">
        <v>0</v>
      </c>
      <c r="M57" s="6">
        <v>0</v>
      </c>
      <c r="N57" s="6">
        <v>0</v>
      </c>
      <c r="O57" s="5">
        <v>1</v>
      </c>
      <c r="P57" s="5">
        <v>0</v>
      </c>
      <c r="Q57" s="5">
        <v>0</v>
      </c>
      <c r="R57" s="5" t="b">
        <v>1</v>
      </c>
      <c r="S57" s="7">
        <v>3</v>
      </c>
      <c r="T57" s="7">
        <v>2</v>
      </c>
      <c r="U57" s="6">
        <v>50</v>
      </c>
      <c r="V57" s="7">
        <v>30</v>
      </c>
      <c r="W57" s="7">
        <v>2</v>
      </c>
      <c r="X57" s="7">
        <v>40</v>
      </c>
      <c r="Y57" s="6" t="b">
        <v>0</v>
      </c>
      <c r="Z57" s="6">
        <v>0</v>
      </c>
      <c r="AA57" s="6">
        <v>0</v>
      </c>
      <c r="AB57" s="7">
        <v>1</v>
      </c>
      <c r="AC57" s="5">
        <v>63</v>
      </c>
      <c r="AD57" s="7">
        <v>2</v>
      </c>
      <c r="AE57" s="5" t="b">
        <v>1</v>
      </c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</row>
    <row r="58" spans="1:52" ht="18.75" customHeight="1">
      <c r="B58" s="7">
        <v>160003</v>
      </c>
      <c r="C58" s="7" t="s">
        <v>1513</v>
      </c>
      <c r="D58" s="7" t="s">
        <v>839</v>
      </c>
      <c r="E58" s="6">
        <v>2</v>
      </c>
      <c r="F58" s="6">
        <v>1</v>
      </c>
      <c r="G58" s="6">
        <v>2</v>
      </c>
      <c r="H58" s="6">
        <v>100</v>
      </c>
      <c r="I58" s="7">
        <v>21</v>
      </c>
      <c r="J58" s="6">
        <v>2</v>
      </c>
      <c r="K58" s="7">
        <v>100</v>
      </c>
      <c r="L58" s="6" t="b">
        <v>0</v>
      </c>
      <c r="M58" s="6">
        <v>0</v>
      </c>
      <c r="N58" s="6">
        <v>0</v>
      </c>
      <c r="O58" s="5">
        <v>1</v>
      </c>
      <c r="P58" s="5">
        <v>0</v>
      </c>
      <c r="Q58" s="5">
        <v>0</v>
      </c>
      <c r="R58" s="5" t="b">
        <v>1</v>
      </c>
      <c r="S58" s="7">
        <v>3</v>
      </c>
      <c r="T58" s="7">
        <v>2</v>
      </c>
      <c r="U58" s="6">
        <v>50</v>
      </c>
      <c r="V58" s="7">
        <v>30</v>
      </c>
      <c r="W58" s="7">
        <v>2</v>
      </c>
      <c r="X58" s="7">
        <v>40</v>
      </c>
      <c r="Y58" s="6" t="b">
        <v>0</v>
      </c>
      <c r="Z58" s="6">
        <v>0</v>
      </c>
      <c r="AA58" s="6">
        <v>0</v>
      </c>
      <c r="AB58" s="7">
        <v>1</v>
      </c>
      <c r="AC58" s="5">
        <v>63</v>
      </c>
      <c r="AD58" s="7">
        <v>2</v>
      </c>
      <c r="AE58" s="5" t="b">
        <v>1</v>
      </c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</row>
    <row r="59" spans="1:52" ht="18.75" customHeight="1">
      <c r="B59" s="5">
        <v>170001</v>
      </c>
      <c r="C59" s="7" t="s">
        <v>289</v>
      </c>
      <c r="D59" s="7" t="s">
        <v>840</v>
      </c>
      <c r="E59" s="7">
        <v>2</v>
      </c>
      <c r="F59" s="7">
        <v>1</v>
      </c>
      <c r="G59" s="7">
        <v>2</v>
      </c>
      <c r="H59" s="6">
        <v>100</v>
      </c>
      <c r="I59" s="7">
        <v>21</v>
      </c>
      <c r="J59" s="7">
        <v>2</v>
      </c>
      <c r="K59" s="6">
        <v>100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6">
        <v>2</v>
      </c>
      <c r="T59" s="6">
        <v>5</v>
      </c>
      <c r="U59" s="6">
        <v>100</v>
      </c>
      <c r="V59" s="5">
        <v>1</v>
      </c>
      <c r="W59" s="5">
        <v>4</v>
      </c>
      <c r="X59" s="5">
        <v>25</v>
      </c>
      <c r="Y59" s="6" t="b">
        <v>0</v>
      </c>
      <c r="Z59" s="6">
        <v>0</v>
      </c>
      <c r="AA59" s="6">
        <v>0</v>
      </c>
      <c r="AB59" s="5">
        <v>49</v>
      </c>
      <c r="AC59" s="5">
        <v>0</v>
      </c>
      <c r="AD59" s="5">
        <v>0</v>
      </c>
      <c r="AE59" s="5" t="b">
        <v>1</v>
      </c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</row>
    <row r="60" spans="1:52" ht="18.75" customHeight="1">
      <c r="B60" s="5">
        <v>170002</v>
      </c>
      <c r="C60" s="7" t="s">
        <v>1444</v>
      </c>
      <c r="D60" s="7" t="s">
        <v>840</v>
      </c>
      <c r="E60" s="7">
        <v>2</v>
      </c>
      <c r="F60" s="7">
        <v>1</v>
      </c>
      <c r="G60" s="7">
        <v>2</v>
      </c>
      <c r="H60" s="6">
        <v>100</v>
      </c>
      <c r="I60" s="7">
        <v>21</v>
      </c>
      <c r="J60" s="7">
        <v>2</v>
      </c>
      <c r="K60" s="6">
        <v>100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6">
        <v>2</v>
      </c>
      <c r="T60" s="6">
        <v>5</v>
      </c>
      <c r="U60" s="6">
        <v>100</v>
      </c>
      <c r="V60" s="5">
        <v>1</v>
      </c>
      <c r="W60" s="5">
        <v>4</v>
      </c>
      <c r="X60" s="5">
        <v>25</v>
      </c>
      <c r="Y60" s="6" t="b">
        <v>0</v>
      </c>
      <c r="Z60" s="6">
        <v>0</v>
      </c>
      <c r="AA60" s="6">
        <v>0</v>
      </c>
      <c r="AB60" s="5">
        <v>49</v>
      </c>
      <c r="AC60" s="5">
        <v>0</v>
      </c>
      <c r="AD60" s="5">
        <v>0</v>
      </c>
      <c r="AE60" s="5" t="b">
        <v>1</v>
      </c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</row>
    <row r="61" spans="1:52" ht="18.75" customHeight="1">
      <c r="B61" s="5">
        <v>170003</v>
      </c>
      <c r="C61" s="7" t="s">
        <v>1514</v>
      </c>
      <c r="D61" s="7" t="s">
        <v>840</v>
      </c>
      <c r="E61" s="7">
        <v>2</v>
      </c>
      <c r="F61" s="7">
        <v>1</v>
      </c>
      <c r="G61" s="7">
        <v>2</v>
      </c>
      <c r="H61" s="6">
        <v>100</v>
      </c>
      <c r="I61" s="7">
        <v>21</v>
      </c>
      <c r="J61" s="7">
        <v>2</v>
      </c>
      <c r="K61" s="6">
        <v>100</v>
      </c>
      <c r="L61" s="6" t="b">
        <v>0</v>
      </c>
      <c r="M61" s="6">
        <v>0</v>
      </c>
      <c r="N61" s="6">
        <v>0</v>
      </c>
      <c r="O61" s="7">
        <v>1</v>
      </c>
      <c r="P61" s="5">
        <v>0</v>
      </c>
      <c r="Q61" s="7">
        <v>0</v>
      </c>
      <c r="R61" s="5" t="b">
        <v>1</v>
      </c>
      <c r="S61" s="6">
        <v>2</v>
      </c>
      <c r="T61" s="6">
        <v>5</v>
      </c>
      <c r="U61" s="6">
        <v>100</v>
      </c>
      <c r="V61" s="5">
        <v>1</v>
      </c>
      <c r="W61" s="5">
        <v>4</v>
      </c>
      <c r="X61" s="5">
        <v>25</v>
      </c>
      <c r="Y61" s="6" t="b">
        <v>0</v>
      </c>
      <c r="Z61" s="6">
        <v>0</v>
      </c>
      <c r="AA61" s="6">
        <v>0</v>
      </c>
      <c r="AB61" s="5">
        <v>49</v>
      </c>
      <c r="AC61" s="5">
        <v>0</v>
      </c>
      <c r="AD61" s="5">
        <v>0</v>
      </c>
      <c r="AE61" s="5" t="b">
        <v>1</v>
      </c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</row>
    <row r="62" spans="1:52" ht="18.75" customHeight="1">
      <c r="B62" s="7">
        <v>180001</v>
      </c>
      <c r="C62" s="7" t="s">
        <v>290</v>
      </c>
      <c r="D62" s="7" t="s">
        <v>841</v>
      </c>
      <c r="E62" s="7">
        <v>2</v>
      </c>
      <c r="F62" s="7">
        <v>1</v>
      </c>
      <c r="G62" s="7">
        <v>2</v>
      </c>
      <c r="H62" s="6">
        <v>100</v>
      </c>
      <c r="I62" s="7">
        <v>21</v>
      </c>
      <c r="J62" s="7">
        <v>2</v>
      </c>
      <c r="K62" s="7">
        <v>100</v>
      </c>
      <c r="L62" s="6" t="b">
        <v>0</v>
      </c>
      <c r="M62" s="6">
        <v>0</v>
      </c>
      <c r="N62" s="6">
        <v>0</v>
      </c>
      <c r="O62" s="7">
        <v>1</v>
      </c>
      <c r="P62" s="5">
        <v>0</v>
      </c>
      <c r="Q62" s="7">
        <v>0</v>
      </c>
      <c r="R62" s="5" t="b">
        <v>1</v>
      </c>
      <c r="S62" s="7">
        <v>3</v>
      </c>
      <c r="T62" s="7">
        <v>2</v>
      </c>
      <c r="U62" s="6">
        <v>15</v>
      </c>
      <c r="V62" s="7">
        <v>30</v>
      </c>
      <c r="W62" s="7">
        <v>0</v>
      </c>
      <c r="X62" s="7">
        <v>0</v>
      </c>
      <c r="Y62" s="6" t="b">
        <v>0</v>
      </c>
      <c r="Z62" s="6">
        <v>0</v>
      </c>
      <c r="AA62" s="6">
        <v>0</v>
      </c>
      <c r="AB62" s="7">
        <v>3</v>
      </c>
      <c r="AC62" s="5">
        <v>33</v>
      </c>
      <c r="AD62" s="7">
        <v>1</v>
      </c>
      <c r="AE62" s="5" t="b">
        <v>1</v>
      </c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</row>
    <row r="63" spans="1:52" ht="18.75" customHeight="1">
      <c r="B63" s="7">
        <v>180002</v>
      </c>
      <c r="C63" s="7" t="s">
        <v>1445</v>
      </c>
      <c r="D63" s="7" t="s">
        <v>841</v>
      </c>
      <c r="E63" s="7">
        <v>2</v>
      </c>
      <c r="F63" s="7">
        <v>1</v>
      </c>
      <c r="G63" s="7">
        <v>2</v>
      </c>
      <c r="H63" s="6">
        <v>100</v>
      </c>
      <c r="I63" s="7">
        <v>21</v>
      </c>
      <c r="J63" s="7">
        <v>2</v>
      </c>
      <c r="K63" s="7">
        <v>100</v>
      </c>
      <c r="L63" s="6" t="b">
        <v>0</v>
      </c>
      <c r="M63" s="6">
        <v>0</v>
      </c>
      <c r="N63" s="6">
        <v>0</v>
      </c>
      <c r="O63" s="7">
        <v>1</v>
      </c>
      <c r="P63" s="5">
        <v>0</v>
      </c>
      <c r="Q63" s="7">
        <v>0</v>
      </c>
      <c r="R63" s="5" t="b">
        <v>1</v>
      </c>
      <c r="S63" s="7">
        <v>3</v>
      </c>
      <c r="T63" s="7">
        <v>2</v>
      </c>
      <c r="U63" s="6">
        <v>15</v>
      </c>
      <c r="V63" s="7">
        <v>30</v>
      </c>
      <c r="W63" s="7">
        <v>0</v>
      </c>
      <c r="X63" s="7">
        <v>0</v>
      </c>
      <c r="Y63" s="6" t="b">
        <v>0</v>
      </c>
      <c r="Z63" s="6">
        <v>0</v>
      </c>
      <c r="AA63" s="6">
        <v>0</v>
      </c>
      <c r="AB63" s="7">
        <v>3</v>
      </c>
      <c r="AC63" s="5">
        <v>33</v>
      </c>
      <c r="AD63" s="7">
        <v>1</v>
      </c>
      <c r="AE63" s="5" t="b">
        <v>1</v>
      </c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</row>
    <row r="64" spans="1:52" ht="18.75" customHeight="1">
      <c r="B64" s="7">
        <v>180003</v>
      </c>
      <c r="C64" s="7" t="s">
        <v>1515</v>
      </c>
      <c r="D64" s="7" t="s">
        <v>841</v>
      </c>
      <c r="E64" s="7">
        <v>2</v>
      </c>
      <c r="F64" s="7">
        <v>1</v>
      </c>
      <c r="G64" s="7">
        <v>2</v>
      </c>
      <c r="H64" s="6">
        <v>100</v>
      </c>
      <c r="I64" s="7">
        <v>21</v>
      </c>
      <c r="J64" s="7">
        <v>2</v>
      </c>
      <c r="K64" s="7">
        <v>100</v>
      </c>
      <c r="L64" s="6" t="b">
        <v>0</v>
      </c>
      <c r="M64" s="6">
        <v>0</v>
      </c>
      <c r="N64" s="6">
        <v>0</v>
      </c>
      <c r="O64" s="7">
        <v>1</v>
      </c>
      <c r="P64" s="5">
        <v>0</v>
      </c>
      <c r="Q64" s="7">
        <v>0</v>
      </c>
      <c r="R64" s="5" t="b">
        <v>1</v>
      </c>
      <c r="S64" s="7">
        <v>3</v>
      </c>
      <c r="T64" s="7">
        <v>2</v>
      </c>
      <c r="U64" s="6">
        <v>15</v>
      </c>
      <c r="V64" s="7">
        <v>30</v>
      </c>
      <c r="W64" s="7">
        <v>0</v>
      </c>
      <c r="X64" s="7">
        <v>0</v>
      </c>
      <c r="Y64" s="6" t="b">
        <v>0</v>
      </c>
      <c r="Z64" s="6">
        <v>0</v>
      </c>
      <c r="AA64" s="6">
        <v>0</v>
      </c>
      <c r="AB64" s="7">
        <v>3</v>
      </c>
      <c r="AC64" s="5">
        <v>33</v>
      </c>
      <c r="AD64" s="7">
        <v>1</v>
      </c>
      <c r="AE64" s="5" t="b">
        <v>1</v>
      </c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</row>
    <row r="65" spans="2:44" ht="18.75" customHeight="1">
      <c r="B65" s="5">
        <v>190001</v>
      </c>
      <c r="C65" s="7" t="s">
        <v>291</v>
      </c>
      <c r="D65" s="7" t="s">
        <v>344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6">
        <v>100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3</v>
      </c>
      <c r="T65" s="7">
        <v>2</v>
      </c>
      <c r="U65" s="6">
        <v>20</v>
      </c>
      <c r="V65" s="7">
        <v>30</v>
      </c>
      <c r="W65" s="7">
        <v>0</v>
      </c>
      <c r="X65" s="7">
        <v>0</v>
      </c>
      <c r="Y65" s="6" t="b">
        <v>0</v>
      </c>
      <c r="Z65" s="6">
        <v>0</v>
      </c>
      <c r="AA65" s="6">
        <v>0</v>
      </c>
      <c r="AB65" s="7">
        <v>3</v>
      </c>
      <c r="AC65" s="5">
        <v>37</v>
      </c>
      <c r="AD65" s="7">
        <v>2</v>
      </c>
      <c r="AE65" s="5" t="b">
        <v>1</v>
      </c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</row>
    <row r="66" spans="2:44" ht="18.75" customHeight="1">
      <c r="B66" s="5">
        <v>190002</v>
      </c>
      <c r="C66" s="7" t="s">
        <v>1446</v>
      </c>
      <c r="D66" s="7" t="s">
        <v>344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6">
        <v>100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3</v>
      </c>
      <c r="T66" s="7">
        <v>2</v>
      </c>
      <c r="U66" s="6">
        <v>20</v>
      </c>
      <c r="V66" s="7">
        <v>30</v>
      </c>
      <c r="W66" s="7">
        <v>0</v>
      </c>
      <c r="X66" s="7">
        <v>0</v>
      </c>
      <c r="Y66" s="6" t="b">
        <v>0</v>
      </c>
      <c r="Z66" s="6">
        <v>0</v>
      </c>
      <c r="AA66" s="6">
        <v>0</v>
      </c>
      <c r="AB66" s="7">
        <v>3</v>
      </c>
      <c r="AC66" s="5">
        <v>37</v>
      </c>
      <c r="AD66" s="7">
        <v>2</v>
      </c>
      <c r="AE66" s="5" t="b">
        <v>1</v>
      </c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</row>
    <row r="67" spans="2:44" ht="18.75" customHeight="1">
      <c r="B67" s="5">
        <v>190003</v>
      </c>
      <c r="C67" s="7" t="s">
        <v>1516</v>
      </c>
      <c r="D67" s="7" t="s">
        <v>344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6">
        <v>100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3</v>
      </c>
      <c r="T67" s="7">
        <v>2</v>
      </c>
      <c r="U67" s="6">
        <v>20</v>
      </c>
      <c r="V67" s="7">
        <v>30</v>
      </c>
      <c r="W67" s="7">
        <v>0</v>
      </c>
      <c r="X67" s="7">
        <v>0</v>
      </c>
      <c r="Y67" s="6" t="b">
        <v>0</v>
      </c>
      <c r="Z67" s="6">
        <v>0</v>
      </c>
      <c r="AA67" s="6">
        <v>0</v>
      </c>
      <c r="AB67" s="7">
        <v>3</v>
      </c>
      <c r="AC67" s="5">
        <v>37</v>
      </c>
      <c r="AD67" s="7">
        <v>2</v>
      </c>
      <c r="AE67" s="5" t="b">
        <v>1</v>
      </c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</row>
    <row r="68" spans="2:44" ht="18.75" customHeight="1">
      <c r="B68" s="7">
        <v>200001</v>
      </c>
      <c r="C68" s="7" t="s">
        <v>292</v>
      </c>
      <c r="D68" s="7" t="s">
        <v>842</v>
      </c>
      <c r="E68" s="7">
        <v>2</v>
      </c>
      <c r="F68" s="7">
        <v>1</v>
      </c>
      <c r="G68" s="7">
        <v>2</v>
      </c>
      <c r="H68" s="6">
        <v>100</v>
      </c>
      <c r="I68" s="7">
        <v>21</v>
      </c>
      <c r="J68" s="7">
        <v>2</v>
      </c>
      <c r="K68" s="7">
        <v>100</v>
      </c>
      <c r="L68" s="6" t="b">
        <v>0</v>
      </c>
      <c r="M68" s="6">
        <v>0</v>
      </c>
      <c r="N68" s="6">
        <v>0</v>
      </c>
      <c r="O68" s="7">
        <v>1</v>
      </c>
      <c r="P68" s="5">
        <v>0</v>
      </c>
      <c r="Q68" s="7">
        <v>0</v>
      </c>
      <c r="R68" s="5" t="b">
        <v>1</v>
      </c>
      <c r="S68" s="7">
        <v>3</v>
      </c>
      <c r="T68" s="7">
        <v>2</v>
      </c>
      <c r="U68" s="6">
        <v>50</v>
      </c>
      <c r="V68" s="7">
        <v>30</v>
      </c>
      <c r="W68" s="7">
        <v>2</v>
      </c>
      <c r="X68" s="7">
        <v>30</v>
      </c>
      <c r="Y68" s="6" t="b">
        <v>0</v>
      </c>
      <c r="Z68" s="6">
        <v>0</v>
      </c>
      <c r="AA68" s="6">
        <v>0</v>
      </c>
      <c r="AB68" s="7">
        <v>1</v>
      </c>
      <c r="AC68" s="5">
        <v>64</v>
      </c>
      <c r="AD68" s="7">
        <v>2</v>
      </c>
      <c r="AE68" s="5" t="b">
        <v>1</v>
      </c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</row>
    <row r="69" spans="2:44" ht="18.75" customHeight="1">
      <c r="B69" s="7">
        <v>200002</v>
      </c>
      <c r="C69" s="7" t="s">
        <v>1447</v>
      </c>
      <c r="D69" s="7" t="s">
        <v>842</v>
      </c>
      <c r="E69" s="7">
        <v>2</v>
      </c>
      <c r="F69" s="7">
        <v>1</v>
      </c>
      <c r="G69" s="7">
        <v>2</v>
      </c>
      <c r="H69" s="6">
        <v>100</v>
      </c>
      <c r="I69" s="7">
        <v>21</v>
      </c>
      <c r="J69" s="7">
        <v>2</v>
      </c>
      <c r="K69" s="7">
        <v>100</v>
      </c>
      <c r="L69" s="6" t="b">
        <v>0</v>
      </c>
      <c r="M69" s="6">
        <v>0</v>
      </c>
      <c r="N69" s="6">
        <v>0</v>
      </c>
      <c r="O69" s="7">
        <v>1</v>
      </c>
      <c r="P69" s="5">
        <v>0</v>
      </c>
      <c r="Q69" s="7">
        <v>0</v>
      </c>
      <c r="R69" s="5" t="b">
        <v>1</v>
      </c>
      <c r="S69" s="7">
        <v>3</v>
      </c>
      <c r="T69" s="7">
        <v>2</v>
      </c>
      <c r="U69" s="6">
        <v>50</v>
      </c>
      <c r="V69" s="7">
        <v>30</v>
      </c>
      <c r="W69" s="7">
        <v>2</v>
      </c>
      <c r="X69" s="7">
        <v>30</v>
      </c>
      <c r="Y69" s="6" t="b">
        <v>0</v>
      </c>
      <c r="Z69" s="6">
        <v>0</v>
      </c>
      <c r="AA69" s="6">
        <v>0</v>
      </c>
      <c r="AB69" s="7">
        <v>1</v>
      </c>
      <c r="AC69" s="5">
        <v>64</v>
      </c>
      <c r="AD69" s="7">
        <v>2</v>
      </c>
      <c r="AE69" s="5" t="b">
        <v>1</v>
      </c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</row>
    <row r="70" spans="2:44" ht="18.75" customHeight="1">
      <c r="B70" s="7">
        <v>200003</v>
      </c>
      <c r="C70" s="7" t="s">
        <v>1517</v>
      </c>
      <c r="D70" s="7" t="s">
        <v>842</v>
      </c>
      <c r="E70" s="7">
        <v>2</v>
      </c>
      <c r="F70" s="7">
        <v>1</v>
      </c>
      <c r="G70" s="7">
        <v>2</v>
      </c>
      <c r="H70" s="6">
        <v>100</v>
      </c>
      <c r="I70" s="7">
        <v>21</v>
      </c>
      <c r="J70" s="7">
        <v>2</v>
      </c>
      <c r="K70" s="7">
        <v>100</v>
      </c>
      <c r="L70" s="6" t="b">
        <v>0</v>
      </c>
      <c r="M70" s="6">
        <v>0</v>
      </c>
      <c r="N70" s="6">
        <v>0</v>
      </c>
      <c r="O70" s="7">
        <v>1</v>
      </c>
      <c r="P70" s="5">
        <v>0</v>
      </c>
      <c r="Q70" s="7">
        <v>0</v>
      </c>
      <c r="R70" s="5" t="b">
        <v>1</v>
      </c>
      <c r="S70" s="7">
        <v>3</v>
      </c>
      <c r="T70" s="7">
        <v>2</v>
      </c>
      <c r="U70" s="6">
        <v>50</v>
      </c>
      <c r="V70" s="7">
        <v>30</v>
      </c>
      <c r="W70" s="7">
        <v>2</v>
      </c>
      <c r="X70" s="7">
        <v>30</v>
      </c>
      <c r="Y70" s="6" t="b">
        <v>0</v>
      </c>
      <c r="Z70" s="6">
        <v>0</v>
      </c>
      <c r="AA70" s="6">
        <v>0</v>
      </c>
      <c r="AB70" s="7">
        <v>1</v>
      </c>
      <c r="AC70" s="5">
        <v>64</v>
      </c>
      <c r="AD70" s="7">
        <v>2</v>
      </c>
      <c r="AE70" s="5" t="b">
        <v>1</v>
      </c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</row>
    <row r="71" spans="2:44" ht="18.75" customHeight="1">
      <c r="B71" s="5">
        <v>210001</v>
      </c>
      <c r="C71" s="7" t="s">
        <v>293</v>
      </c>
      <c r="D71" s="7" t="s">
        <v>843</v>
      </c>
      <c r="E71" s="6">
        <v>2</v>
      </c>
      <c r="F71" s="6">
        <v>1</v>
      </c>
      <c r="G71" s="6">
        <v>2</v>
      </c>
      <c r="H71" s="6">
        <v>100</v>
      </c>
      <c r="I71" s="7">
        <v>21</v>
      </c>
      <c r="J71" s="6">
        <v>2</v>
      </c>
      <c r="K71" s="6">
        <v>100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40</v>
      </c>
      <c r="V71" s="5">
        <v>30</v>
      </c>
      <c r="W71" s="5">
        <v>2</v>
      </c>
      <c r="X71" s="5">
        <v>22</v>
      </c>
      <c r="Y71" s="6" t="b">
        <v>0</v>
      </c>
      <c r="Z71" s="6">
        <v>0</v>
      </c>
      <c r="AA71" s="6">
        <v>0</v>
      </c>
      <c r="AB71" s="5">
        <v>1</v>
      </c>
      <c r="AC71" s="5">
        <v>64</v>
      </c>
      <c r="AD71" s="5">
        <v>2</v>
      </c>
      <c r="AE71" s="5" t="b">
        <v>1</v>
      </c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</row>
    <row r="72" spans="2:44" ht="18.75" customHeight="1">
      <c r="B72" s="5">
        <v>210002</v>
      </c>
      <c r="C72" s="7" t="s">
        <v>1448</v>
      </c>
      <c r="D72" s="7" t="s">
        <v>843</v>
      </c>
      <c r="E72" s="6">
        <v>2</v>
      </c>
      <c r="F72" s="6">
        <v>1</v>
      </c>
      <c r="G72" s="6">
        <v>2</v>
      </c>
      <c r="H72" s="6">
        <v>100</v>
      </c>
      <c r="I72" s="7">
        <v>21</v>
      </c>
      <c r="J72" s="6">
        <v>2</v>
      </c>
      <c r="K72" s="6">
        <v>100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40</v>
      </c>
      <c r="V72" s="5">
        <v>30</v>
      </c>
      <c r="W72" s="5">
        <v>2</v>
      </c>
      <c r="X72" s="5">
        <v>22</v>
      </c>
      <c r="Y72" s="6" t="b">
        <v>0</v>
      </c>
      <c r="Z72" s="6">
        <v>0</v>
      </c>
      <c r="AA72" s="6">
        <v>0</v>
      </c>
      <c r="AB72" s="5">
        <v>1</v>
      </c>
      <c r="AC72" s="5">
        <v>64</v>
      </c>
      <c r="AD72" s="5">
        <v>2</v>
      </c>
      <c r="AE72" s="5" t="b">
        <v>1</v>
      </c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</row>
    <row r="73" spans="2:44" ht="18.75" customHeight="1">
      <c r="B73" s="5">
        <v>210003</v>
      </c>
      <c r="C73" s="7" t="s">
        <v>1518</v>
      </c>
      <c r="D73" s="7" t="s">
        <v>843</v>
      </c>
      <c r="E73" s="6">
        <v>2</v>
      </c>
      <c r="F73" s="6">
        <v>1</v>
      </c>
      <c r="G73" s="6">
        <v>2</v>
      </c>
      <c r="H73" s="6">
        <v>100</v>
      </c>
      <c r="I73" s="7">
        <v>21</v>
      </c>
      <c r="J73" s="6">
        <v>2</v>
      </c>
      <c r="K73" s="6">
        <v>100</v>
      </c>
      <c r="L73" s="6" t="b">
        <v>0</v>
      </c>
      <c r="M73" s="6">
        <v>0</v>
      </c>
      <c r="N73" s="6">
        <v>0</v>
      </c>
      <c r="O73" s="5">
        <v>1</v>
      </c>
      <c r="P73" s="5">
        <v>0</v>
      </c>
      <c r="Q73" s="5">
        <v>0</v>
      </c>
      <c r="R73" s="5" t="b">
        <v>1</v>
      </c>
      <c r="S73" s="6">
        <v>3</v>
      </c>
      <c r="T73" s="6">
        <v>2</v>
      </c>
      <c r="U73" s="6">
        <v>40</v>
      </c>
      <c r="V73" s="5">
        <v>30</v>
      </c>
      <c r="W73" s="5">
        <v>2</v>
      </c>
      <c r="X73" s="5">
        <v>22</v>
      </c>
      <c r="Y73" s="6" t="b">
        <v>0</v>
      </c>
      <c r="Z73" s="6">
        <v>0</v>
      </c>
      <c r="AA73" s="6">
        <v>0</v>
      </c>
      <c r="AB73" s="5">
        <v>1</v>
      </c>
      <c r="AC73" s="5">
        <v>64</v>
      </c>
      <c r="AD73" s="5">
        <v>2</v>
      </c>
      <c r="AE73" s="5" t="b">
        <v>1</v>
      </c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</row>
    <row r="74" spans="2:44" ht="18.75" customHeight="1">
      <c r="B74" s="7">
        <v>220001</v>
      </c>
      <c r="C74" s="7" t="s">
        <v>294</v>
      </c>
      <c r="D74" s="10" t="s">
        <v>345</v>
      </c>
      <c r="E74" s="7">
        <v>2</v>
      </c>
      <c r="F74" s="7">
        <v>1</v>
      </c>
      <c r="G74" s="7">
        <v>2</v>
      </c>
      <c r="H74" s="6">
        <v>100</v>
      </c>
      <c r="I74" s="7">
        <v>21</v>
      </c>
      <c r="J74" s="7">
        <v>2</v>
      </c>
      <c r="K74" s="7">
        <v>100</v>
      </c>
      <c r="L74" s="6" t="b">
        <v>0</v>
      </c>
      <c r="M74" s="6">
        <v>0</v>
      </c>
      <c r="N74" s="6">
        <v>0</v>
      </c>
      <c r="O74" s="7">
        <v>1</v>
      </c>
      <c r="P74" s="5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0</v>
      </c>
      <c r="X74" s="7">
        <v>15</v>
      </c>
      <c r="Y74" s="6" t="b">
        <v>0</v>
      </c>
      <c r="Z74" s="6">
        <v>0</v>
      </c>
      <c r="AA74" s="6">
        <v>0</v>
      </c>
      <c r="AB74" s="7">
        <v>3</v>
      </c>
      <c r="AC74" s="5">
        <v>20</v>
      </c>
      <c r="AD74" s="7">
        <v>3</v>
      </c>
      <c r="AE74" s="5" t="b">
        <v>1</v>
      </c>
      <c r="AF74" s="29">
        <v>3</v>
      </c>
      <c r="AG74" s="29">
        <v>2</v>
      </c>
      <c r="AH74" s="29">
        <v>100</v>
      </c>
      <c r="AI74" s="29">
        <v>1</v>
      </c>
      <c r="AJ74" s="29">
        <v>0</v>
      </c>
      <c r="AK74" s="29">
        <v>15</v>
      </c>
      <c r="AL74" s="29" t="b">
        <v>0</v>
      </c>
      <c r="AM74" s="29">
        <v>0</v>
      </c>
      <c r="AN74" s="29">
        <v>0</v>
      </c>
      <c r="AO74" s="29">
        <v>3</v>
      </c>
      <c r="AP74" s="29">
        <v>5</v>
      </c>
      <c r="AQ74" s="29">
        <v>3</v>
      </c>
      <c r="AR74" s="29" t="b">
        <v>1</v>
      </c>
    </row>
    <row r="75" spans="2:44" ht="18.75" customHeight="1">
      <c r="B75" s="7">
        <v>220002</v>
      </c>
      <c r="C75" s="7" t="s">
        <v>1449</v>
      </c>
      <c r="D75" s="10" t="s">
        <v>345</v>
      </c>
      <c r="E75" s="7">
        <v>2</v>
      </c>
      <c r="F75" s="7">
        <v>1</v>
      </c>
      <c r="G75" s="7">
        <v>2</v>
      </c>
      <c r="H75" s="6">
        <v>100</v>
      </c>
      <c r="I75" s="7">
        <v>21</v>
      </c>
      <c r="J75" s="7">
        <v>2</v>
      </c>
      <c r="K75" s="7">
        <v>100</v>
      </c>
      <c r="L75" s="6" t="b">
        <v>0</v>
      </c>
      <c r="M75" s="6">
        <v>0</v>
      </c>
      <c r="N75" s="6">
        <v>0</v>
      </c>
      <c r="O75" s="7">
        <v>1</v>
      </c>
      <c r="P75" s="5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0</v>
      </c>
      <c r="X75" s="7">
        <v>15</v>
      </c>
      <c r="Y75" s="6" t="b">
        <v>0</v>
      </c>
      <c r="Z75" s="6">
        <v>0</v>
      </c>
      <c r="AA75" s="6">
        <v>0</v>
      </c>
      <c r="AB75" s="7">
        <v>3</v>
      </c>
      <c r="AC75" s="5">
        <v>20</v>
      </c>
      <c r="AD75" s="7">
        <v>3</v>
      </c>
      <c r="AE75" s="5" t="b">
        <v>1</v>
      </c>
      <c r="AF75" s="29">
        <v>3</v>
      </c>
      <c r="AG75" s="29">
        <v>2</v>
      </c>
      <c r="AH75" s="29">
        <v>100</v>
      </c>
      <c r="AI75" s="29">
        <v>1</v>
      </c>
      <c r="AJ75" s="29">
        <v>0</v>
      </c>
      <c r="AK75" s="29">
        <v>15</v>
      </c>
      <c r="AL75" s="29" t="b">
        <v>0</v>
      </c>
      <c r="AM75" s="29">
        <v>0</v>
      </c>
      <c r="AN75" s="29">
        <v>0</v>
      </c>
      <c r="AO75" s="29">
        <v>3</v>
      </c>
      <c r="AP75" s="29">
        <v>5</v>
      </c>
      <c r="AQ75" s="29">
        <v>3</v>
      </c>
      <c r="AR75" s="29" t="b">
        <v>1</v>
      </c>
    </row>
    <row r="76" spans="2:44" ht="18.75" customHeight="1">
      <c r="B76" s="7">
        <v>220003</v>
      </c>
      <c r="C76" s="7" t="s">
        <v>1519</v>
      </c>
      <c r="D76" s="10" t="s">
        <v>345</v>
      </c>
      <c r="E76" s="7">
        <v>2</v>
      </c>
      <c r="F76" s="7">
        <v>1</v>
      </c>
      <c r="G76" s="7">
        <v>2</v>
      </c>
      <c r="H76" s="6">
        <v>100</v>
      </c>
      <c r="I76" s="7">
        <v>21</v>
      </c>
      <c r="J76" s="7">
        <v>2</v>
      </c>
      <c r="K76" s="7">
        <v>100</v>
      </c>
      <c r="L76" s="6" t="b">
        <v>0</v>
      </c>
      <c r="M76" s="6">
        <v>0</v>
      </c>
      <c r="N76" s="6">
        <v>0</v>
      </c>
      <c r="O76" s="7">
        <v>1</v>
      </c>
      <c r="P76" s="5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100</v>
      </c>
      <c r="V76" s="7">
        <v>30</v>
      </c>
      <c r="W76" s="7">
        <v>0</v>
      </c>
      <c r="X76" s="7">
        <v>15</v>
      </c>
      <c r="Y76" s="6" t="b">
        <v>0</v>
      </c>
      <c r="Z76" s="6">
        <v>0</v>
      </c>
      <c r="AA76" s="6">
        <v>0</v>
      </c>
      <c r="AB76" s="7">
        <v>3</v>
      </c>
      <c r="AC76" s="5">
        <v>20</v>
      </c>
      <c r="AD76" s="7">
        <v>3</v>
      </c>
      <c r="AE76" s="5" t="b">
        <v>1</v>
      </c>
      <c r="AF76" s="29">
        <v>3</v>
      </c>
      <c r="AG76" s="29">
        <v>2</v>
      </c>
      <c r="AH76" s="29">
        <v>100</v>
      </c>
      <c r="AI76" s="29">
        <v>1</v>
      </c>
      <c r="AJ76" s="29">
        <v>0</v>
      </c>
      <c r="AK76" s="29">
        <v>15</v>
      </c>
      <c r="AL76" s="29" t="b">
        <v>0</v>
      </c>
      <c r="AM76" s="29">
        <v>0</v>
      </c>
      <c r="AN76" s="29">
        <v>0</v>
      </c>
      <c r="AO76" s="29">
        <v>3</v>
      </c>
      <c r="AP76" s="29">
        <v>5</v>
      </c>
      <c r="AQ76" s="29">
        <v>3</v>
      </c>
      <c r="AR76" s="29" t="b">
        <v>1</v>
      </c>
    </row>
    <row r="77" spans="2:44" ht="18.75" customHeight="1">
      <c r="B77" s="5">
        <v>230001</v>
      </c>
      <c r="C77" s="7" t="s">
        <v>295</v>
      </c>
      <c r="D77" s="10" t="s">
        <v>844</v>
      </c>
      <c r="E77" s="7">
        <v>2</v>
      </c>
      <c r="F77" s="7">
        <v>1</v>
      </c>
      <c r="G77" s="7">
        <v>2</v>
      </c>
      <c r="H77" s="6">
        <v>100</v>
      </c>
      <c r="I77" s="7">
        <v>26</v>
      </c>
      <c r="J77" s="7">
        <v>2</v>
      </c>
      <c r="K77" s="6">
        <v>100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50</v>
      </c>
      <c r="V77" s="7">
        <v>30</v>
      </c>
      <c r="W77" s="7">
        <v>2</v>
      </c>
      <c r="X77" s="7">
        <v>24</v>
      </c>
      <c r="Y77" s="6" t="b">
        <v>0</v>
      </c>
      <c r="Z77" s="6">
        <v>0</v>
      </c>
      <c r="AA77" s="6">
        <v>0</v>
      </c>
      <c r="AB77" s="7">
        <v>1</v>
      </c>
      <c r="AC77" s="5">
        <v>65</v>
      </c>
      <c r="AD77" s="7">
        <v>2</v>
      </c>
      <c r="AE77" s="5" t="b">
        <v>1</v>
      </c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</row>
    <row r="78" spans="2:44" ht="18.75" customHeight="1">
      <c r="B78" s="5">
        <v>230002</v>
      </c>
      <c r="C78" s="7" t="s">
        <v>1450</v>
      </c>
      <c r="D78" s="10" t="s">
        <v>844</v>
      </c>
      <c r="E78" s="7">
        <v>2</v>
      </c>
      <c r="F78" s="7">
        <v>1</v>
      </c>
      <c r="G78" s="7">
        <v>2</v>
      </c>
      <c r="H78" s="6">
        <v>100</v>
      </c>
      <c r="I78" s="7">
        <v>26</v>
      </c>
      <c r="J78" s="7">
        <v>2</v>
      </c>
      <c r="K78" s="6">
        <v>100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50</v>
      </c>
      <c r="V78" s="7">
        <v>30</v>
      </c>
      <c r="W78" s="7">
        <v>2</v>
      </c>
      <c r="X78" s="7">
        <v>24</v>
      </c>
      <c r="Y78" s="6" t="b">
        <v>0</v>
      </c>
      <c r="Z78" s="6">
        <v>0</v>
      </c>
      <c r="AA78" s="6">
        <v>0</v>
      </c>
      <c r="AB78" s="7">
        <v>1</v>
      </c>
      <c r="AC78" s="5">
        <v>65</v>
      </c>
      <c r="AD78" s="7">
        <v>2</v>
      </c>
      <c r="AE78" s="5" t="b">
        <v>1</v>
      </c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</row>
    <row r="79" spans="2:44" ht="18.75" customHeight="1">
      <c r="B79" s="5">
        <v>230003</v>
      </c>
      <c r="C79" s="7" t="s">
        <v>1520</v>
      </c>
      <c r="D79" s="10" t="s">
        <v>844</v>
      </c>
      <c r="E79" s="7">
        <v>2</v>
      </c>
      <c r="F79" s="7">
        <v>1</v>
      </c>
      <c r="G79" s="7">
        <v>2</v>
      </c>
      <c r="H79" s="6">
        <v>100</v>
      </c>
      <c r="I79" s="7">
        <v>26</v>
      </c>
      <c r="J79" s="7">
        <v>2</v>
      </c>
      <c r="K79" s="6">
        <v>100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50</v>
      </c>
      <c r="V79" s="7">
        <v>30</v>
      </c>
      <c r="W79" s="7">
        <v>2</v>
      </c>
      <c r="X79" s="7">
        <v>24</v>
      </c>
      <c r="Y79" s="6" t="b">
        <v>0</v>
      </c>
      <c r="Z79" s="6">
        <v>0</v>
      </c>
      <c r="AA79" s="6">
        <v>0</v>
      </c>
      <c r="AB79" s="7">
        <v>1</v>
      </c>
      <c r="AC79" s="5">
        <v>65</v>
      </c>
      <c r="AD79" s="7">
        <v>2</v>
      </c>
      <c r="AE79" s="5" t="b">
        <v>1</v>
      </c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</row>
    <row r="80" spans="2:44" ht="18.75" customHeight="1">
      <c r="B80" s="7">
        <v>240001</v>
      </c>
      <c r="C80" s="7" t="s">
        <v>296</v>
      </c>
      <c r="D80" s="10" t="s">
        <v>845</v>
      </c>
      <c r="E80" s="7">
        <v>2</v>
      </c>
      <c r="F80" s="7">
        <v>1</v>
      </c>
      <c r="G80" s="7">
        <v>2</v>
      </c>
      <c r="H80" s="6">
        <v>100</v>
      </c>
      <c r="I80" s="7">
        <v>38</v>
      </c>
      <c r="J80" s="7">
        <v>2</v>
      </c>
      <c r="K80" s="7">
        <v>100</v>
      </c>
      <c r="L80" s="6" t="b">
        <v>0</v>
      </c>
      <c r="M80" s="6">
        <v>0</v>
      </c>
      <c r="N80" s="6">
        <v>0</v>
      </c>
      <c r="O80" s="7">
        <v>1</v>
      </c>
      <c r="P80" s="5">
        <v>0</v>
      </c>
      <c r="Q80" s="7">
        <v>0</v>
      </c>
      <c r="R80" s="5" t="b">
        <v>1</v>
      </c>
      <c r="S80" s="7">
        <v>3</v>
      </c>
      <c r="T80" s="7">
        <v>2</v>
      </c>
      <c r="U80" s="6">
        <v>100</v>
      </c>
      <c r="V80" s="7">
        <v>1</v>
      </c>
      <c r="W80" s="7">
        <v>0</v>
      </c>
      <c r="X80" s="7">
        <v>20</v>
      </c>
      <c r="Y80" s="6" t="b">
        <v>0</v>
      </c>
      <c r="Z80" s="6">
        <v>0</v>
      </c>
      <c r="AA80" s="6">
        <v>0</v>
      </c>
      <c r="AB80" s="7">
        <v>3</v>
      </c>
      <c r="AC80" s="5">
        <v>5</v>
      </c>
      <c r="AD80" s="7">
        <v>2</v>
      </c>
      <c r="AE80" s="5" t="b">
        <v>1</v>
      </c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</row>
    <row r="81" spans="1:52" ht="20.100000000000001" customHeight="1">
      <c r="A81" s="56" t="s">
        <v>107</v>
      </c>
      <c r="B81" s="7">
        <v>240002</v>
      </c>
      <c r="C81" s="7" t="s">
        <v>1451</v>
      </c>
      <c r="D81" s="10" t="s">
        <v>845</v>
      </c>
      <c r="E81" s="7">
        <v>2</v>
      </c>
      <c r="F81" s="7">
        <v>1</v>
      </c>
      <c r="G81" s="7">
        <v>2</v>
      </c>
      <c r="H81" s="6">
        <v>100</v>
      </c>
      <c r="I81" s="7">
        <v>38</v>
      </c>
      <c r="J81" s="7">
        <v>2</v>
      </c>
      <c r="K81" s="7">
        <v>100</v>
      </c>
      <c r="L81" s="6" t="b">
        <v>0</v>
      </c>
      <c r="M81" s="6">
        <v>0</v>
      </c>
      <c r="N81" s="6">
        <v>0</v>
      </c>
      <c r="O81" s="7">
        <v>1</v>
      </c>
      <c r="P81" s="5">
        <v>0</v>
      </c>
      <c r="Q81" s="7">
        <v>0</v>
      </c>
      <c r="R81" s="5" t="b">
        <v>1</v>
      </c>
      <c r="S81" s="7">
        <v>3</v>
      </c>
      <c r="T81" s="7">
        <v>2</v>
      </c>
      <c r="U81" s="6">
        <v>100</v>
      </c>
      <c r="V81" s="7">
        <v>1</v>
      </c>
      <c r="W81" s="7">
        <v>0</v>
      </c>
      <c r="X81" s="7">
        <v>20</v>
      </c>
      <c r="Y81" s="6" t="b">
        <v>0</v>
      </c>
      <c r="Z81" s="6">
        <v>0</v>
      </c>
      <c r="AA81" s="6">
        <v>0</v>
      </c>
      <c r="AB81" s="7">
        <v>3</v>
      </c>
      <c r="AC81" s="5">
        <v>5</v>
      </c>
      <c r="AD81" s="7">
        <v>2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6"/>
      <c r="AT81" s="6"/>
      <c r="AU81" s="6"/>
      <c r="AV81" s="6"/>
      <c r="AW81" s="6"/>
      <c r="AX81" s="6"/>
      <c r="AY81" s="6"/>
      <c r="AZ81" s="6"/>
    </row>
    <row r="82" spans="1:52" ht="18.75" customHeight="1">
      <c r="A82" s="56"/>
      <c r="B82" s="7">
        <v>240003</v>
      </c>
      <c r="C82" s="7" t="s">
        <v>1521</v>
      </c>
      <c r="D82" s="10" t="s">
        <v>845</v>
      </c>
      <c r="E82" s="7">
        <v>2</v>
      </c>
      <c r="F82" s="7">
        <v>1</v>
      </c>
      <c r="G82" s="7">
        <v>2</v>
      </c>
      <c r="H82" s="6">
        <v>100</v>
      </c>
      <c r="I82" s="7">
        <v>38</v>
      </c>
      <c r="J82" s="7">
        <v>2</v>
      </c>
      <c r="K82" s="7">
        <v>100</v>
      </c>
      <c r="L82" s="6" t="b">
        <v>0</v>
      </c>
      <c r="M82" s="6">
        <v>0</v>
      </c>
      <c r="N82" s="6">
        <v>0</v>
      </c>
      <c r="O82" s="7">
        <v>1</v>
      </c>
      <c r="P82" s="5">
        <v>0</v>
      </c>
      <c r="Q82" s="7">
        <v>0</v>
      </c>
      <c r="R82" s="5" t="b">
        <v>1</v>
      </c>
      <c r="S82" s="7">
        <v>3</v>
      </c>
      <c r="T82" s="7">
        <v>2</v>
      </c>
      <c r="U82" s="6">
        <v>100</v>
      </c>
      <c r="V82" s="7">
        <v>1</v>
      </c>
      <c r="W82" s="7">
        <v>0</v>
      </c>
      <c r="X82" s="7">
        <v>20</v>
      </c>
      <c r="Y82" s="6" t="b">
        <v>0</v>
      </c>
      <c r="Z82" s="6">
        <v>0</v>
      </c>
      <c r="AA82" s="6">
        <v>0</v>
      </c>
      <c r="AB82" s="7">
        <v>3</v>
      </c>
      <c r="AC82" s="5">
        <v>5</v>
      </c>
      <c r="AD82" s="7">
        <v>2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250001</v>
      </c>
      <c r="C83" s="7" t="s">
        <v>297</v>
      </c>
      <c r="D83" s="10" t="s">
        <v>846</v>
      </c>
      <c r="E83" s="7">
        <v>2</v>
      </c>
      <c r="F83" s="7">
        <v>1</v>
      </c>
      <c r="G83" s="7">
        <v>2</v>
      </c>
      <c r="H83" s="6">
        <v>100</v>
      </c>
      <c r="I83" s="7">
        <v>21</v>
      </c>
      <c r="J83" s="7">
        <v>2</v>
      </c>
      <c r="K83" s="6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6">
        <v>2</v>
      </c>
      <c r="T83" s="6">
        <v>5</v>
      </c>
      <c r="U83" s="6">
        <v>100</v>
      </c>
      <c r="V83" s="5">
        <v>31</v>
      </c>
      <c r="W83" s="5">
        <v>4</v>
      </c>
      <c r="X83" s="5">
        <v>35</v>
      </c>
      <c r="Y83" s="6" t="b">
        <v>0</v>
      </c>
      <c r="Z83" s="6">
        <v>0</v>
      </c>
      <c r="AA83" s="6">
        <v>0</v>
      </c>
      <c r="AB83" s="5">
        <v>49</v>
      </c>
      <c r="AC83" s="5">
        <v>0</v>
      </c>
      <c r="AD83" s="5">
        <v>0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250002</v>
      </c>
      <c r="C84" s="7" t="s">
        <v>1452</v>
      </c>
      <c r="D84" s="10" t="s">
        <v>846</v>
      </c>
      <c r="E84" s="7">
        <v>2</v>
      </c>
      <c r="F84" s="7">
        <v>1</v>
      </c>
      <c r="G84" s="7">
        <v>2</v>
      </c>
      <c r="H84" s="6">
        <v>100</v>
      </c>
      <c r="I84" s="7">
        <v>21</v>
      </c>
      <c r="J84" s="7">
        <v>2</v>
      </c>
      <c r="K84" s="6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6">
        <v>2</v>
      </c>
      <c r="T84" s="6">
        <v>5</v>
      </c>
      <c r="U84" s="6">
        <v>100</v>
      </c>
      <c r="V84" s="5">
        <v>31</v>
      </c>
      <c r="W84" s="5">
        <v>4</v>
      </c>
      <c r="X84" s="5">
        <v>35</v>
      </c>
      <c r="Y84" s="6" t="b">
        <v>0</v>
      </c>
      <c r="Z84" s="6">
        <v>0</v>
      </c>
      <c r="AA84" s="6">
        <v>0</v>
      </c>
      <c r="AB84" s="5">
        <v>49</v>
      </c>
      <c r="AC84" s="5">
        <v>0</v>
      </c>
      <c r="AD84" s="5">
        <v>0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5">
        <v>250003</v>
      </c>
      <c r="C85" s="7" t="s">
        <v>1522</v>
      </c>
      <c r="D85" s="10" t="s">
        <v>846</v>
      </c>
      <c r="E85" s="7">
        <v>2</v>
      </c>
      <c r="F85" s="7">
        <v>1</v>
      </c>
      <c r="G85" s="7">
        <v>2</v>
      </c>
      <c r="H85" s="6">
        <v>100</v>
      </c>
      <c r="I85" s="7">
        <v>21</v>
      </c>
      <c r="J85" s="7">
        <v>2</v>
      </c>
      <c r="K85" s="6">
        <v>100</v>
      </c>
      <c r="L85" s="6" t="b">
        <v>0</v>
      </c>
      <c r="M85" s="6">
        <v>0</v>
      </c>
      <c r="N85" s="6">
        <v>0</v>
      </c>
      <c r="O85" s="7">
        <v>1</v>
      </c>
      <c r="P85" s="5">
        <v>0</v>
      </c>
      <c r="Q85" s="7">
        <v>0</v>
      </c>
      <c r="R85" s="5" t="b">
        <v>1</v>
      </c>
      <c r="S85" s="6">
        <v>2</v>
      </c>
      <c r="T85" s="6">
        <v>5</v>
      </c>
      <c r="U85" s="6">
        <v>100</v>
      </c>
      <c r="V85" s="5">
        <v>31</v>
      </c>
      <c r="W85" s="5">
        <v>4</v>
      </c>
      <c r="X85" s="5">
        <v>35</v>
      </c>
      <c r="Y85" s="6" t="b">
        <v>0</v>
      </c>
      <c r="Z85" s="6">
        <v>0</v>
      </c>
      <c r="AA85" s="6">
        <v>0</v>
      </c>
      <c r="AB85" s="5">
        <v>49</v>
      </c>
      <c r="AC85" s="5">
        <v>0</v>
      </c>
      <c r="AD85" s="5">
        <v>0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260001</v>
      </c>
      <c r="C86" s="7" t="s">
        <v>298</v>
      </c>
      <c r="D86" s="10" t="s">
        <v>840</v>
      </c>
      <c r="E86" s="6">
        <v>2</v>
      </c>
      <c r="F86" s="6">
        <v>1</v>
      </c>
      <c r="G86" s="6">
        <v>2</v>
      </c>
      <c r="H86" s="6">
        <v>100</v>
      </c>
      <c r="I86" s="7">
        <v>21</v>
      </c>
      <c r="J86" s="6">
        <v>2</v>
      </c>
      <c r="K86" s="7">
        <v>100</v>
      </c>
      <c r="L86" s="6" t="b">
        <v>0</v>
      </c>
      <c r="M86" s="6">
        <v>0</v>
      </c>
      <c r="N86" s="6">
        <v>0</v>
      </c>
      <c r="O86" s="5">
        <v>1</v>
      </c>
      <c r="P86" s="5">
        <v>0</v>
      </c>
      <c r="Q86" s="5">
        <v>0</v>
      </c>
      <c r="R86" s="5" t="b">
        <v>1</v>
      </c>
      <c r="S86" s="7">
        <v>2</v>
      </c>
      <c r="T86" s="7">
        <v>5</v>
      </c>
      <c r="U86" s="6">
        <v>100</v>
      </c>
      <c r="V86" s="7">
        <v>1</v>
      </c>
      <c r="W86" s="7">
        <v>4</v>
      </c>
      <c r="X86" s="7">
        <v>25</v>
      </c>
      <c r="Y86" s="6" t="b">
        <v>0</v>
      </c>
      <c r="Z86" s="6">
        <v>0</v>
      </c>
      <c r="AA86" s="6">
        <v>0</v>
      </c>
      <c r="AB86" s="7">
        <v>49</v>
      </c>
      <c r="AC86" s="5">
        <v>0</v>
      </c>
      <c r="AD86" s="7">
        <v>0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260002</v>
      </c>
      <c r="C87" s="7" t="s">
        <v>1453</v>
      </c>
      <c r="D87" s="10" t="s">
        <v>840</v>
      </c>
      <c r="E87" s="6">
        <v>2</v>
      </c>
      <c r="F87" s="6">
        <v>1</v>
      </c>
      <c r="G87" s="6">
        <v>2</v>
      </c>
      <c r="H87" s="6">
        <v>100</v>
      </c>
      <c r="I87" s="7">
        <v>21</v>
      </c>
      <c r="J87" s="6">
        <v>2</v>
      </c>
      <c r="K87" s="7">
        <v>100</v>
      </c>
      <c r="L87" s="6" t="b">
        <v>0</v>
      </c>
      <c r="M87" s="6">
        <v>0</v>
      </c>
      <c r="N87" s="6">
        <v>0</v>
      </c>
      <c r="O87" s="5">
        <v>1</v>
      </c>
      <c r="P87" s="5">
        <v>0</v>
      </c>
      <c r="Q87" s="5">
        <v>0</v>
      </c>
      <c r="R87" s="5" t="b">
        <v>1</v>
      </c>
      <c r="S87" s="7">
        <v>2</v>
      </c>
      <c r="T87" s="7">
        <v>5</v>
      </c>
      <c r="U87" s="6">
        <v>100</v>
      </c>
      <c r="V87" s="7">
        <v>1</v>
      </c>
      <c r="W87" s="7">
        <v>4</v>
      </c>
      <c r="X87" s="7">
        <v>25</v>
      </c>
      <c r="Y87" s="6" t="b">
        <v>0</v>
      </c>
      <c r="Z87" s="6">
        <v>0</v>
      </c>
      <c r="AA87" s="6">
        <v>0</v>
      </c>
      <c r="AB87" s="7">
        <v>49</v>
      </c>
      <c r="AC87" s="5">
        <v>0</v>
      </c>
      <c r="AD87" s="7">
        <v>0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7">
        <v>260003</v>
      </c>
      <c r="C88" s="7" t="s">
        <v>1523</v>
      </c>
      <c r="D88" s="10" t="s">
        <v>840</v>
      </c>
      <c r="E88" s="6">
        <v>2</v>
      </c>
      <c r="F88" s="6">
        <v>1</v>
      </c>
      <c r="G88" s="6">
        <v>2</v>
      </c>
      <c r="H88" s="6">
        <v>100</v>
      </c>
      <c r="I88" s="7">
        <v>21</v>
      </c>
      <c r="J88" s="6">
        <v>2</v>
      </c>
      <c r="K88" s="7">
        <v>100</v>
      </c>
      <c r="L88" s="6" t="b">
        <v>0</v>
      </c>
      <c r="M88" s="6">
        <v>0</v>
      </c>
      <c r="N88" s="6">
        <v>0</v>
      </c>
      <c r="O88" s="5">
        <v>1</v>
      </c>
      <c r="P88" s="5">
        <v>0</v>
      </c>
      <c r="Q88" s="5">
        <v>0</v>
      </c>
      <c r="R88" s="5" t="b">
        <v>1</v>
      </c>
      <c r="S88" s="7">
        <v>2</v>
      </c>
      <c r="T88" s="7">
        <v>5</v>
      </c>
      <c r="U88" s="6">
        <v>100</v>
      </c>
      <c r="V88" s="7">
        <v>1</v>
      </c>
      <c r="W88" s="7">
        <v>4</v>
      </c>
      <c r="X88" s="7">
        <v>25</v>
      </c>
      <c r="Y88" s="6" t="b">
        <v>0</v>
      </c>
      <c r="Z88" s="6">
        <v>0</v>
      </c>
      <c r="AA88" s="6">
        <v>0</v>
      </c>
      <c r="AB88" s="7">
        <v>49</v>
      </c>
      <c r="AC88" s="5">
        <v>0</v>
      </c>
      <c r="AD88" s="7">
        <v>0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270001</v>
      </c>
      <c r="C89" s="7" t="s">
        <v>299</v>
      </c>
      <c r="D89" s="10" t="s">
        <v>847</v>
      </c>
      <c r="E89" s="7">
        <v>2</v>
      </c>
      <c r="F89" s="7">
        <v>1</v>
      </c>
      <c r="G89" s="7">
        <v>2</v>
      </c>
      <c r="H89" s="6">
        <v>100</v>
      </c>
      <c r="I89" s="7">
        <v>21</v>
      </c>
      <c r="J89" s="7">
        <v>2</v>
      </c>
      <c r="K89" s="6">
        <v>100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3</v>
      </c>
      <c r="T89" s="7">
        <v>2</v>
      </c>
      <c r="U89" s="6">
        <v>15</v>
      </c>
      <c r="V89" s="7">
        <v>30</v>
      </c>
      <c r="W89" s="7">
        <v>0</v>
      </c>
      <c r="X89" s="7">
        <v>0</v>
      </c>
      <c r="Y89" s="6" t="b">
        <v>0</v>
      </c>
      <c r="Z89" s="6">
        <v>0</v>
      </c>
      <c r="AA89" s="6">
        <v>0</v>
      </c>
      <c r="AB89" s="7">
        <v>3</v>
      </c>
      <c r="AC89" s="5">
        <v>32</v>
      </c>
      <c r="AD89" s="7">
        <v>1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270002</v>
      </c>
      <c r="C90" s="7" t="s">
        <v>1454</v>
      </c>
      <c r="D90" s="10" t="s">
        <v>847</v>
      </c>
      <c r="E90" s="7">
        <v>2</v>
      </c>
      <c r="F90" s="7">
        <v>1</v>
      </c>
      <c r="G90" s="7">
        <v>2</v>
      </c>
      <c r="H90" s="6">
        <v>100</v>
      </c>
      <c r="I90" s="7">
        <v>21</v>
      </c>
      <c r="J90" s="7">
        <v>2</v>
      </c>
      <c r="K90" s="6">
        <v>100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3</v>
      </c>
      <c r="T90" s="7">
        <v>2</v>
      </c>
      <c r="U90" s="6">
        <v>15</v>
      </c>
      <c r="V90" s="7">
        <v>30</v>
      </c>
      <c r="W90" s="7">
        <v>0</v>
      </c>
      <c r="X90" s="7">
        <v>0</v>
      </c>
      <c r="Y90" s="6" t="b">
        <v>0</v>
      </c>
      <c r="Z90" s="6">
        <v>0</v>
      </c>
      <c r="AA90" s="6">
        <v>0</v>
      </c>
      <c r="AB90" s="7">
        <v>3</v>
      </c>
      <c r="AC90" s="5">
        <v>32</v>
      </c>
      <c r="AD90" s="7">
        <v>1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5">
        <v>270003</v>
      </c>
      <c r="C91" s="7" t="s">
        <v>1524</v>
      </c>
      <c r="D91" s="10" t="s">
        <v>847</v>
      </c>
      <c r="E91" s="7">
        <v>2</v>
      </c>
      <c r="F91" s="7">
        <v>1</v>
      </c>
      <c r="G91" s="7">
        <v>2</v>
      </c>
      <c r="H91" s="6">
        <v>100</v>
      </c>
      <c r="I91" s="7">
        <v>21</v>
      </c>
      <c r="J91" s="7">
        <v>2</v>
      </c>
      <c r="K91" s="6">
        <v>100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3</v>
      </c>
      <c r="T91" s="7">
        <v>2</v>
      </c>
      <c r="U91" s="6">
        <v>15</v>
      </c>
      <c r="V91" s="7">
        <v>30</v>
      </c>
      <c r="W91" s="7">
        <v>0</v>
      </c>
      <c r="X91" s="7">
        <v>0</v>
      </c>
      <c r="Y91" s="6" t="b">
        <v>0</v>
      </c>
      <c r="Z91" s="6">
        <v>0</v>
      </c>
      <c r="AA91" s="6">
        <v>0</v>
      </c>
      <c r="AB91" s="7">
        <v>3</v>
      </c>
      <c r="AC91" s="5">
        <v>32</v>
      </c>
      <c r="AD91" s="7">
        <v>1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280001</v>
      </c>
      <c r="C92" s="7" t="s">
        <v>300</v>
      </c>
      <c r="D92" s="10" t="s">
        <v>344</v>
      </c>
      <c r="E92" s="7">
        <v>2</v>
      </c>
      <c r="F92" s="7">
        <v>1</v>
      </c>
      <c r="G92" s="7">
        <v>2</v>
      </c>
      <c r="H92" s="6">
        <v>100</v>
      </c>
      <c r="I92" s="7">
        <v>21</v>
      </c>
      <c r="J92" s="7">
        <v>2</v>
      </c>
      <c r="K92" s="7">
        <v>100</v>
      </c>
      <c r="L92" s="6" t="b">
        <v>0</v>
      </c>
      <c r="M92" s="6">
        <v>0</v>
      </c>
      <c r="N92" s="6">
        <v>0</v>
      </c>
      <c r="O92" s="7">
        <v>1</v>
      </c>
      <c r="P92" s="5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20</v>
      </c>
      <c r="V92" s="7">
        <v>30</v>
      </c>
      <c r="W92" s="7">
        <v>0</v>
      </c>
      <c r="X92" s="7">
        <v>0</v>
      </c>
      <c r="Y92" s="6" t="b">
        <v>0</v>
      </c>
      <c r="Z92" s="6">
        <v>0</v>
      </c>
      <c r="AA92" s="6">
        <v>0</v>
      </c>
      <c r="AB92" s="7">
        <v>3</v>
      </c>
      <c r="AC92" s="5">
        <v>37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280002</v>
      </c>
      <c r="C93" s="7" t="s">
        <v>1455</v>
      </c>
      <c r="D93" s="10" t="s">
        <v>344</v>
      </c>
      <c r="E93" s="7">
        <v>2</v>
      </c>
      <c r="F93" s="7">
        <v>1</v>
      </c>
      <c r="G93" s="7">
        <v>2</v>
      </c>
      <c r="H93" s="6">
        <v>100</v>
      </c>
      <c r="I93" s="7">
        <v>21</v>
      </c>
      <c r="J93" s="7">
        <v>2</v>
      </c>
      <c r="K93" s="7">
        <v>100</v>
      </c>
      <c r="L93" s="6" t="b">
        <v>0</v>
      </c>
      <c r="M93" s="6">
        <v>0</v>
      </c>
      <c r="N93" s="6">
        <v>0</v>
      </c>
      <c r="O93" s="7">
        <v>1</v>
      </c>
      <c r="P93" s="5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20</v>
      </c>
      <c r="V93" s="7">
        <v>30</v>
      </c>
      <c r="W93" s="7">
        <v>0</v>
      </c>
      <c r="X93" s="7">
        <v>0</v>
      </c>
      <c r="Y93" s="6" t="b">
        <v>0</v>
      </c>
      <c r="Z93" s="6">
        <v>0</v>
      </c>
      <c r="AA93" s="6">
        <v>0</v>
      </c>
      <c r="AB93" s="7">
        <v>3</v>
      </c>
      <c r="AC93" s="5">
        <v>37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7">
        <v>280003</v>
      </c>
      <c r="C94" s="7" t="s">
        <v>1525</v>
      </c>
      <c r="D94" s="10" t="s">
        <v>344</v>
      </c>
      <c r="E94" s="7">
        <v>2</v>
      </c>
      <c r="F94" s="7">
        <v>1</v>
      </c>
      <c r="G94" s="7">
        <v>2</v>
      </c>
      <c r="H94" s="6">
        <v>100</v>
      </c>
      <c r="I94" s="7">
        <v>21</v>
      </c>
      <c r="J94" s="7">
        <v>2</v>
      </c>
      <c r="K94" s="7">
        <v>100</v>
      </c>
      <c r="L94" s="6" t="b">
        <v>0</v>
      </c>
      <c r="M94" s="6">
        <v>0</v>
      </c>
      <c r="N94" s="6">
        <v>0</v>
      </c>
      <c r="O94" s="7">
        <v>1</v>
      </c>
      <c r="P94" s="5">
        <v>0</v>
      </c>
      <c r="Q94" s="7">
        <v>0</v>
      </c>
      <c r="R94" s="5" t="b">
        <v>1</v>
      </c>
      <c r="S94" s="7">
        <v>3</v>
      </c>
      <c r="T94" s="7">
        <v>2</v>
      </c>
      <c r="U94" s="6">
        <v>20</v>
      </c>
      <c r="V94" s="7">
        <v>30</v>
      </c>
      <c r="W94" s="7">
        <v>0</v>
      </c>
      <c r="X94" s="7">
        <v>0</v>
      </c>
      <c r="Y94" s="6" t="b">
        <v>0</v>
      </c>
      <c r="Z94" s="6">
        <v>0</v>
      </c>
      <c r="AA94" s="6">
        <v>0</v>
      </c>
      <c r="AB94" s="7">
        <v>3</v>
      </c>
      <c r="AC94" s="5">
        <v>37</v>
      </c>
      <c r="AD94" s="7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18.75" customHeight="1">
      <c r="A95" s="8"/>
      <c r="B95" s="5">
        <v>290001</v>
      </c>
      <c r="C95" s="7" t="s">
        <v>301</v>
      </c>
      <c r="D95" s="10" t="s">
        <v>848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6">
        <v>100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6">
        <v>3</v>
      </c>
      <c r="T95" s="6">
        <v>2</v>
      </c>
      <c r="U95" s="6">
        <v>50</v>
      </c>
      <c r="V95" s="5">
        <v>30</v>
      </c>
      <c r="W95" s="5">
        <v>2</v>
      </c>
      <c r="X95" s="5">
        <v>30</v>
      </c>
      <c r="Y95" s="6" t="b">
        <v>0</v>
      </c>
      <c r="Z95" s="6">
        <v>0</v>
      </c>
      <c r="AA95" s="6">
        <v>0</v>
      </c>
      <c r="AB95" s="5">
        <v>1</v>
      </c>
      <c r="AC95" s="5">
        <v>63</v>
      </c>
      <c r="AD95" s="5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18.75" customHeight="1">
      <c r="A96" s="8"/>
      <c r="B96" s="5">
        <v>290002</v>
      </c>
      <c r="C96" s="7" t="s">
        <v>1456</v>
      </c>
      <c r="D96" s="10" t="s">
        <v>848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6">
        <v>100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6">
        <v>3</v>
      </c>
      <c r="T96" s="6">
        <v>2</v>
      </c>
      <c r="U96" s="6">
        <v>50</v>
      </c>
      <c r="V96" s="5">
        <v>30</v>
      </c>
      <c r="W96" s="5">
        <v>2</v>
      </c>
      <c r="X96" s="5">
        <v>30</v>
      </c>
      <c r="Y96" s="6" t="b">
        <v>0</v>
      </c>
      <c r="Z96" s="6">
        <v>0</v>
      </c>
      <c r="AA96" s="6">
        <v>0</v>
      </c>
      <c r="AB96" s="5">
        <v>1</v>
      </c>
      <c r="AC96" s="5">
        <v>63</v>
      </c>
      <c r="AD96" s="5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5">
        <v>290003</v>
      </c>
      <c r="C97" s="7" t="s">
        <v>1526</v>
      </c>
      <c r="D97" s="10" t="s">
        <v>848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6">
        <v>100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6">
        <v>3</v>
      </c>
      <c r="T97" s="6">
        <v>2</v>
      </c>
      <c r="U97" s="6">
        <v>50</v>
      </c>
      <c r="V97" s="5">
        <v>30</v>
      </c>
      <c r="W97" s="5">
        <v>2</v>
      </c>
      <c r="X97" s="5">
        <v>30</v>
      </c>
      <c r="Y97" s="6" t="b">
        <v>0</v>
      </c>
      <c r="Z97" s="6">
        <v>0</v>
      </c>
      <c r="AA97" s="6">
        <v>0</v>
      </c>
      <c r="AB97" s="5">
        <v>1</v>
      </c>
      <c r="AC97" s="5">
        <v>63</v>
      </c>
      <c r="AD97" s="5">
        <v>2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300001</v>
      </c>
      <c r="C98" s="7" t="s">
        <v>302</v>
      </c>
      <c r="D98" s="10" t="s">
        <v>849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100</v>
      </c>
      <c r="L98" s="6" t="b">
        <v>0</v>
      </c>
      <c r="M98" s="6">
        <v>0</v>
      </c>
      <c r="N98" s="6">
        <v>0</v>
      </c>
      <c r="O98" s="7">
        <v>1</v>
      </c>
      <c r="P98" s="5">
        <v>0</v>
      </c>
      <c r="Q98" s="7">
        <v>0</v>
      </c>
      <c r="R98" s="5" t="b">
        <v>1</v>
      </c>
      <c r="S98" s="7">
        <v>3</v>
      </c>
      <c r="T98" s="7">
        <v>2</v>
      </c>
      <c r="U98" s="6">
        <v>40</v>
      </c>
      <c r="V98" s="7">
        <v>30</v>
      </c>
      <c r="W98" s="7">
        <v>2</v>
      </c>
      <c r="X98" s="7">
        <v>22</v>
      </c>
      <c r="Y98" s="6" t="b">
        <v>0</v>
      </c>
      <c r="Z98" s="6">
        <v>0</v>
      </c>
      <c r="AA98" s="6">
        <v>0</v>
      </c>
      <c r="AB98" s="7">
        <v>1</v>
      </c>
      <c r="AC98" s="5">
        <v>65</v>
      </c>
      <c r="AD98" s="7">
        <v>2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8.75" customHeight="1">
      <c r="A99" s="8"/>
      <c r="B99" s="7">
        <v>300002</v>
      </c>
      <c r="C99" s="7" t="s">
        <v>1457</v>
      </c>
      <c r="D99" s="10" t="s">
        <v>849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100</v>
      </c>
      <c r="L99" s="6" t="b">
        <v>0</v>
      </c>
      <c r="M99" s="6">
        <v>0</v>
      </c>
      <c r="N99" s="6">
        <v>0</v>
      </c>
      <c r="O99" s="7">
        <v>1</v>
      </c>
      <c r="P99" s="5">
        <v>0</v>
      </c>
      <c r="Q99" s="7">
        <v>0</v>
      </c>
      <c r="R99" s="5" t="b">
        <v>1</v>
      </c>
      <c r="S99" s="7">
        <v>3</v>
      </c>
      <c r="T99" s="7">
        <v>2</v>
      </c>
      <c r="U99" s="6">
        <v>40</v>
      </c>
      <c r="V99" s="7">
        <v>30</v>
      </c>
      <c r="W99" s="7">
        <v>2</v>
      </c>
      <c r="X99" s="7">
        <v>22</v>
      </c>
      <c r="Y99" s="6" t="b">
        <v>0</v>
      </c>
      <c r="Z99" s="6">
        <v>0</v>
      </c>
      <c r="AA99" s="6">
        <v>0</v>
      </c>
      <c r="AB99" s="7">
        <v>1</v>
      </c>
      <c r="AC99" s="5">
        <v>65</v>
      </c>
      <c r="AD99" s="7">
        <v>2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9.5" customHeight="1">
      <c r="A100" s="8"/>
      <c r="B100" s="7">
        <v>300003</v>
      </c>
      <c r="C100" s="7" t="s">
        <v>1527</v>
      </c>
      <c r="D100" s="10" t="s">
        <v>849</v>
      </c>
      <c r="E100" s="7">
        <v>2</v>
      </c>
      <c r="F100" s="7">
        <v>1</v>
      </c>
      <c r="G100" s="7">
        <v>2</v>
      </c>
      <c r="H100" s="6">
        <v>100</v>
      </c>
      <c r="I100" s="7">
        <v>21</v>
      </c>
      <c r="J100" s="7">
        <v>2</v>
      </c>
      <c r="K100" s="7">
        <v>100</v>
      </c>
      <c r="L100" s="6" t="b">
        <v>0</v>
      </c>
      <c r="M100" s="6">
        <v>0</v>
      </c>
      <c r="N100" s="6">
        <v>0</v>
      </c>
      <c r="O100" s="7">
        <v>1</v>
      </c>
      <c r="P100" s="5">
        <v>0</v>
      </c>
      <c r="Q100" s="7">
        <v>0</v>
      </c>
      <c r="R100" s="5" t="b">
        <v>1</v>
      </c>
      <c r="S100" s="7">
        <v>3</v>
      </c>
      <c r="T100" s="7">
        <v>2</v>
      </c>
      <c r="U100" s="6">
        <v>40</v>
      </c>
      <c r="V100" s="7">
        <v>30</v>
      </c>
      <c r="W100" s="7">
        <v>2</v>
      </c>
      <c r="X100" s="7">
        <v>22</v>
      </c>
      <c r="Y100" s="6" t="b">
        <v>0</v>
      </c>
      <c r="Z100" s="6">
        <v>0</v>
      </c>
      <c r="AA100" s="6">
        <v>0</v>
      </c>
      <c r="AB100" s="7">
        <v>1</v>
      </c>
      <c r="AC100" s="5">
        <v>65</v>
      </c>
      <c r="AD100" s="7">
        <v>2</v>
      </c>
      <c r="AE100" s="5" t="b">
        <v>1</v>
      </c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</row>
    <row r="101" spans="1:52" ht="18.75" customHeight="1">
      <c r="A101" s="8"/>
      <c r="B101" s="5">
        <v>310001</v>
      </c>
      <c r="C101" s="7" t="s">
        <v>303</v>
      </c>
      <c r="D101" s="10" t="s">
        <v>513</v>
      </c>
      <c r="E101" s="6">
        <v>2</v>
      </c>
      <c r="F101" s="6">
        <v>1</v>
      </c>
      <c r="G101" s="6">
        <v>2</v>
      </c>
      <c r="H101" s="6">
        <v>100</v>
      </c>
      <c r="I101" s="7">
        <v>21</v>
      </c>
      <c r="J101" s="6">
        <v>2</v>
      </c>
      <c r="K101" s="6">
        <v>100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7">
        <v>3</v>
      </c>
      <c r="T101" s="7">
        <v>2</v>
      </c>
      <c r="U101" s="6">
        <v>15</v>
      </c>
      <c r="V101" s="7">
        <v>30</v>
      </c>
      <c r="W101" s="7">
        <v>0</v>
      </c>
      <c r="X101" s="7">
        <v>0</v>
      </c>
      <c r="Y101" s="6" t="b">
        <v>0</v>
      </c>
      <c r="Z101" s="6">
        <v>0</v>
      </c>
      <c r="AA101" s="6">
        <v>0</v>
      </c>
      <c r="AB101" s="7">
        <v>3</v>
      </c>
      <c r="AC101" s="5">
        <v>31</v>
      </c>
      <c r="AD101" s="7">
        <v>2</v>
      </c>
      <c r="AE101" s="5" t="b">
        <v>1</v>
      </c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</row>
    <row r="102" spans="1:52" ht="42" customHeight="1">
      <c r="A102" s="8"/>
      <c r="B102" s="5">
        <v>310002</v>
      </c>
      <c r="C102" s="7" t="s">
        <v>1458</v>
      </c>
      <c r="D102" s="10" t="s">
        <v>513</v>
      </c>
      <c r="E102" s="6">
        <v>2</v>
      </c>
      <c r="F102" s="6">
        <v>1</v>
      </c>
      <c r="G102" s="6">
        <v>2</v>
      </c>
      <c r="H102" s="6">
        <v>100</v>
      </c>
      <c r="I102" s="7">
        <v>21</v>
      </c>
      <c r="J102" s="6">
        <v>2</v>
      </c>
      <c r="K102" s="6">
        <v>100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7">
        <v>3</v>
      </c>
      <c r="T102" s="7">
        <v>2</v>
      </c>
      <c r="U102" s="6">
        <v>15</v>
      </c>
      <c r="V102" s="7">
        <v>30</v>
      </c>
      <c r="W102" s="7">
        <v>0</v>
      </c>
      <c r="X102" s="7">
        <v>0</v>
      </c>
      <c r="Y102" s="6" t="b">
        <v>0</v>
      </c>
      <c r="Z102" s="6">
        <v>0</v>
      </c>
      <c r="AA102" s="6">
        <v>0</v>
      </c>
      <c r="AB102" s="7">
        <v>3</v>
      </c>
      <c r="AC102" s="5">
        <v>31</v>
      </c>
      <c r="AD102" s="7">
        <v>2</v>
      </c>
      <c r="AE102" s="5" t="b">
        <v>1</v>
      </c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</row>
    <row r="103" spans="1:52" ht="42" customHeight="1">
      <c r="A103" s="8"/>
      <c r="B103" s="5">
        <v>310003</v>
      </c>
      <c r="C103" s="7" t="s">
        <v>1528</v>
      </c>
      <c r="D103" s="10" t="s">
        <v>513</v>
      </c>
      <c r="E103" s="6">
        <v>2</v>
      </c>
      <c r="F103" s="6">
        <v>1</v>
      </c>
      <c r="G103" s="6">
        <v>2</v>
      </c>
      <c r="H103" s="6">
        <v>100</v>
      </c>
      <c r="I103" s="7">
        <v>21</v>
      </c>
      <c r="J103" s="6">
        <v>2</v>
      </c>
      <c r="K103" s="6">
        <v>100</v>
      </c>
      <c r="L103" s="6" t="b">
        <v>0</v>
      </c>
      <c r="M103" s="6">
        <v>0</v>
      </c>
      <c r="N103" s="6">
        <v>0</v>
      </c>
      <c r="O103" s="5">
        <v>1</v>
      </c>
      <c r="P103" s="5">
        <v>0</v>
      </c>
      <c r="Q103" s="5">
        <v>0</v>
      </c>
      <c r="R103" s="5" t="b">
        <v>1</v>
      </c>
      <c r="S103" s="7">
        <v>3</v>
      </c>
      <c r="T103" s="7">
        <v>2</v>
      </c>
      <c r="U103" s="6">
        <v>15</v>
      </c>
      <c r="V103" s="7">
        <v>30</v>
      </c>
      <c r="W103" s="7">
        <v>0</v>
      </c>
      <c r="X103" s="7">
        <v>0</v>
      </c>
      <c r="Y103" s="6" t="b">
        <v>0</v>
      </c>
      <c r="Z103" s="6">
        <v>0</v>
      </c>
      <c r="AA103" s="6">
        <v>0</v>
      </c>
      <c r="AB103" s="7">
        <v>3</v>
      </c>
      <c r="AC103" s="5">
        <v>31</v>
      </c>
      <c r="AD103" s="7">
        <v>2</v>
      </c>
      <c r="AE103" s="5" t="b">
        <v>1</v>
      </c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</row>
    <row r="104" spans="1:52" ht="42" customHeight="1">
      <c r="A104" s="8"/>
      <c r="B104" s="7">
        <v>320001</v>
      </c>
      <c r="C104" s="7" t="s">
        <v>304</v>
      </c>
      <c r="D104" s="10" t="s">
        <v>871</v>
      </c>
      <c r="E104" s="7">
        <v>2</v>
      </c>
      <c r="F104" s="7">
        <v>1</v>
      </c>
      <c r="G104" s="7">
        <v>2</v>
      </c>
      <c r="H104" s="6">
        <v>100</v>
      </c>
      <c r="I104" s="7">
        <v>21</v>
      </c>
      <c r="J104" s="7">
        <v>2</v>
      </c>
      <c r="K104" s="7">
        <v>100</v>
      </c>
      <c r="L104" s="6" t="b">
        <v>0</v>
      </c>
      <c r="M104" s="6">
        <v>0</v>
      </c>
      <c r="N104" s="6">
        <v>0</v>
      </c>
      <c r="O104" s="7">
        <v>1</v>
      </c>
      <c r="P104" s="5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25</v>
      </c>
      <c r="Y104" s="6" t="b">
        <v>0</v>
      </c>
      <c r="Z104" s="6">
        <v>0</v>
      </c>
      <c r="AA104" s="6">
        <v>0</v>
      </c>
      <c r="AB104" s="7">
        <v>1</v>
      </c>
      <c r="AC104" s="5">
        <v>65</v>
      </c>
      <c r="AD104" s="7">
        <v>4</v>
      </c>
      <c r="AE104" s="5" t="b">
        <v>1</v>
      </c>
      <c r="AF104" s="7">
        <v>3</v>
      </c>
      <c r="AG104" s="7">
        <v>2</v>
      </c>
      <c r="AH104" s="7">
        <v>100</v>
      </c>
      <c r="AI104" s="7">
        <v>1</v>
      </c>
      <c r="AJ104" s="7">
        <v>0</v>
      </c>
      <c r="AK104" s="7">
        <v>11</v>
      </c>
      <c r="AL104" s="7" t="b">
        <v>0</v>
      </c>
      <c r="AM104" s="7">
        <v>0</v>
      </c>
      <c r="AN104" s="7">
        <v>0</v>
      </c>
      <c r="AO104" s="7">
        <v>3</v>
      </c>
      <c r="AP104" s="7">
        <v>7</v>
      </c>
      <c r="AQ104" s="7">
        <v>4</v>
      </c>
      <c r="AR104" s="7" t="b">
        <v>1</v>
      </c>
      <c r="AS104" s="7"/>
      <c r="AT104" s="7"/>
      <c r="AU104" s="7"/>
      <c r="AV104" s="7"/>
      <c r="AW104" s="7"/>
      <c r="AX104" s="7"/>
      <c r="AY104" s="7"/>
      <c r="AZ104" s="7"/>
    </row>
    <row r="105" spans="1:52" ht="42" customHeight="1">
      <c r="A105" s="8"/>
      <c r="B105" s="7">
        <v>320002</v>
      </c>
      <c r="C105" s="7" t="s">
        <v>1459</v>
      </c>
      <c r="D105" s="10" t="s">
        <v>871</v>
      </c>
      <c r="E105" s="7">
        <v>2</v>
      </c>
      <c r="F105" s="7">
        <v>1</v>
      </c>
      <c r="G105" s="7">
        <v>2</v>
      </c>
      <c r="H105" s="6">
        <v>100</v>
      </c>
      <c r="I105" s="7">
        <v>21</v>
      </c>
      <c r="J105" s="7">
        <v>2</v>
      </c>
      <c r="K105" s="7">
        <v>100</v>
      </c>
      <c r="L105" s="6" t="b">
        <v>0</v>
      </c>
      <c r="M105" s="6">
        <v>0</v>
      </c>
      <c r="N105" s="6">
        <v>0</v>
      </c>
      <c r="O105" s="7">
        <v>1</v>
      </c>
      <c r="P105" s="5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25</v>
      </c>
      <c r="Y105" s="6" t="b">
        <v>0</v>
      </c>
      <c r="Z105" s="6">
        <v>0</v>
      </c>
      <c r="AA105" s="6">
        <v>0</v>
      </c>
      <c r="AB105" s="7">
        <v>1</v>
      </c>
      <c r="AC105" s="5">
        <v>65</v>
      </c>
      <c r="AD105" s="7">
        <v>4</v>
      </c>
      <c r="AE105" s="5" t="b">
        <v>1</v>
      </c>
      <c r="AF105" s="7">
        <v>3</v>
      </c>
      <c r="AG105" s="7">
        <v>2</v>
      </c>
      <c r="AH105" s="7">
        <v>100</v>
      </c>
      <c r="AI105" s="7">
        <v>1</v>
      </c>
      <c r="AJ105" s="7">
        <v>0</v>
      </c>
      <c r="AK105" s="7">
        <v>11</v>
      </c>
      <c r="AL105" s="7" t="b">
        <v>0</v>
      </c>
      <c r="AM105" s="7">
        <v>0</v>
      </c>
      <c r="AN105" s="7">
        <v>0</v>
      </c>
      <c r="AO105" s="7">
        <v>3</v>
      </c>
      <c r="AP105" s="7">
        <v>7</v>
      </c>
      <c r="AQ105" s="7">
        <v>4</v>
      </c>
      <c r="AR105" s="7" t="b">
        <v>1</v>
      </c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7">
        <v>320003</v>
      </c>
      <c r="C106" s="7" t="s">
        <v>1529</v>
      </c>
      <c r="D106" s="10" t="s">
        <v>871</v>
      </c>
      <c r="E106" s="7">
        <v>2</v>
      </c>
      <c r="F106" s="7">
        <v>1</v>
      </c>
      <c r="G106" s="7">
        <v>2</v>
      </c>
      <c r="H106" s="6">
        <v>100</v>
      </c>
      <c r="I106" s="7">
        <v>21</v>
      </c>
      <c r="J106" s="7">
        <v>2</v>
      </c>
      <c r="K106" s="7">
        <v>100</v>
      </c>
      <c r="L106" s="6" t="b">
        <v>0</v>
      </c>
      <c r="M106" s="6">
        <v>0</v>
      </c>
      <c r="N106" s="6">
        <v>0</v>
      </c>
      <c r="O106" s="7">
        <v>1</v>
      </c>
      <c r="P106" s="5">
        <v>0</v>
      </c>
      <c r="Q106" s="7">
        <v>0</v>
      </c>
      <c r="R106" s="5" t="b">
        <v>1</v>
      </c>
      <c r="S106" s="7">
        <v>3</v>
      </c>
      <c r="T106" s="7">
        <v>2</v>
      </c>
      <c r="U106" s="6">
        <v>100</v>
      </c>
      <c r="V106" s="7">
        <v>30</v>
      </c>
      <c r="W106" s="7">
        <v>2</v>
      </c>
      <c r="X106" s="7">
        <v>25</v>
      </c>
      <c r="Y106" s="6" t="b">
        <v>0</v>
      </c>
      <c r="Z106" s="6">
        <v>0</v>
      </c>
      <c r="AA106" s="6">
        <v>0</v>
      </c>
      <c r="AB106" s="7">
        <v>1</v>
      </c>
      <c r="AC106" s="5">
        <v>65</v>
      </c>
      <c r="AD106" s="7">
        <v>4</v>
      </c>
      <c r="AE106" s="5" t="b">
        <v>1</v>
      </c>
      <c r="AF106" s="7">
        <v>3</v>
      </c>
      <c r="AG106" s="7">
        <v>2</v>
      </c>
      <c r="AH106" s="7">
        <v>100</v>
      </c>
      <c r="AI106" s="7">
        <v>1</v>
      </c>
      <c r="AJ106" s="7">
        <v>0</v>
      </c>
      <c r="AK106" s="7">
        <v>11</v>
      </c>
      <c r="AL106" s="7" t="b">
        <v>0</v>
      </c>
      <c r="AM106" s="7">
        <v>0</v>
      </c>
      <c r="AN106" s="7">
        <v>0</v>
      </c>
      <c r="AO106" s="7">
        <v>3</v>
      </c>
      <c r="AP106" s="7">
        <v>7</v>
      </c>
      <c r="AQ106" s="7">
        <v>4</v>
      </c>
      <c r="AR106" s="7" t="b">
        <v>1</v>
      </c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330001</v>
      </c>
      <c r="C107" s="7" t="s">
        <v>305</v>
      </c>
      <c r="D107" s="10" t="s">
        <v>872</v>
      </c>
      <c r="E107" s="7">
        <v>2</v>
      </c>
      <c r="F107" s="7">
        <v>1</v>
      </c>
      <c r="G107" s="7">
        <v>2</v>
      </c>
      <c r="H107" s="6">
        <v>100</v>
      </c>
      <c r="I107" s="7">
        <v>21</v>
      </c>
      <c r="J107" s="7">
        <v>2</v>
      </c>
      <c r="K107" s="6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6">
        <v>3</v>
      </c>
      <c r="T107" s="6">
        <v>2</v>
      </c>
      <c r="U107" s="6">
        <v>40</v>
      </c>
      <c r="V107" s="5">
        <v>30</v>
      </c>
      <c r="W107" s="5">
        <v>0</v>
      </c>
      <c r="X107" s="5">
        <v>0</v>
      </c>
      <c r="Y107" s="6" t="b">
        <v>0</v>
      </c>
      <c r="Z107" s="6">
        <v>0</v>
      </c>
      <c r="AA107" s="6">
        <v>0</v>
      </c>
      <c r="AB107" s="5">
        <v>3</v>
      </c>
      <c r="AC107" s="5">
        <v>33</v>
      </c>
      <c r="AD107" s="5">
        <v>1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18.75" customHeight="1">
      <c r="A108" s="8"/>
      <c r="B108" s="5">
        <v>330002</v>
      </c>
      <c r="C108" s="7" t="s">
        <v>1460</v>
      </c>
      <c r="D108" s="10" t="s">
        <v>872</v>
      </c>
      <c r="E108" s="7">
        <v>2</v>
      </c>
      <c r="F108" s="7">
        <v>1</v>
      </c>
      <c r="G108" s="7">
        <v>2</v>
      </c>
      <c r="H108" s="6">
        <v>100</v>
      </c>
      <c r="I108" s="7">
        <v>21</v>
      </c>
      <c r="J108" s="7">
        <v>2</v>
      </c>
      <c r="K108" s="6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6">
        <v>3</v>
      </c>
      <c r="T108" s="6">
        <v>2</v>
      </c>
      <c r="U108" s="6">
        <v>40</v>
      </c>
      <c r="V108" s="5">
        <v>30</v>
      </c>
      <c r="W108" s="5">
        <v>0</v>
      </c>
      <c r="X108" s="5">
        <v>0</v>
      </c>
      <c r="Y108" s="6" t="b">
        <v>0</v>
      </c>
      <c r="Z108" s="6">
        <v>0</v>
      </c>
      <c r="AA108" s="6">
        <v>0</v>
      </c>
      <c r="AB108" s="5">
        <v>3</v>
      </c>
      <c r="AC108" s="5">
        <v>33</v>
      </c>
      <c r="AD108" s="5">
        <v>1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30.75" customHeight="1">
      <c r="A109" s="8"/>
      <c r="B109" s="5">
        <v>330003</v>
      </c>
      <c r="C109" s="7" t="s">
        <v>1530</v>
      </c>
      <c r="D109" s="10" t="s">
        <v>872</v>
      </c>
      <c r="E109" s="7">
        <v>2</v>
      </c>
      <c r="F109" s="7">
        <v>1</v>
      </c>
      <c r="G109" s="7">
        <v>2</v>
      </c>
      <c r="H109" s="6">
        <v>100</v>
      </c>
      <c r="I109" s="7">
        <v>21</v>
      </c>
      <c r="J109" s="7">
        <v>2</v>
      </c>
      <c r="K109" s="6">
        <v>100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6">
        <v>3</v>
      </c>
      <c r="T109" s="6">
        <v>2</v>
      </c>
      <c r="U109" s="6">
        <v>40</v>
      </c>
      <c r="V109" s="5">
        <v>30</v>
      </c>
      <c r="W109" s="5">
        <v>0</v>
      </c>
      <c r="X109" s="5">
        <v>0</v>
      </c>
      <c r="Y109" s="6" t="b">
        <v>0</v>
      </c>
      <c r="Z109" s="6">
        <v>0</v>
      </c>
      <c r="AA109" s="6">
        <v>0</v>
      </c>
      <c r="AB109" s="5">
        <v>3</v>
      </c>
      <c r="AC109" s="5">
        <v>33</v>
      </c>
      <c r="AD109" s="5">
        <v>1</v>
      </c>
      <c r="AE109" s="5" t="b">
        <v>1</v>
      </c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</row>
    <row r="110" spans="1:52" ht="30.75" customHeight="1">
      <c r="A110" s="8"/>
      <c r="B110" s="7">
        <v>340001</v>
      </c>
      <c r="C110" s="7" t="s">
        <v>306</v>
      </c>
      <c r="D110" s="10" t="s">
        <v>873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80</v>
      </c>
      <c r="L110" s="6" t="b">
        <v>0</v>
      </c>
      <c r="M110" s="6">
        <v>0</v>
      </c>
      <c r="N110" s="6">
        <v>0</v>
      </c>
      <c r="O110" s="7">
        <v>1</v>
      </c>
      <c r="P110" s="5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10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5">
        <v>34</v>
      </c>
      <c r="AD110" s="7">
        <v>2</v>
      </c>
      <c r="AE110" s="5" t="b">
        <v>1</v>
      </c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</row>
    <row r="111" spans="1:52" ht="30.75" customHeight="1">
      <c r="A111" s="8"/>
      <c r="B111" s="7">
        <v>340002</v>
      </c>
      <c r="C111" s="7" t="s">
        <v>1461</v>
      </c>
      <c r="D111" s="10" t="s">
        <v>873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80</v>
      </c>
      <c r="L111" s="6" t="b">
        <v>0</v>
      </c>
      <c r="M111" s="6">
        <v>0</v>
      </c>
      <c r="N111" s="6">
        <v>0</v>
      </c>
      <c r="O111" s="7">
        <v>1</v>
      </c>
      <c r="P111" s="5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10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5">
        <v>34</v>
      </c>
      <c r="AD111" s="7">
        <v>2</v>
      </c>
      <c r="AE111" s="5" t="b">
        <v>1</v>
      </c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</row>
    <row r="112" spans="1:52" ht="30.75" customHeight="1">
      <c r="A112" s="8"/>
      <c r="B112" s="7">
        <v>340003</v>
      </c>
      <c r="C112" s="7" t="s">
        <v>1531</v>
      </c>
      <c r="D112" s="10" t="s">
        <v>873</v>
      </c>
      <c r="E112" s="7">
        <v>2</v>
      </c>
      <c r="F112" s="7">
        <v>1</v>
      </c>
      <c r="G112" s="7">
        <v>2</v>
      </c>
      <c r="H112" s="6">
        <v>100</v>
      </c>
      <c r="I112" s="7">
        <v>18</v>
      </c>
      <c r="J112" s="7">
        <v>2</v>
      </c>
      <c r="K112" s="7">
        <v>80</v>
      </c>
      <c r="L112" s="6" t="b">
        <v>0</v>
      </c>
      <c r="M112" s="6">
        <v>0</v>
      </c>
      <c r="N112" s="6">
        <v>0</v>
      </c>
      <c r="O112" s="7">
        <v>1</v>
      </c>
      <c r="P112" s="5">
        <v>0</v>
      </c>
      <c r="Q112" s="7">
        <v>0</v>
      </c>
      <c r="R112" s="5" t="b">
        <v>1</v>
      </c>
      <c r="S112" s="7">
        <v>3</v>
      </c>
      <c r="T112" s="7">
        <v>2</v>
      </c>
      <c r="U112" s="6">
        <v>10</v>
      </c>
      <c r="V112" s="7">
        <v>30</v>
      </c>
      <c r="W112" s="7">
        <v>0</v>
      </c>
      <c r="X112" s="7">
        <v>0</v>
      </c>
      <c r="Y112" s="6" t="b">
        <v>0</v>
      </c>
      <c r="Z112" s="6">
        <v>0</v>
      </c>
      <c r="AA112" s="6">
        <v>0</v>
      </c>
      <c r="AB112" s="7">
        <v>3</v>
      </c>
      <c r="AC112" s="5">
        <v>34</v>
      </c>
      <c r="AD112" s="7">
        <v>2</v>
      </c>
      <c r="AE112" s="5" t="b">
        <v>1</v>
      </c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</row>
    <row r="113" spans="1:52" ht="18.75" customHeight="1">
      <c r="A113" s="8"/>
      <c r="B113" s="5">
        <v>350001</v>
      </c>
      <c r="C113" s="7" t="s">
        <v>307</v>
      </c>
      <c r="D113" s="10" t="s">
        <v>515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6">
        <v>150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/>
      <c r="T113" s="7"/>
      <c r="U113" s="6"/>
      <c r="V113" s="7"/>
      <c r="W113" s="7"/>
      <c r="X113" s="7"/>
      <c r="Y113" s="6"/>
      <c r="Z113" s="6"/>
      <c r="AA113" s="6"/>
      <c r="AB113" s="7"/>
      <c r="AC113" s="5"/>
      <c r="AD113" s="7"/>
      <c r="AE113" s="5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</row>
    <row r="114" spans="1:52" ht="18.75" customHeight="1">
      <c r="A114" s="8"/>
      <c r="B114" s="5">
        <v>350002</v>
      </c>
      <c r="C114" s="7" t="s">
        <v>1462</v>
      </c>
      <c r="D114" s="10" t="s">
        <v>515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6">
        <v>150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/>
      <c r="T114" s="7"/>
      <c r="U114" s="6"/>
      <c r="V114" s="7"/>
      <c r="W114" s="7"/>
      <c r="X114" s="7"/>
      <c r="Y114" s="6"/>
      <c r="Z114" s="6"/>
      <c r="AA114" s="6"/>
      <c r="AB114" s="7"/>
      <c r="AC114" s="5"/>
      <c r="AD114" s="7"/>
      <c r="AE114" s="5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</row>
    <row r="115" spans="1:52" ht="18.75" customHeight="1">
      <c r="A115" s="8"/>
      <c r="B115" s="5">
        <v>350003</v>
      </c>
      <c r="C115" s="7" t="s">
        <v>1532</v>
      </c>
      <c r="D115" s="10" t="s">
        <v>515</v>
      </c>
      <c r="E115" s="7">
        <v>2</v>
      </c>
      <c r="F115" s="7">
        <v>1</v>
      </c>
      <c r="G115" s="7">
        <v>2</v>
      </c>
      <c r="H115" s="6">
        <v>100</v>
      </c>
      <c r="I115" s="7">
        <v>26</v>
      </c>
      <c r="J115" s="7">
        <v>2</v>
      </c>
      <c r="K115" s="6">
        <v>150</v>
      </c>
      <c r="L115" s="6" t="b">
        <v>0</v>
      </c>
      <c r="M115" s="6">
        <v>0</v>
      </c>
      <c r="N115" s="6">
        <v>0</v>
      </c>
      <c r="O115" s="7">
        <v>1</v>
      </c>
      <c r="P115" s="5">
        <v>0</v>
      </c>
      <c r="Q115" s="7">
        <v>0</v>
      </c>
      <c r="R115" s="5" t="b">
        <v>1</v>
      </c>
      <c r="S115" s="7"/>
      <c r="T115" s="7"/>
      <c r="U115" s="6"/>
      <c r="V115" s="7"/>
      <c r="W115" s="7"/>
      <c r="X115" s="7"/>
      <c r="Y115" s="6"/>
      <c r="Z115" s="6"/>
      <c r="AA115" s="6"/>
      <c r="AB115" s="7"/>
      <c r="AC115" s="5"/>
      <c r="AD115" s="7"/>
      <c r="AE115" s="5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</row>
    <row r="116" spans="1:52" ht="18.75" customHeight="1">
      <c r="A116" s="8"/>
      <c r="B116" s="7">
        <v>360001</v>
      </c>
      <c r="C116" s="7" t="s">
        <v>308</v>
      </c>
      <c r="D116" s="10" t="s">
        <v>519</v>
      </c>
      <c r="E116" s="6">
        <v>2</v>
      </c>
      <c r="F116" s="6">
        <v>1</v>
      </c>
      <c r="G116" s="6">
        <v>2</v>
      </c>
      <c r="H116" s="6">
        <v>100</v>
      </c>
      <c r="I116" s="7">
        <v>19</v>
      </c>
      <c r="J116" s="6">
        <v>2</v>
      </c>
      <c r="K116" s="7">
        <v>80</v>
      </c>
      <c r="L116" s="6" t="b">
        <v>0</v>
      </c>
      <c r="M116" s="6">
        <v>0</v>
      </c>
      <c r="N116" s="6">
        <v>0</v>
      </c>
      <c r="O116" s="5">
        <v>1</v>
      </c>
      <c r="P116" s="5">
        <v>0</v>
      </c>
      <c r="Q116" s="5">
        <v>0</v>
      </c>
      <c r="R116" s="5" t="b">
        <v>1</v>
      </c>
      <c r="S116" s="7">
        <v>3</v>
      </c>
      <c r="T116" s="7">
        <v>2</v>
      </c>
      <c r="U116" s="6">
        <v>10</v>
      </c>
      <c r="V116" s="7">
        <v>30</v>
      </c>
      <c r="W116" s="7">
        <v>0</v>
      </c>
      <c r="X116" s="7">
        <v>0</v>
      </c>
      <c r="Y116" s="6" t="b">
        <v>0</v>
      </c>
      <c r="Z116" s="6">
        <v>0</v>
      </c>
      <c r="AA116" s="6">
        <v>0</v>
      </c>
      <c r="AB116" s="7">
        <v>3</v>
      </c>
      <c r="AC116" s="5">
        <v>35</v>
      </c>
      <c r="AD116" s="7">
        <v>2</v>
      </c>
      <c r="AE116" s="5" t="b">
        <v>1</v>
      </c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</row>
    <row r="117" spans="1:52" ht="18.75" customHeight="1">
      <c r="A117" s="8"/>
      <c r="B117" s="7">
        <v>360002</v>
      </c>
      <c r="C117" s="7" t="s">
        <v>1463</v>
      </c>
      <c r="D117" s="10" t="s">
        <v>519</v>
      </c>
      <c r="E117" s="6">
        <v>2</v>
      </c>
      <c r="F117" s="6">
        <v>1</v>
      </c>
      <c r="G117" s="6">
        <v>2</v>
      </c>
      <c r="H117" s="6">
        <v>100</v>
      </c>
      <c r="I117" s="7">
        <v>19</v>
      </c>
      <c r="J117" s="6">
        <v>2</v>
      </c>
      <c r="K117" s="7">
        <v>80</v>
      </c>
      <c r="L117" s="6" t="b">
        <v>0</v>
      </c>
      <c r="M117" s="6">
        <v>0</v>
      </c>
      <c r="N117" s="6">
        <v>0</v>
      </c>
      <c r="O117" s="5">
        <v>1</v>
      </c>
      <c r="P117" s="5">
        <v>0</v>
      </c>
      <c r="Q117" s="5">
        <v>0</v>
      </c>
      <c r="R117" s="5" t="b">
        <v>1</v>
      </c>
      <c r="S117" s="7">
        <v>3</v>
      </c>
      <c r="T117" s="7">
        <v>2</v>
      </c>
      <c r="U117" s="6">
        <v>10</v>
      </c>
      <c r="V117" s="7">
        <v>30</v>
      </c>
      <c r="W117" s="7">
        <v>0</v>
      </c>
      <c r="X117" s="7">
        <v>0</v>
      </c>
      <c r="Y117" s="6" t="b">
        <v>0</v>
      </c>
      <c r="Z117" s="6">
        <v>0</v>
      </c>
      <c r="AA117" s="6">
        <v>0</v>
      </c>
      <c r="AB117" s="7">
        <v>3</v>
      </c>
      <c r="AC117" s="5">
        <v>35</v>
      </c>
      <c r="AD117" s="7">
        <v>2</v>
      </c>
      <c r="AE117" s="5" t="b">
        <v>1</v>
      </c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7">
        <v>360003</v>
      </c>
      <c r="C118" s="7" t="s">
        <v>1533</v>
      </c>
      <c r="D118" s="10" t="s">
        <v>519</v>
      </c>
      <c r="E118" s="6">
        <v>2</v>
      </c>
      <c r="F118" s="6">
        <v>1</v>
      </c>
      <c r="G118" s="6">
        <v>2</v>
      </c>
      <c r="H118" s="6">
        <v>100</v>
      </c>
      <c r="I118" s="7">
        <v>19</v>
      </c>
      <c r="J118" s="6">
        <v>2</v>
      </c>
      <c r="K118" s="7">
        <v>80</v>
      </c>
      <c r="L118" s="6" t="b">
        <v>0</v>
      </c>
      <c r="M118" s="6">
        <v>0</v>
      </c>
      <c r="N118" s="6">
        <v>0</v>
      </c>
      <c r="O118" s="5">
        <v>1</v>
      </c>
      <c r="P118" s="5">
        <v>0</v>
      </c>
      <c r="Q118" s="5">
        <v>0</v>
      </c>
      <c r="R118" s="5" t="b">
        <v>1</v>
      </c>
      <c r="S118" s="7">
        <v>3</v>
      </c>
      <c r="T118" s="7">
        <v>2</v>
      </c>
      <c r="U118" s="6">
        <v>10</v>
      </c>
      <c r="V118" s="7">
        <v>30</v>
      </c>
      <c r="W118" s="7">
        <v>0</v>
      </c>
      <c r="X118" s="7">
        <v>0</v>
      </c>
      <c r="Y118" s="6" t="b">
        <v>0</v>
      </c>
      <c r="Z118" s="6">
        <v>0</v>
      </c>
      <c r="AA118" s="6">
        <v>0</v>
      </c>
      <c r="AB118" s="7">
        <v>3</v>
      </c>
      <c r="AC118" s="5">
        <v>35</v>
      </c>
      <c r="AD118" s="7">
        <v>2</v>
      </c>
      <c r="AE118" s="5" t="b">
        <v>1</v>
      </c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370001</v>
      </c>
      <c r="C119" s="7" t="s">
        <v>309</v>
      </c>
      <c r="D119" s="10" t="s">
        <v>518</v>
      </c>
      <c r="E119" s="7">
        <v>2</v>
      </c>
      <c r="F119" s="7">
        <v>1</v>
      </c>
      <c r="G119" s="7">
        <v>2</v>
      </c>
      <c r="H119" s="6">
        <v>100</v>
      </c>
      <c r="I119" s="7">
        <v>21</v>
      </c>
      <c r="J119" s="7">
        <v>2</v>
      </c>
      <c r="K119" s="6">
        <v>100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6">
        <v>3</v>
      </c>
      <c r="T119" s="6">
        <v>2</v>
      </c>
      <c r="U119" s="6">
        <v>50</v>
      </c>
      <c r="V119" s="5">
        <v>30</v>
      </c>
      <c r="W119" s="5">
        <v>0</v>
      </c>
      <c r="X119" s="5">
        <v>0</v>
      </c>
      <c r="Y119" s="6" t="b">
        <v>0</v>
      </c>
      <c r="Z119" s="6">
        <v>0</v>
      </c>
      <c r="AA119" s="6">
        <v>0</v>
      </c>
      <c r="AB119" s="5">
        <v>3</v>
      </c>
      <c r="AC119" s="5">
        <v>31</v>
      </c>
      <c r="AD119" s="5">
        <v>2</v>
      </c>
      <c r="AE119" s="5" t="b">
        <v>1</v>
      </c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A120" s="8"/>
      <c r="B120" s="5">
        <v>370002</v>
      </c>
      <c r="C120" s="7" t="s">
        <v>1464</v>
      </c>
      <c r="D120" s="10" t="s">
        <v>518</v>
      </c>
      <c r="E120" s="7">
        <v>2</v>
      </c>
      <c r="F120" s="7">
        <v>1</v>
      </c>
      <c r="G120" s="7">
        <v>2</v>
      </c>
      <c r="H120" s="6">
        <v>100</v>
      </c>
      <c r="I120" s="7">
        <v>21</v>
      </c>
      <c r="J120" s="7">
        <v>2</v>
      </c>
      <c r="K120" s="6">
        <v>100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6">
        <v>3</v>
      </c>
      <c r="T120" s="6">
        <v>2</v>
      </c>
      <c r="U120" s="6">
        <v>50</v>
      </c>
      <c r="V120" s="5">
        <v>30</v>
      </c>
      <c r="W120" s="5">
        <v>0</v>
      </c>
      <c r="X120" s="5">
        <v>0</v>
      </c>
      <c r="Y120" s="6" t="b">
        <v>0</v>
      </c>
      <c r="Z120" s="6">
        <v>0</v>
      </c>
      <c r="AA120" s="6">
        <v>0</v>
      </c>
      <c r="AB120" s="5">
        <v>3</v>
      </c>
      <c r="AC120" s="5">
        <v>31</v>
      </c>
      <c r="AD120" s="5">
        <v>2</v>
      </c>
      <c r="AE120" s="5" t="b">
        <v>1</v>
      </c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</row>
    <row r="121" spans="1:52" ht="18.75" customHeight="1">
      <c r="B121" s="5">
        <v>370003</v>
      </c>
      <c r="C121" s="7" t="s">
        <v>1534</v>
      </c>
      <c r="D121" s="10" t="s">
        <v>518</v>
      </c>
      <c r="E121" s="7">
        <v>2</v>
      </c>
      <c r="F121" s="7">
        <v>1</v>
      </c>
      <c r="G121" s="7">
        <v>2</v>
      </c>
      <c r="H121" s="6">
        <v>100</v>
      </c>
      <c r="I121" s="7">
        <v>21</v>
      </c>
      <c r="J121" s="7">
        <v>2</v>
      </c>
      <c r="K121" s="6">
        <v>100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6">
        <v>3</v>
      </c>
      <c r="T121" s="6">
        <v>2</v>
      </c>
      <c r="U121" s="6">
        <v>50</v>
      </c>
      <c r="V121" s="5">
        <v>30</v>
      </c>
      <c r="W121" s="5">
        <v>0</v>
      </c>
      <c r="X121" s="5">
        <v>0</v>
      </c>
      <c r="Y121" s="6" t="b">
        <v>0</v>
      </c>
      <c r="Z121" s="6">
        <v>0</v>
      </c>
      <c r="AA121" s="6">
        <v>0</v>
      </c>
      <c r="AB121" s="5">
        <v>3</v>
      </c>
      <c r="AC121" s="5">
        <v>31</v>
      </c>
      <c r="AD121" s="5">
        <v>2</v>
      </c>
      <c r="AE121" s="5" t="b">
        <v>1</v>
      </c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</row>
    <row r="122" spans="1:52" ht="18.75" customHeight="1">
      <c r="B122" s="7">
        <v>380001</v>
      </c>
      <c r="C122" s="7" t="s">
        <v>310</v>
      </c>
      <c r="D122" s="10" t="s">
        <v>874</v>
      </c>
      <c r="E122" s="7">
        <v>2</v>
      </c>
      <c r="F122" s="7">
        <v>1</v>
      </c>
      <c r="G122" s="7">
        <v>2</v>
      </c>
      <c r="H122" s="6">
        <v>100</v>
      </c>
      <c r="I122" s="7">
        <v>21</v>
      </c>
      <c r="J122" s="7">
        <v>2</v>
      </c>
      <c r="K122" s="7">
        <v>100</v>
      </c>
      <c r="L122" s="6" t="b">
        <v>0</v>
      </c>
      <c r="M122" s="6">
        <v>0</v>
      </c>
      <c r="N122" s="6">
        <v>0</v>
      </c>
      <c r="O122" s="7">
        <v>1</v>
      </c>
      <c r="P122" s="5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24</v>
      </c>
      <c r="Y122" s="6" t="b">
        <v>0</v>
      </c>
      <c r="Z122" s="6">
        <v>0</v>
      </c>
      <c r="AA122" s="6">
        <v>0</v>
      </c>
      <c r="AB122" s="7">
        <v>49</v>
      </c>
      <c r="AC122" s="5">
        <v>0</v>
      </c>
      <c r="AD122" s="7">
        <v>0</v>
      </c>
      <c r="AE122" s="5" t="b">
        <v>1</v>
      </c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</row>
    <row r="123" spans="1:52" ht="18.75" customHeight="1">
      <c r="B123" s="7">
        <v>380002</v>
      </c>
      <c r="C123" s="7" t="s">
        <v>1465</v>
      </c>
      <c r="D123" s="10" t="s">
        <v>874</v>
      </c>
      <c r="E123" s="7">
        <v>2</v>
      </c>
      <c r="F123" s="7">
        <v>1</v>
      </c>
      <c r="G123" s="7">
        <v>2</v>
      </c>
      <c r="H123" s="6">
        <v>100</v>
      </c>
      <c r="I123" s="7">
        <v>21</v>
      </c>
      <c r="J123" s="7">
        <v>2</v>
      </c>
      <c r="K123" s="7">
        <v>100</v>
      </c>
      <c r="L123" s="6" t="b">
        <v>0</v>
      </c>
      <c r="M123" s="6">
        <v>0</v>
      </c>
      <c r="N123" s="6">
        <v>0</v>
      </c>
      <c r="O123" s="7">
        <v>1</v>
      </c>
      <c r="P123" s="5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24</v>
      </c>
      <c r="Y123" s="6" t="b">
        <v>0</v>
      </c>
      <c r="Z123" s="6">
        <v>0</v>
      </c>
      <c r="AA123" s="6">
        <v>0</v>
      </c>
      <c r="AB123" s="7">
        <v>49</v>
      </c>
      <c r="AC123" s="5">
        <v>0</v>
      </c>
      <c r="AD123" s="7">
        <v>0</v>
      </c>
      <c r="AE123" s="5" t="b">
        <v>1</v>
      </c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</row>
    <row r="124" spans="1:52" ht="18.75" customHeight="1">
      <c r="B124" s="7">
        <v>380003</v>
      </c>
      <c r="C124" s="7" t="s">
        <v>1535</v>
      </c>
      <c r="D124" s="10" t="s">
        <v>874</v>
      </c>
      <c r="E124" s="7">
        <v>2</v>
      </c>
      <c r="F124" s="7">
        <v>1</v>
      </c>
      <c r="G124" s="7">
        <v>2</v>
      </c>
      <c r="H124" s="6">
        <v>100</v>
      </c>
      <c r="I124" s="7">
        <v>21</v>
      </c>
      <c r="J124" s="7">
        <v>2</v>
      </c>
      <c r="K124" s="7">
        <v>100</v>
      </c>
      <c r="L124" s="6" t="b">
        <v>0</v>
      </c>
      <c r="M124" s="6">
        <v>0</v>
      </c>
      <c r="N124" s="6">
        <v>0</v>
      </c>
      <c r="O124" s="7">
        <v>1</v>
      </c>
      <c r="P124" s="5">
        <v>0</v>
      </c>
      <c r="Q124" s="7">
        <v>0</v>
      </c>
      <c r="R124" s="5" t="b">
        <v>1</v>
      </c>
      <c r="S124" s="7">
        <v>2</v>
      </c>
      <c r="T124" s="7">
        <v>5</v>
      </c>
      <c r="U124" s="6">
        <v>100</v>
      </c>
      <c r="V124" s="7">
        <v>1</v>
      </c>
      <c r="W124" s="7">
        <v>4</v>
      </c>
      <c r="X124" s="7">
        <v>24</v>
      </c>
      <c r="Y124" s="6" t="b">
        <v>0</v>
      </c>
      <c r="Z124" s="6">
        <v>0</v>
      </c>
      <c r="AA124" s="6">
        <v>0</v>
      </c>
      <c r="AB124" s="7">
        <v>49</v>
      </c>
      <c r="AC124" s="5">
        <v>0</v>
      </c>
      <c r="AD124" s="7">
        <v>0</v>
      </c>
      <c r="AE124" s="5" t="b">
        <v>1</v>
      </c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</row>
    <row r="125" spans="1:52" ht="18.75" customHeight="1">
      <c r="B125" s="5">
        <v>390001</v>
      </c>
      <c r="C125" s="7" t="s">
        <v>311</v>
      </c>
      <c r="D125" s="10" t="s">
        <v>585</v>
      </c>
      <c r="E125" s="7">
        <v>2</v>
      </c>
      <c r="F125" s="7">
        <v>1</v>
      </c>
      <c r="G125" s="7">
        <v>2</v>
      </c>
      <c r="H125" s="6">
        <v>100</v>
      </c>
      <c r="I125" s="7">
        <v>10</v>
      </c>
      <c r="J125" s="7">
        <v>2</v>
      </c>
      <c r="K125" s="6">
        <v>70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30</v>
      </c>
      <c r="W125" s="7">
        <v>0</v>
      </c>
      <c r="X125" s="7">
        <v>10</v>
      </c>
      <c r="Y125" s="6" t="b">
        <v>0</v>
      </c>
      <c r="Z125" s="6">
        <v>0</v>
      </c>
      <c r="AA125" s="6">
        <v>0</v>
      </c>
      <c r="AB125" s="7">
        <v>3</v>
      </c>
      <c r="AC125" s="5">
        <v>22</v>
      </c>
      <c r="AD125" s="7">
        <v>3</v>
      </c>
      <c r="AE125" s="5" t="b">
        <v>1</v>
      </c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</row>
    <row r="126" spans="1:52" ht="18.75" customHeight="1">
      <c r="B126" s="5">
        <v>390002</v>
      </c>
      <c r="C126" s="7" t="s">
        <v>1466</v>
      </c>
      <c r="D126" s="10" t="s">
        <v>585</v>
      </c>
      <c r="E126" s="7">
        <v>2</v>
      </c>
      <c r="F126" s="7">
        <v>1</v>
      </c>
      <c r="G126" s="7">
        <v>2</v>
      </c>
      <c r="H126" s="6">
        <v>100</v>
      </c>
      <c r="I126" s="7">
        <v>10</v>
      </c>
      <c r="J126" s="7">
        <v>2</v>
      </c>
      <c r="K126" s="6">
        <v>70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30</v>
      </c>
      <c r="W126" s="7">
        <v>0</v>
      </c>
      <c r="X126" s="7">
        <v>10</v>
      </c>
      <c r="Y126" s="6" t="b">
        <v>0</v>
      </c>
      <c r="Z126" s="6">
        <v>0</v>
      </c>
      <c r="AA126" s="6">
        <v>0</v>
      </c>
      <c r="AB126" s="7">
        <v>3</v>
      </c>
      <c r="AC126" s="5">
        <v>22</v>
      </c>
      <c r="AD126" s="7">
        <v>3</v>
      </c>
      <c r="AE126" s="5" t="b">
        <v>1</v>
      </c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</row>
    <row r="127" spans="1:52" ht="18.75" customHeight="1">
      <c r="B127" s="5">
        <v>390003</v>
      </c>
      <c r="C127" s="7" t="s">
        <v>1536</v>
      </c>
      <c r="D127" s="10" t="s">
        <v>585</v>
      </c>
      <c r="E127" s="7">
        <v>2</v>
      </c>
      <c r="F127" s="7">
        <v>1</v>
      </c>
      <c r="G127" s="7">
        <v>2</v>
      </c>
      <c r="H127" s="6">
        <v>100</v>
      </c>
      <c r="I127" s="7">
        <v>10</v>
      </c>
      <c r="J127" s="7">
        <v>2</v>
      </c>
      <c r="K127" s="6">
        <v>70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>
        <v>3</v>
      </c>
      <c r="T127" s="7">
        <v>2</v>
      </c>
      <c r="U127" s="6">
        <v>100</v>
      </c>
      <c r="V127" s="7">
        <v>30</v>
      </c>
      <c r="W127" s="7">
        <v>0</v>
      </c>
      <c r="X127" s="7">
        <v>10</v>
      </c>
      <c r="Y127" s="6" t="b">
        <v>0</v>
      </c>
      <c r="Z127" s="6">
        <v>0</v>
      </c>
      <c r="AA127" s="6">
        <v>0</v>
      </c>
      <c r="AB127" s="7">
        <v>3</v>
      </c>
      <c r="AC127" s="5">
        <v>22</v>
      </c>
      <c r="AD127" s="7">
        <v>3</v>
      </c>
      <c r="AE127" s="5" t="b">
        <v>1</v>
      </c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</row>
    <row r="128" spans="1:52" ht="18.75" customHeight="1">
      <c r="B128" s="7">
        <v>400001</v>
      </c>
      <c r="C128" s="7" t="s">
        <v>312</v>
      </c>
      <c r="D128" s="10" t="s">
        <v>875</v>
      </c>
      <c r="E128" s="7">
        <v>2</v>
      </c>
      <c r="F128" s="7">
        <v>1</v>
      </c>
      <c r="G128" s="7">
        <v>2</v>
      </c>
      <c r="H128" s="6">
        <v>100</v>
      </c>
      <c r="I128" s="7">
        <v>21</v>
      </c>
      <c r="J128" s="7">
        <v>2</v>
      </c>
      <c r="K128" s="7">
        <v>100</v>
      </c>
      <c r="L128" s="6" t="b">
        <v>0</v>
      </c>
      <c r="M128" s="6">
        <v>0</v>
      </c>
      <c r="N128" s="6">
        <v>0</v>
      </c>
      <c r="O128" s="7">
        <v>1</v>
      </c>
      <c r="P128" s="5">
        <v>0</v>
      </c>
      <c r="Q128" s="7">
        <v>0</v>
      </c>
      <c r="R128" s="5" t="b">
        <v>1</v>
      </c>
      <c r="S128" s="7">
        <v>3</v>
      </c>
      <c r="T128" s="7">
        <v>2</v>
      </c>
      <c r="U128" s="6">
        <v>100</v>
      </c>
      <c r="V128" s="7">
        <v>2</v>
      </c>
      <c r="W128" s="7">
        <v>4</v>
      </c>
      <c r="X128" s="7">
        <v>50</v>
      </c>
      <c r="Y128" s="6" t="b">
        <v>0</v>
      </c>
      <c r="Z128" s="6">
        <v>0</v>
      </c>
      <c r="AA128" s="6">
        <v>0</v>
      </c>
      <c r="AB128" s="7">
        <v>49</v>
      </c>
      <c r="AC128" s="5">
        <v>66</v>
      </c>
      <c r="AD128" s="7">
        <v>2</v>
      </c>
      <c r="AE128" s="5" t="b">
        <v>1</v>
      </c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</row>
    <row r="129" spans="2:44" ht="18.75" customHeight="1">
      <c r="B129" s="7">
        <v>400002</v>
      </c>
      <c r="C129" s="7" t="s">
        <v>1467</v>
      </c>
      <c r="D129" s="10" t="s">
        <v>875</v>
      </c>
      <c r="E129" s="7">
        <v>2</v>
      </c>
      <c r="F129" s="7">
        <v>1</v>
      </c>
      <c r="G129" s="7">
        <v>2</v>
      </c>
      <c r="H129" s="6">
        <v>100</v>
      </c>
      <c r="I129" s="7">
        <v>21</v>
      </c>
      <c r="J129" s="7">
        <v>2</v>
      </c>
      <c r="K129" s="7">
        <v>100</v>
      </c>
      <c r="L129" s="6" t="b">
        <v>0</v>
      </c>
      <c r="M129" s="6">
        <v>0</v>
      </c>
      <c r="N129" s="6">
        <v>0</v>
      </c>
      <c r="O129" s="7">
        <v>1</v>
      </c>
      <c r="P129" s="5">
        <v>0</v>
      </c>
      <c r="Q129" s="7">
        <v>0</v>
      </c>
      <c r="R129" s="5" t="b">
        <v>1</v>
      </c>
      <c r="S129" s="7">
        <v>3</v>
      </c>
      <c r="T129" s="7">
        <v>2</v>
      </c>
      <c r="U129" s="6">
        <v>100</v>
      </c>
      <c r="V129" s="7">
        <v>2</v>
      </c>
      <c r="W129" s="7">
        <v>4</v>
      </c>
      <c r="X129" s="7">
        <v>50</v>
      </c>
      <c r="Y129" s="6" t="b">
        <v>0</v>
      </c>
      <c r="Z129" s="6">
        <v>0</v>
      </c>
      <c r="AA129" s="6">
        <v>0</v>
      </c>
      <c r="AB129" s="7">
        <v>49</v>
      </c>
      <c r="AC129" s="5">
        <v>66</v>
      </c>
      <c r="AD129" s="7">
        <v>2</v>
      </c>
      <c r="AE129" s="5" t="b">
        <v>1</v>
      </c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</row>
    <row r="130" spans="2:44" ht="18.75" customHeight="1">
      <c r="B130" s="7">
        <v>400003</v>
      </c>
      <c r="C130" s="7" t="s">
        <v>1537</v>
      </c>
      <c r="D130" s="10" t="s">
        <v>875</v>
      </c>
      <c r="E130" s="7">
        <v>2</v>
      </c>
      <c r="F130" s="7">
        <v>1</v>
      </c>
      <c r="G130" s="7">
        <v>2</v>
      </c>
      <c r="H130" s="6">
        <v>100</v>
      </c>
      <c r="I130" s="7">
        <v>21</v>
      </c>
      <c r="J130" s="7">
        <v>2</v>
      </c>
      <c r="K130" s="7">
        <v>100</v>
      </c>
      <c r="L130" s="6" t="b">
        <v>0</v>
      </c>
      <c r="M130" s="6">
        <v>0</v>
      </c>
      <c r="N130" s="6">
        <v>0</v>
      </c>
      <c r="O130" s="7">
        <v>1</v>
      </c>
      <c r="P130" s="5">
        <v>0</v>
      </c>
      <c r="Q130" s="7">
        <v>0</v>
      </c>
      <c r="R130" s="5" t="b">
        <v>1</v>
      </c>
      <c r="S130" s="7">
        <v>3</v>
      </c>
      <c r="T130" s="7">
        <v>2</v>
      </c>
      <c r="U130" s="6">
        <v>100</v>
      </c>
      <c r="V130" s="7">
        <v>2</v>
      </c>
      <c r="W130" s="7">
        <v>4</v>
      </c>
      <c r="X130" s="7">
        <v>50</v>
      </c>
      <c r="Y130" s="6" t="b">
        <v>0</v>
      </c>
      <c r="Z130" s="6">
        <v>0</v>
      </c>
      <c r="AA130" s="6">
        <v>0</v>
      </c>
      <c r="AB130" s="7">
        <v>49</v>
      </c>
      <c r="AC130" s="5">
        <v>66</v>
      </c>
      <c r="AD130" s="7">
        <v>2</v>
      </c>
      <c r="AE130" s="5" t="b">
        <v>1</v>
      </c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</row>
    <row r="131" spans="2:44" ht="18.75" customHeight="1">
      <c r="B131" s="5">
        <v>410001</v>
      </c>
      <c r="C131" s="7" t="s">
        <v>313</v>
      </c>
      <c r="D131" s="10" t="s">
        <v>587</v>
      </c>
      <c r="E131" s="6">
        <v>2</v>
      </c>
      <c r="F131" s="6">
        <v>1</v>
      </c>
      <c r="G131" s="6">
        <v>2</v>
      </c>
      <c r="H131" s="6">
        <v>100</v>
      </c>
      <c r="I131" s="7">
        <v>21</v>
      </c>
      <c r="J131" s="6">
        <v>2</v>
      </c>
      <c r="K131" s="6">
        <v>100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410002</v>
      </c>
      <c r="C132" s="7" t="s">
        <v>1468</v>
      </c>
      <c r="D132" s="10" t="s">
        <v>587</v>
      </c>
      <c r="E132" s="6">
        <v>2</v>
      </c>
      <c r="F132" s="6">
        <v>1</v>
      </c>
      <c r="G132" s="6">
        <v>2</v>
      </c>
      <c r="H132" s="6">
        <v>100</v>
      </c>
      <c r="I132" s="7">
        <v>21</v>
      </c>
      <c r="J132" s="6">
        <v>2</v>
      </c>
      <c r="K132" s="6">
        <v>100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5">
        <v>410003</v>
      </c>
      <c r="C133" s="7" t="s">
        <v>1538</v>
      </c>
      <c r="D133" s="10" t="s">
        <v>587</v>
      </c>
      <c r="E133" s="6">
        <v>2</v>
      </c>
      <c r="F133" s="6">
        <v>1</v>
      </c>
      <c r="G133" s="6">
        <v>2</v>
      </c>
      <c r="H133" s="6">
        <v>100</v>
      </c>
      <c r="I133" s="7">
        <v>21</v>
      </c>
      <c r="J133" s="6">
        <v>2</v>
      </c>
      <c r="K133" s="6">
        <v>100</v>
      </c>
      <c r="L133" s="6" t="b">
        <v>0</v>
      </c>
      <c r="M133" s="6">
        <v>0</v>
      </c>
      <c r="N133" s="6">
        <v>0</v>
      </c>
      <c r="O133" s="5">
        <v>1</v>
      </c>
      <c r="P133" s="5">
        <v>0</v>
      </c>
      <c r="Q133" s="5">
        <v>0</v>
      </c>
      <c r="R133" s="5" t="b">
        <v>1</v>
      </c>
      <c r="S133" s="6"/>
      <c r="T133" s="6"/>
      <c r="U133" s="6"/>
      <c r="V133" s="5"/>
      <c r="W133" s="5"/>
      <c r="X133" s="5"/>
      <c r="Y133" s="6"/>
      <c r="Z133" s="6"/>
      <c r="AA133" s="6"/>
      <c r="AB133" s="5"/>
      <c r="AC133" s="5"/>
      <c r="AD133" s="5"/>
      <c r="AE133" s="5"/>
    </row>
    <row r="134" spans="2:44" ht="18.75" customHeight="1">
      <c r="B134" s="7">
        <v>420001</v>
      </c>
      <c r="C134" s="7" t="s">
        <v>314</v>
      </c>
      <c r="D134" s="10" t="s">
        <v>588</v>
      </c>
      <c r="E134" s="7">
        <v>2</v>
      </c>
      <c r="F134" s="7">
        <v>1</v>
      </c>
      <c r="G134" s="7">
        <v>2</v>
      </c>
      <c r="H134" s="6">
        <v>100</v>
      </c>
      <c r="I134" s="7">
        <v>21</v>
      </c>
      <c r="J134" s="7">
        <v>2</v>
      </c>
      <c r="K134" s="7">
        <v>100</v>
      </c>
      <c r="L134" s="6" t="b">
        <v>0</v>
      </c>
      <c r="M134" s="6">
        <v>0</v>
      </c>
      <c r="N134" s="6">
        <v>0</v>
      </c>
      <c r="O134" s="7">
        <v>1</v>
      </c>
      <c r="P134" s="5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5"/>
      <c r="AD134" s="7"/>
      <c r="AE134" s="5"/>
    </row>
    <row r="135" spans="2:44" ht="18.75" customHeight="1">
      <c r="B135" s="7">
        <v>420002</v>
      </c>
      <c r="C135" s="7" t="s">
        <v>1469</v>
      </c>
      <c r="D135" s="10" t="s">
        <v>588</v>
      </c>
      <c r="E135" s="7">
        <v>2</v>
      </c>
      <c r="F135" s="7">
        <v>1</v>
      </c>
      <c r="G135" s="7">
        <v>2</v>
      </c>
      <c r="H135" s="6">
        <v>100</v>
      </c>
      <c r="I135" s="7">
        <v>21</v>
      </c>
      <c r="J135" s="7">
        <v>2</v>
      </c>
      <c r="K135" s="7">
        <v>100</v>
      </c>
      <c r="L135" s="6" t="b">
        <v>0</v>
      </c>
      <c r="M135" s="6">
        <v>0</v>
      </c>
      <c r="N135" s="6">
        <v>0</v>
      </c>
      <c r="O135" s="7">
        <v>1</v>
      </c>
      <c r="P135" s="5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5"/>
      <c r="AD135" s="7"/>
      <c r="AE135" s="5"/>
    </row>
    <row r="136" spans="2:44" ht="18.75" customHeight="1">
      <c r="B136" s="7">
        <v>420003</v>
      </c>
      <c r="C136" s="7" t="s">
        <v>1539</v>
      </c>
      <c r="D136" s="10" t="s">
        <v>588</v>
      </c>
      <c r="E136" s="7">
        <v>2</v>
      </c>
      <c r="F136" s="7">
        <v>1</v>
      </c>
      <c r="G136" s="7">
        <v>2</v>
      </c>
      <c r="H136" s="6">
        <v>100</v>
      </c>
      <c r="I136" s="7">
        <v>21</v>
      </c>
      <c r="J136" s="7">
        <v>2</v>
      </c>
      <c r="K136" s="7">
        <v>100</v>
      </c>
      <c r="L136" s="6" t="b">
        <v>0</v>
      </c>
      <c r="M136" s="6">
        <v>0</v>
      </c>
      <c r="N136" s="6">
        <v>0</v>
      </c>
      <c r="O136" s="7">
        <v>1</v>
      </c>
      <c r="P136" s="5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5"/>
      <c r="AD136" s="7"/>
      <c r="AE136" s="5"/>
    </row>
    <row r="137" spans="2:44" ht="18.75" customHeight="1">
      <c r="B137" s="5">
        <v>430001</v>
      </c>
      <c r="C137" s="7" t="s">
        <v>315</v>
      </c>
      <c r="D137" s="10" t="s">
        <v>589</v>
      </c>
      <c r="E137" s="7">
        <v>2</v>
      </c>
      <c r="F137" s="7">
        <v>1</v>
      </c>
      <c r="G137" s="7">
        <v>2</v>
      </c>
      <c r="H137" s="6">
        <v>100</v>
      </c>
      <c r="I137" s="7">
        <v>21</v>
      </c>
      <c r="J137" s="7">
        <v>2</v>
      </c>
      <c r="K137" s="6">
        <v>100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5"/>
      <c r="AD137" s="7"/>
      <c r="AE137" s="5"/>
    </row>
    <row r="138" spans="2:44" ht="18.75" customHeight="1">
      <c r="B138" s="5">
        <v>430002</v>
      </c>
      <c r="C138" s="7" t="s">
        <v>1470</v>
      </c>
      <c r="D138" s="10" t="s">
        <v>589</v>
      </c>
      <c r="E138" s="7">
        <v>2</v>
      </c>
      <c r="F138" s="7">
        <v>1</v>
      </c>
      <c r="G138" s="7">
        <v>2</v>
      </c>
      <c r="H138" s="6">
        <v>100</v>
      </c>
      <c r="I138" s="7">
        <v>21</v>
      </c>
      <c r="J138" s="7">
        <v>2</v>
      </c>
      <c r="K138" s="6">
        <v>100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5"/>
      <c r="AD138" s="7"/>
      <c r="AE138" s="5"/>
    </row>
    <row r="139" spans="2:44" ht="18.75" customHeight="1">
      <c r="B139" s="5">
        <v>430003</v>
      </c>
      <c r="C139" s="7" t="s">
        <v>1540</v>
      </c>
      <c r="D139" s="10" t="s">
        <v>589</v>
      </c>
      <c r="E139" s="7">
        <v>2</v>
      </c>
      <c r="F139" s="7">
        <v>1</v>
      </c>
      <c r="G139" s="7">
        <v>2</v>
      </c>
      <c r="H139" s="6">
        <v>100</v>
      </c>
      <c r="I139" s="7">
        <v>21</v>
      </c>
      <c r="J139" s="7">
        <v>2</v>
      </c>
      <c r="K139" s="6">
        <v>100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5"/>
      <c r="AD139" s="7"/>
      <c r="AE139" s="5"/>
    </row>
    <row r="140" spans="2:44" ht="18.75" customHeight="1">
      <c r="B140" s="7">
        <v>440001</v>
      </c>
      <c r="C140" s="7" t="s">
        <v>316</v>
      </c>
      <c r="D140" s="10" t="s">
        <v>590</v>
      </c>
      <c r="E140" s="7">
        <v>2</v>
      </c>
      <c r="F140" s="7">
        <v>1</v>
      </c>
      <c r="G140" s="7">
        <v>2</v>
      </c>
      <c r="H140" s="6">
        <v>100</v>
      </c>
      <c r="I140" s="7">
        <v>21</v>
      </c>
      <c r="J140" s="7">
        <v>2</v>
      </c>
      <c r="K140" s="7">
        <v>100</v>
      </c>
      <c r="L140" s="6" t="b">
        <v>0</v>
      </c>
      <c r="M140" s="6">
        <v>0</v>
      </c>
      <c r="N140" s="6">
        <v>0</v>
      </c>
      <c r="O140" s="7">
        <v>1</v>
      </c>
      <c r="P140" s="5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5"/>
      <c r="AD140" s="7"/>
      <c r="AE140" s="5"/>
    </row>
    <row r="141" spans="2:44" ht="18.75" customHeight="1">
      <c r="B141" s="7">
        <v>440002</v>
      </c>
      <c r="C141" s="7" t="s">
        <v>1471</v>
      </c>
      <c r="D141" s="10" t="s">
        <v>590</v>
      </c>
      <c r="E141" s="7">
        <v>2</v>
      </c>
      <c r="F141" s="7">
        <v>1</v>
      </c>
      <c r="G141" s="7">
        <v>2</v>
      </c>
      <c r="H141" s="6">
        <v>100</v>
      </c>
      <c r="I141" s="7">
        <v>21</v>
      </c>
      <c r="J141" s="7">
        <v>2</v>
      </c>
      <c r="K141" s="7">
        <v>100</v>
      </c>
      <c r="L141" s="6" t="b">
        <v>0</v>
      </c>
      <c r="M141" s="6">
        <v>0</v>
      </c>
      <c r="N141" s="6">
        <v>0</v>
      </c>
      <c r="O141" s="7">
        <v>1</v>
      </c>
      <c r="P141" s="5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5"/>
      <c r="AD141" s="7"/>
      <c r="AE141" s="5"/>
    </row>
    <row r="142" spans="2:44" ht="18.75" customHeight="1">
      <c r="B142" s="7">
        <v>440003</v>
      </c>
      <c r="C142" s="7" t="s">
        <v>1541</v>
      </c>
      <c r="D142" s="10" t="s">
        <v>590</v>
      </c>
      <c r="E142" s="7">
        <v>2</v>
      </c>
      <c r="F142" s="7">
        <v>1</v>
      </c>
      <c r="G142" s="7">
        <v>2</v>
      </c>
      <c r="H142" s="6">
        <v>100</v>
      </c>
      <c r="I142" s="7">
        <v>21</v>
      </c>
      <c r="J142" s="7">
        <v>2</v>
      </c>
      <c r="K142" s="7">
        <v>100</v>
      </c>
      <c r="L142" s="6" t="b">
        <v>0</v>
      </c>
      <c r="M142" s="6">
        <v>0</v>
      </c>
      <c r="N142" s="6">
        <v>0</v>
      </c>
      <c r="O142" s="7">
        <v>1</v>
      </c>
      <c r="P142" s="5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5"/>
      <c r="AD142" s="7"/>
      <c r="AE142" s="5"/>
    </row>
    <row r="143" spans="2:44" ht="18.75" customHeight="1">
      <c r="B143" s="5">
        <v>450001</v>
      </c>
      <c r="C143" s="7" t="s">
        <v>317</v>
      </c>
      <c r="D143" s="10" t="s">
        <v>591</v>
      </c>
      <c r="E143" s="7">
        <v>2</v>
      </c>
      <c r="F143" s="7">
        <v>1</v>
      </c>
      <c r="G143" s="7">
        <v>2</v>
      </c>
      <c r="H143" s="6">
        <v>100</v>
      </c>
      <c r="I143" s="7">
        <v>21</v>
      </c>
      <c r="J143" s="7">
        <v>2</v>
      </c>
      <c r="K143" s="6">
        <v>100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6"/>
      <c r="T143" s="6"/>
      <c r="U143" s="6"/>
      <c r="V143" s="5"/>
      <c r="W143" s="5"/>
      <c r="X143" s="5"/>
      <c r="Y143" s="6"/>
      <c r="Z143" s="6"/>
      <c r="AA143" s="6"/>
      <c r="AB143" s="5"/>
      <c r="AC143" s="5"/>
      <c r="AD143" s="5"/>
      <c r="AE143" s="5"/>
    </row>
    <row r="144" spans="2:44" ht="18.75" customHeight="1">
      <c r="B144" s="5">
        <v>450002</v>
      </c>
      <c r="C144" s="7" t="s">
        <v>1472</v>
      </c>
      <c r="D144" s="10" t="s">
        <v>591</v>
      </c>
      <c r="E144" s="7">
        <v>2</v>
      </c>
      <c r="F144" s="7">
        <v>1</v>
      </c>
      <c r="G144" s="7">
        <v>2</v>
      </c>
      <c r="H144" s="6">
        <v>100</v>
      </c>
      <c r="I144" s="7">
        <v>21</v>
      </c>
      <c r="J144" s="7">
        <v>2</v>
      </c>
      <c r="K144" s="6">
        <v>100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6"/>
      <c r="T144" s="6"/>
      <c r="U144" s="6"/>
      <c r="V144" s="5"/>
      <c r="W144" s="5"/>
      <c r="X144" s="5"/>
      <c r="Y144" s="6"/>
      <c r="Z144" s="6"/>
      <c r="AA144" s="6"/>
      <c r="AB144" s="5"/>
      <c r="AC144" s="5"/>
      <c r="AD144" s="5"/>
      <c r="AE144" s="5"/>
    </row>
    <row r="145" spans="1:52" ht="18.75" customHeight="1">
      <c r="B145" s="5">
        <v>450003</v>
      </c>
      <c r="C145" s="7" t="s">
        <v>1542</v>
      </c>
      <c r="D145" s="10" t="s">
        <v>591</v>
      </c>
      <c r="E145" s="7">
        <v>2</v>
      </c>
      <c r="F145" s="7">
        <v>1</v>
      </c>
      <c r="G145" s="7">
        <v>2</v>
      </c>
      <c r="H145" s="6">
        <v>100</v>
      </c>
      <c r="I145" s="7">
        <v>21</v>
      </c>
      <c r="J145" s="7">
        <v>2</v>
      </c>
      <c r="K145" s="6">
        <v>100</v>
      </c>
      <c r="L145" s="6" t="b">
        <v>0</v>
      </c>
      <c r="M145" s="6">
        <v>0</v>
      </c>
      <c r="N145" s="6">
        <v>0</v>
      </c>
      <c r="O145" s="7">
        <v>1</v>
      </c>
      <c r="P145" s="5">
        <v>0</v>
      </c>
      <c r="Q145" s="7">
        <v>0</v>
      </c>
      <c r="R145" s="5" t="b">
        <v>1</v>
      </c>
      <c r="S145" s="6"/>
      <c r="T145" s="6"/>
      <c r="U145" s="6"/>
      <c r="V145" s="5"/>
      <c r="W145" s="5"/>
      <c r="X145" s="5"/>
      <c r="Y145" s="6"/>
      <c r="Z145" s="6"/>
      <c r="AA145" s="6"/>
      <c r="AB145" s="5"/>
      <c r="AC145" s="5"/>
      <c r="AD145" s="5"/>
      <c r="AE145" s="5"/>
    </row>
    <row r="146" spans="1:52" ht="18.75" customHeight="1">
      <c r="B146" s="7">
        <v>460001</v>
      </c>
      <c r="C146" s="7" t="s">
        <v>318</v>
      </c>
      <c r="D146" s="10" t="s">
        <v>592</v>
      </c>
      <c r="E146" s="6">
        <v>2</v>
      </c>
      <c r="F146" s="6">
        <v>1</v>
      </c>
      <c r="G146" s="6">
        <v>2</v>
      </c>
      <c r="H146" s="6">
        <v>100</v>
      </c>
      <c r="I146" s="7">
        <v>21</v>
      </c>
      <c r="J146" s="6">
        <v>2</v>
      </c>
      <c r="K146" s="7">
        <v>100</v>
      </c>
      <c r="L146" s="6" t="b">
        <v>0</v>
      </c>
      <c r="M146" s="6">
        <v>0</v>
      </c>
      <c r="N146" s="6">
        <v>0</v>
      </c>
      <c r="O146" s="5">
        <v>1</v>
      </c>
      <c r="P146" s="5">
        <v>0</v>
      </c>
      <c r="Q146" s="5">
        <v>0</v>
      </c>
      <c r="R146" s="5" t="b">
        <v>1</v>
      </c>
      <c r="S146" s="7"/>
      <c r="T146" s="7"/>
      <c r="U146" s="6"/>
      <c r="V146" s="7"/>
      <c r="W146" s="7"/>
      <c r="X146" s="7"/>
      <c r="Y146" s="6"/>
      <c r="Z146" s="6"/>
      <c r="AA146" s="6"/>
      <c r="AB146" s="7"/>
      <c r="AC146" s="5"/>
      <c r="AD146" s="7"/>
      <c r="AE146" s="5"/>
    </row>
    <row r="147" spans="1:52" ht="18.75" customHeight="1">
      <c r="B147" s="7">
        <v>460002</v>
      </c>
      <c r="C147" s="7" t="s">
        <v>1473</v>
      </c>
      <c r="D147" s="10" t="s">
        <v>592</v>
      </c>
      <c r="E147" s="6">
        <v>2</v>
      </c>
      <c r="F147" s="6">
        <v>1</v>
      </c>
      <c r="G147" s="6">
        <v>2</v>
      </c>
      <c r="H147" s="6">
        <v>100</v>
      </c>
      <c r="I147" s="7">
        <v>21</v>
      </c>
      <c r="J147" s="6">
        <v>2</v>
      </c>
      <c r="K147" s="7">
        <v>100</v>
      </c>
      <c r="L147" s="6" t="b">
        <v>0</v>
      </c>
      <c r="M147" s="6">
        <v>0</v>
      </c>
      <c r="N147" s="6">
        <v>0</v>
      </c>
      <c r="O147" s="5">
        <v>1</v>
      </c>
      <c r="P147" s="5">
        <v>0</v>
      </c>
      <c r="Q147" s="5">
        <v>0</v>
      </c>
      <c r="R147" s="5" t="b">
        <v>1</v>
      </c>
      <c r="S147" s="7"/>
      <c r="T147" s="7"/>
      <c r="U147" s="6"/>
      <c r="V147" s="7"/>
      <c r="W147" s="7"/>
      <c r="X147" s="7"/>
      <c r="Y147" s="6"/>
      <c r="Z147" s="6"/>
      <c r="AA147" s="6"/>
      <c r="AB147" s="7"/>
      <c r="AC147" s="5"/>
      <c r="AD147" s="7"/>
      <c r="AE147" s="5"/>
    </row>
    <row r="148" spans="1:52" ht="18.75" customHeight="1">
      <c r="B148" s="7">
        <v>460003</v>
      </c>
      <c r="C148" s="7" t="s">
        <v>1543</v>
      </c>
      <c r="D148" s="10" t="s">
        <v>592</v>
      </c>
      <c r="E148" s="6">
        <v>2</v>
      </c>
      <c r="F148" s="6">
        <v>1</v>
      </c>
      <c r="G148" s="6">
        <v>2</v>
      </c>
      <c r="H148" s="6">
        <v>100</v>
      </c>
      <c r="I148" s="7">
        <v>21</v>
      </c>
      <c r="J148" s="6">
        <v>2</v>
      </c>
      <c r="K148" s="7">
        <v>100</v>
      </c>
      <c r="L148" s="6" t="b">
        <v>0</v>
      </c>
      <c r="M148" s="6">
        <v>0</v>
      </c>
      <c r="N148" s="6">
        <v>0</v>
      </c>
      <c r="O148" s="5">
        <v>1</v>
      </c>
      <c r="P148" s="5">
        <v>0</v>
      </c>
      <c r="Q148" s="5">
        <v>0</v>
      </c>
      <c r="R148" s="5" t="b">
        <v>1</v>
      </c>
      <c r="S148" s="7"/>
      <c r="T148" s="7"/>
      <c r="U148" s="6"/>
      <c r="V148" s="7"/>
      <c r="W148" s="7"/>
      <c r="X148" s="7"/>
      <c r="Y148" s="6"/>
      <c r="Z148" s="6"/>
      <c r="AA148" s="6"/>
      <c r="AB148" s="7"/>
      <c r="AC148" s="5"/>
      <c r="AD148" s="7"/>
      <c r="AE148" s="5"/>
    </row>
    <row r="149" spans="1:52" ht="18.75" customHeight="1">
      <c r="B149" s="5">
        <v>470001</v>
      </c>
      <c r="C149" s="7" t="s">
        <v>319</v>
      </c>
      <c r="D149" s="10" t="s">
        <v>593</v>
      </c>
      <c r="E149" s="7">
        <v>2</v>
      </c>
      <c r="F149" s="7">
        <v>1</v>
      </c>
      <c r="G149" s="7">
        <v>2</v>
      </c>
      <c r="H149" s="6">
        <v>100</v>
      </c>
      <c r="I149" s="7">
        <v>21</v>
      </c>
      <c r="J149" s="7">
        <v>2</v>
      </c>
      <c r="K149" s="6">
        <v>100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5"/>
      <c r="AD149" s="7"/>
      <c r="AE149" s="5"/>
    </row>
    <row r="150" spans="1:52" ht="18.75" customHeight="1">
      <c r="B150" s="5">
        <v>470002</v>
      </c>
      <c r="C150" s="7" t="s">
        <v>1474</v>
      </c>
      <c r="D150" s="10" t="s">
        <v>593</v>
      </c>
      <c r="E150" s="7">
        <v>2</v>
      </c>
      <c r="F150" s="7">
        <v>1</v>
      </c>
      <c r="G150" s="7">
        <v>2</v>
      </c>
      <c r="H150" s="6">
        <v>100</v>
      </c>
      <c r="I150" s="7">
        <v>21</v>
      </c>
      <c r="J150" s="7">
        <v>2</v>
      </c>
      <c r="K150" s="6">
        <v>100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5"/>
      <c r="AD150" s="7"/>
      <c r="AE150" s="5"/>
    </row>
    <row r="151" spans="1:52" ht="20.100000000000001" customHeight="1">
      <c r="A151" s="56" t="s">
        <v>107</v>
      </c>
      <c r="B151" s="5">
        <v>470003</v>
      </c>
      <c r="C151" s="7" t="s">
        <v>1544</v>
      </c>
      <c r="D151" s="10" t="s">
        <v>593</v>
      </c>
      <c r="E151" s="7">
        <v>2</v>
      </c>
      <c r="F151" s="7">
        <v>1</v>
      </c>
      <c r="G151" s="7">
        <v>2</v>
      </c>
      <c r="H151" s="6">
        <v>100</v>
      </c>
      <c r="I151" s="7">
        <v>21</v>
      </c>
      <c r="J151" s="7">
        <v>2</v>
      </c>
      <c r="K151" s="6">
        <v>100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5"/>
      <c r="AD151" s="7"/>
      <c r="AE151" s="5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6"/>
      <c r="AT151" s="6"/>
      <c r="AU151" s="6"/>
      <c r="AV151" s="6"/>
      <c r="AW151" s="6"/>
      <c r="AX151" s="6"/>
      <c r="AY151" s="6"/>
      <c r="AZ151" s="6"/>
    </row>
    <row r="152" spans="1:52" ht="18.75" customHeight="1">
      <c r="A152" s="56"/>
      <c r="B152" s="7">
        <v>480001</v>
      </c>
      <c r="C152" s="7" t="s">
        <v>320</v>
      </c>
      <c r="D152" s="10" t="s">
        <v>594</v>
      </c>
      <c r="E152" s="7">
        <v>2</v>
      </c>
      <c r="F152" s="7">
        <v>1</v>
      </c>
      <c r="G152" s="7">
        <v>2</v>
      </c>
      <c r="H152" s="6">
        <v>100</v>
      </c>
      <c r="I152" s="7">
        <v>21</v>
      </c>
      <c r="J152" s="7">
        <v>2</v>
      </c>
      <c r="K152" s="7">
        <v>100</v>
      </c>
      <c r="L152" s="6" t="b">
        <v>0</v>
      </c>
      <c r="M152" s="6">
        <v>0</v>
      </c>
      <c r="N152" s="6">
        <v>0</v>
      </c>
      <c r="O152" s="7">
        <v>1</v>
      </c>
      <c r="P152" s="5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5"/>
      <c r="AD152" s="7"/>
      <c r="AE152" s="5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480002</v>
      </c>
      <c r="C153" s="7" t="s">
        <v>1475</v>
      </c>
      <c r="D153" s="10" t="s">
        <v>594</v>
      </c>
      <c r="E153" s="7">
        <v>2</v>
      </c>
      <c r="F153" s="7">
        <v>1</v>
      </c>
      <c r="G153" s="7">
        <v>2</v>
      </c>
      <c r="H153" s="6">
        <v>100</v>
      </c>
      <c r="I153" s="7">
        <v>21</v>
      </c>
      <c r="J153" s="7">
        <v>2</v>
      </c>
      <c r="K153" s="7">
        <v>100</v>
      </c>
      <c r="L153" s="6" t="b">
        <v>0</v>
      </c>
      <c r="M153" s="6">
        <v>0</v>
      </c>
      <c r="N153" s="6">
        <v>0</v>
      </c>
      <c r="O153" s="7">
        <v>1</v>
      </c>
      <c r="P153" s="5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5"/>
      <c r="AD153" s="7"/>
      <c r="AE153" s="5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7">
        <v>480003</v>
      </c>
      <c r="C154" s="7" t="s">
        <v>1545</v>
      </c>
      <c r="D154" s="10" t="s">
        <v>594</v>
      </c>
      <c r="E154" s="7">
        <v>2</v>
      </c>
      <c r="F154" s="7">
        <v>1</v>
      </c>
      <c r="G154" s="7">
        <v>2</v>
      </c>
      <c r="H154" s="6">
        <v>100</v>
      </c>
      <c r="I154" s="7">
        <v>21</v>
      </c>
      <c r="J154" s="7">
        <v>2</v>
      </c>
      <c r="K154" s="7">
        <v>100</v>
      </c>
      <c r="L154" s="6" t="b">
        <v>0</v>
      </c>
      <c r="M154" s="6">
        <v>0</v>
      </c>
      <c r="N154" s="6">
        <v>0</v>
      </c>
      <c r="O154" s="7">
        <v>1</v>
      </c>
      <c r="P154" s="5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5"/>
      <c r="AD154" s="7"/>
      <c r="AE154" s="5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490001</v>
      </c>
      <c r="C155" s="7" t="s">
        <v>321</v>
      </c>
      <c r="D155" s="10" t="s">
        <v>595</v>
      </c>
      <c r="E155" s="7">
        <v>2</v>
      </c>
      <c r="F155" s="7">
        <v>1</v>
      </c>
      <c r="G155" s="7">
        <v>2</v>
      </c>
      <c r="H155" s="6">
        <v>100</v>
      </c>
      <c r="I155" s="7">
        <v>21</v>
      </c>
      <c r="J155" s="7">
        <v>2</v>
      </c>
      <c r="K155" s="6">
        <v>100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6"/>
      <c r="T155" s="6"/>
      <c r="U155" s="6"/>
      <c r="V155" s="5"/>
      <c r="W155" s="5"/>
      <c r="X155" s="5"/>
      <c r="Y155" s="6"/>
      <c r="Z155" s="6"/>
      <c r="AA155" s="6"/>
      <c r="AB155" s="5"/>
      <c r="AC155" s="5"/>
      <c r="AD155" s="5"/>
      <c r="AE155" s="5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490002</v>
      </c>
      <c r="C156" s="7" t="s">
        <v>1476</v>
      </c>
      <c r="D156" s="10" t="s">
        <v>595</v>
      </c>
      <c r="E156" s="7">
        <v>2</v>
      </c>
      <c r="F156" s="7">
        <v>1</v>
      </c>
      <c r="G156" s="7">
        <v>2</v>
      </c>
      <c r="H156" s="6">
        <v>100</v>
      </c>
      <c r="I156" s="7">
        <v>21</v>
      </c>
      <c r="J156" s="7">
        <v>2</v>
      </c>
      <c r="K156" s="6">
        <v>100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6"/>
      <c r="T156" s="6"/>
      <c r="U156" s="6"/>
      <c r="V156" s="5"/>
      <c r="W156" s="5"/>
      <c r="X156" s="5"/>
      <c r="Y156" s="6"/>
      <c r="Z156" s="6"/>
      <c r="AA156" s="6"/>
      <c r="AB156" s="5"/>
      <c r="AC156" s="5"/>
      <c r="AD156" s="5"/>
      <c r="AE156" s="5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5">
        <v>490003</v>
      </c>
      <c r="C157" s="7" t="s">
        <v>1546</v>
      </c>
      <c r="D157" s="10" t="s">
        <v>595</v>
      </c>
      <c r="E157" s="7">
        <v>2</v>
      </c>
      <c r="F157" s="7">
        <v>1</v>
      </c>
      <c r="G157" s="7">
        <v>2</v>
      </c>
      <c r="H157" s="6">
        <v>100</v>
      </c>
      <c r="I157" s="7">
        <v>21</v>
      </c>
      <c r="J157" s="7">
        <v>2</v>
      </c>
      <c r="K157" s="6">
        <v>100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6"/>
      <c r="T157" s="6"/>
      <c r="U157" s="6"/>
      <c r="V157" s="5"/>
      <c r="W157" s="5"/>
      <c r="X157" s="5"/>
      <c r="Y157" s="6"/>
      <c r="Z157" s="6"/>
      <c r="AA157" s="6"/>
      <c r="AB157" s="5"/>
      <c r="AC157" s="5"/>
      <c r="AD157" s="5"/>
      <c r="AE157" s="5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500001</v>
      </c>
      <c r="C158" s="7" t="s">
        <v>322</v>
      </c>
      <c r="D158" s="10" t="s">
        <v>596</v>
      </c>
      <c r="E158" s="7">
        <v>2</v>
      </c>
      <c r="F158" s="7">
        <v>1</v>
      </c>
      <c r="G158" s="7">
        <v>2</v>
      </c>
      <c r="H158" s="6">
        <v>100</v>
      </c>
      <c r="I158" s="7">
        <v>21</v>
      </c>
      <c r="J158" s="7">
        <v>2</v>
      </c>
      <c r="K158" s="7">
        <v>100</v>
      </c>
      <c r="L158" s="6" t="b">
        <v>0</v>
      </c>
      <c r="M158" s="6">
        <v>0</v>
      </c>
      <c r="N158" s="6">
        <v>0</v>
      </c>
      <c r="O158" s="7">
        <v>1</v>
      </c>
      <c r="P158" s="5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5"/>
      <c r="AD158" s="7"/>
      <c r="AE158" s="5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500002</v>
      </c>
      <c r="C159" s="7" t="s">
        <v>1477</v>
      </c>
      <c r="D159" s="10" t="s">
        <v>596</v>
      </c>
      <c r="E159" s="7">
        <v>2</v>
      </c>
      <c r="F159" s="7">
        <v>1</v>
      </c>
      <c r="G159" s="7">
        <v>2</v>
      </c>
      <c r="H159" s="6">
        <v>100</v>
      </c>
      <c r="I159" s="7">
        <v>21</v>
      </c>
      <c r="J159" s="7">
        <v>2</v>
      </c>
      <c r="K159" s="7">
        <v>100</v>
      </c>
      <c r="L159" s="6" t="b">
        <v>0</v>
      </c>
      <c r="M159" s="6">
        <v>0</v>
      </c>
      <c r="N159" s="6">
        <v>0</v>
      </c>
      <c r="O159" s="7">
        <v>1</v>
      </c>
      <c r="P159" s="5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5"/>
      <c r="AD159" s="7"/>
      <c r="AE159" s="5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7">
        <v>500003</v>
      </c>
      <c r="C160" s="7" t="s">
        <v>1547</v>
      </c>
      <c r="D160" s="10" t="s">
        <v>596</v>
      </c>
      <c r="E160" s="7">
        <v>2</v>
      </c>
      <c r="F160" s="7">
        <v>1</v>
      </c>
      <c r="G160" s="7">
        <v>2</v>
      </c>
      <c r="H160" s="6">
        <v>100</v>
      </c>
      <c r="I160" s="7">
        <v>21</v>
      </c>
      <c r="J160" s="7">
        <v>2</v>
      </c>
      <c r="K160" s="7">
        <v>100</v>
      </c>
      <c r="L160" s="6" t="b">
        <v>0</v>
      </c>
      <c r="M160" s="6">
        <v>0</v>
      </c>
      <c r="N160" s="6">
        <v>0</v>
      </c>
      <c r="O160" s="7">
        <v>1</v>
      </c>
      <c r="P160" s="5">
        <v>0</v>
      </c>
      <c r="Q160" s="7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5"/>
      <c r="AD160" s="7"/>
      <c r="AE160" s="5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510001</v>
      </c>
      <c r="C161" s="7" t="s">
        <v>323</v>
      </c>
      <c r="D161" s="10" t="s">
        <v>597</v>
      </c>
      <c r="E161" s="6">
        <v>2</v>
      </c>
      <c r="F161" s="6">
        <v>1</v>
      </c>
      <c r="G161" s="6">
        <v>2</v>
      </c>
      <c r="H161" s="6">
        <v>100</v>
      </c>
      <c r="I161" s="7">
        <v>21</v>
      </c>
      <c r="J161" s="6">
        <v>2</v>
      </c>
      <c r="K161" s="6">
        <v>100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7"/>
      <c r="T161" s="7"/>
      <c r="U161" s="6"/>
      <c r="V161" s="7"/>
      <c r="W161" s="7"/>
      <c r="X161" s="7"/>
      <c r="Y161" s="6"/>
      <c r="Z161" s="6"/>
      <c r="AA161" s="6"/>
      <c r="AB161" s="7"/>
      <c r="AC161" s="5"/>
      <c r="AD161" s="7"/>
      <c r="AE161" s="5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510002</v>
      </c>
      <c r="C162" s="7" t="s">
        <v>1478</v>
      </c>
      <c r="D162" s="10" t="s">
        <v>597</v>
      </c>
      <c r="E162" s="6">
        <v>2</v>
      </c>
      <c r="F162" s="6">
        <v>1</v>
      </c>
      <c r="G162" s="6">
        <v>2</v>
      </c>
      <c r="H162" s="6">
        <v>100</v>
      </c>
      <c r="I162" s="7">
        <v>21</v>
      </c>
      <c r="J162" s="6">
        <v>2</v>
      </c>
      <c r="K162" s="6">
        <v>100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7"/>
      <c r="T162" s="7"/>
      <c r="U162" s="6"/>
      <c r="V162" s="7"/>
      <c r="W162" s="7"/>
      <c r="X162" s="7"/>
      <c r="Y162" s="6"/>
      <c r="Z162" s="6"/>
      <c r="AA162" s="6"/>
      <c r="AB162" s="7"/>
      <c r="AC162" s="5"/>
      <c r="AD162" s="7"/>
      <c r="AE162" s="5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5">
        <v>510003</v>
      </c>
      <c r="C163" s="7" t="s">
        <v>1548</v>
      </c>
      <c r="D163" s="10" t="s">
        <v>597</v>
      </c>
      <c r="E163" s="6">
        <v>2</v>
      </c>
      <c r="F163" s="6">
        <v>1</v>
      </c>
      <c r="G163" s="6">
        <v>2</v>
      </c>
      <c r="H163" s="6">
        <v>100</v>
      </c>
      <c r="I163" s="7">
        <v>21</v>
      </c>
      <c r="J163" s="6">
        <v>2</v>
      </c>
      <c r="K163" s="6">
        <v>100</v>
      </c>
      <c r="L163" s="6" t="b">
        <v>0</v>
      </c>
      <c r="M163" s="6">
        <v>0</v>
      </c>
      <c r="N163" s="6">
        <v>0</v>
      </c>
      <c r="O163" s="5">
        <v>1</v>
      </c>
      <c r="P163" s="5">
        <v>0</v>
      </c>
      <c r="Q163" s="5">
        <v>0</v>
      </c>
      <c r="R163" s="5" t="b">
        <v>1</v>
      </c>
      <c r="S163" s="7"/>
      <c r="T163" s="7"/>
      <c r="U163" s="6"/>
      <c r="V163" s="7"/>
      <c r="W163" s="7"/>
      <c r="X163" s="7"/>
      <c r="Y163" s="6"/>
      <c r="Z163" s="6"/>
      <c r="AA163" s="6"/>
      <c r="AB163" s="7"/>
      <c r="AC163" s="5"/>
      <c r="AD163" s="7"/>
      <c r="AE163" s="5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520001</v>
      </c>
      <c r="C164" s="7" t="s">
        <v>324</v>
      </c>
      <c r="D164" s="10" t="s">
        <v>598</v>
      </c>
      <c r="E164" s="7">
        <v>2</v>
      </c>
      <c r="F164" s="7">
        <v>1</v>
      </c>
      <c r="G164" s="7">
        <v>2</v>
      </c>
      <c r="H164" s="6">
        <v>100</v>
      </c>
      <c r="I164" s="7">
        <v>21</v>
      </c>
      <c r="J164" s="7">
        <v>2</v>
      </c>
      <c r="K164" s="7">
        <v>100</v>
      </c>
      <c r="L164" s="6" t="b">
        <v>0</v>
      </c>
      <c r="M164" s="6">
        <v>0</v>
      </c>
      <c r="N164" s="6">
        <v>0</v>
      </c>
      <c r="O164" s="7">
        <v>1</v>
      </c>
      <c r="P164" s="5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5"/>
      <c r="AD164" s="7"/>
      <c r="AE164" s="5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7"/>
      <c r="AT164" s="7"/>
      <c r="AU164" s="7"/>
      <c r="AV164" s="7"/>
      <c r="AW164" s="7"/>
      <c r="AX164" s="7"/>
      <c r="AY164" s="7"/>
      <c r="AZ164" s="7"/>
    </row>
    <row r="165" spans="1:52" ht="18.75" customHeight="1">
      <c r="A165" s="8"/>
      <c r="B165" s="7">
        <v>520002</v>
      </c>
      <c r="C165" s="7" t="s">
        <v>1479</v>
      </c>
      <c r="D165" s="10" t="s">
        <v>598</v>
      </c>
      <c r="E165" s="7">
        <v>2</v>
      </c>
      <c r="F165" s="7">
        <v>1</v>
      </c>
      <c r="G165" s="7">
        <v>2</v>
      </c>
      <c r="H165" s="6">
        <v>100</v>
      </c>
      <c r="I165" s="7">
        <v>21</v>
      </c>
      <c r="J165" s="7">
        <v>2</v>
      </c>
      <c r="K165" s="7">
        <v>100</v>
      </c>
      <c r="L165" s="6" t="b">
        <v>0</v>
      </c>
      <c r="M165" s="6">
        <v>0</v>
      </c>
      <c r="N165" s="6">
        <v>0</v>
      </c>
      <c r="O165" s="7">
        <v>1</v>
      </c>
      <c r="P165" s="5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5"/>
      <c r="AD165" s="7"/>
      <c r="AE165" s="5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7"/>
      <c r="AT165" s="7"/>
      <c r="AU165" s="7"/>
      <c r="AV165" s="7"/>
      <c r="AW165" s="7"/>
      <c r="AX165" s="7"/>
      <c r="AY165" s="7"/>
      <c r="AZ165" s="7"/>
    </row>
    <row r="166" spans="1:52" ht="18.75" customHeight="1">
      <c r="A166" s="8"/>
      <c r="B166" s="7">
        <v>520003</v>
      </c>
      <c r="C166" s="7" t="s">
        <v>1549</v>
      </c>
      <c r="D166" s="10" t="s">
        <v>598</v>
      </c>
      <c r="E166" s="7">
        <v>2</v>
      </c>
      <c r="F166" s="7">
        <v>1</v>
      </c>
      <c r="G166" s="7">
        <v>2</v>
      </c>
      <c r="H166" s="6">
        <v>100</v>
      </c>
      <c r="I166" s="7">
        <v>21</v>
      </c>
      <c r="J166" s="7">
        <v>2</v>
      </c>
      <c r="K166" s="7">
        <v>100</v>
      </c>
      <c r="L166" s="6" t="b">
        <v>0</v>
      </c>
      <c r="M166" s="6">
        <v>0</v>
      </c>
      <c r="N166" s="6">
        <v>0</v>
      </c>
      <c r="O166" s="7">
        <v>1</v>
      </c>
      <c r="P166" s="5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5"/>
      <c r="AD166" s="7"/>
      <c r="AE166" s="5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530001</v>
      </c>
      <c r="C167" s="7" t="s">
        <v>325</v>
      </c>
      <c r="D167" s="10" t="s">
        <v>599</v>
      </c>
      <c r="E167" s="7">
        <v>2</v>
      </c>
      <c r="F167" s="7">
        <v>1</v>
      </c>
      <c r="G167" s="7">
        <v>2</v>
      </c>
      <c r="H167" s="6">
        <v>100</v>
      </c>
      <c r="I167" s="7">
        <v>21</v>
      </c>
      <c r="J167" s="7">
        <v>2</v>
      </c>
      <c r="K167" s="6">
        <v>100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6"/>
      <c r="T167" s="6"/>
      <c r="U167" s="6"/>
      <c r="V167" s="5"/>
      <c r="W167" s="5"/>
      <c r="X167" s="5"/>
      <c r="Y167" s="6"/>
      <c r="Z167" s="6"/>
      <c r="AA167" s="6"/>
      <c r="AB167" s="5"/>
      <c r="AC167" s="5"/>
      <c r="AD167" s="5"/>
      <c r="AE167" s="5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530002</v>
      </c>
      <c r="C168" s="7" t="s">
        <v>1480</v>
      </c>
      <c r="D168" s="10" t="s">
        <v>599</v>
      </c>
      <c r="E168" s="7">
        <v>2</v>
      </c>
      <c r="F168" s="7">
        <v>1</v>
      </c>
      <c r="G168" s="7">
        <v>2</v>
      </c>
      <c r="H168" s="6">
        <v>100</v>
      </c>
      <c r="I168" s="7">
        <v>21</v>
      </c>
      <c r="J168" s="7">
        <v>2</v>
      </c>
      <c r="K168" s="6">
        <v>100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6"/>
      <c r="T168" s="6"/>
      <c r="U168" s="6"/>
      <c r="V168" s="5"/>
      <c r="W168" s="5"/>
      <c r="X168" s="5"/>
      <c r="Y168" s="6"/>
      <c r="Z168" s="6"/>
      <c r="AA168" s="6"/>
      <c r="AB168" s="5"/>
      <c r="AC168" s="5"/>
      <c r="AD168" s="5"/>
      <c r="AE168" s="5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7"/>
      <c r="AT168" s="7"/>
      <c r="AU168" s="7"/>
      <c r="AV168" s="7"/>
      <c r="AW168" s="7"/>
      <c r="AX168" s="7"/>
      <c r="AY168" s="7"/>
      <c r="AZ168" s="7"/>
    </row>
    <row r="169" spans="1:52" ht="18.75" customHeight="1">
      <c r="A169" s="8"/>
      <c r="B169" s="5">
        <v>530003</v>
      </c>
      <c r="C169" s="7" t="s">
        <v>1550</v>
      </c>
      <c r="D169" s="10" t="s">
        <v>599</v>
      </c>
      <c r="E169" s="7">
        <v>2</v>
      </c>
      <c r="F169" s="7">
        <v>1</v>
      </c>
      <c r="G169" s="7">
        <v>2</v>
      </c>
      <c r="H169" s="6">
        <v>100</v>
      </c>
      <c r="I169" s="7">
        <v>21</v>
      </c>
      <c r="J169" s="7">
        <v>2</v>
      </c>
      <c r="K169" s="6">
        <v>100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6"/>
      <c r="T169" s="6"/>
      <c r="U169" s="6"/>
      <c r="V169" s="5"/>
      <c r="W169" s="5"/>
      <c r="X169" s="5"/>
      <c r="Y169" s="6"/>
      <c r="Z169" s="6"/>
      <c r="AA169" s="6"/>
      <c r="AB169" s="5"/>
      <c r="AC169" s="5"/>
      <c r="AD169" s="5"/>
      <c r="AE169" s="5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7"/>
      <c r="AT169" s="7"/>
      <c r="AU169" s="7"/>
      <c r="AV169" s="7"/>
      <c r="AW169" s="7"/>
      <c r="AX169" s="7"/>
      <c r="AY169" s="7"/>
      <c r="AZ169" s="7"/>
    </row>
    <row r="170" spans="1:52" ht="19.5" customHeight="1">
      <c r="A170" s="8"/>
      <c r="B170" s="7">
        <v>540001</v>
      </c>
      <c r="C170" s="7" t="s">
        <v>326</v>
      </c>
      <c r="D170" s="10" t="s">
        <v>600</v>
      </c>
      <c r="E170" s="7">
        <v>2</v>
      </c>
      <c r="F170" s="7">
        <v>1</v>
      </c>
      <c r="G170" s="7">
        <v>2</v>
      </c>
      <c r="H170" s="6">
        <v>100</v>
      </c>
      <c r="I170" s="7">
        <v>21</v>
      </c>
      <c r="J170" s="7">
        <v>2</v>
      </c>
      <c r="K170" s="7">
        <v>100</v>
      </c>
      <c r="L170" s="6" t="b">
        <v>0</v>
      </c>
      <c r="M170" s="6">
        <v>0</v>
      </c>
      <c r="N170" s="6">
        <v>0</v>
      </c>
      <c r="O170" s="7">
        <v>1</v>
      </c>
      <c r="P170" s="5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5"/>
      <c r="AD170" s="7"/>
      <c r="AE170" s="5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7"/>
      <c r="AT170" s="7"/>
      <c r="AU170" s="7"/>
      <c r="AV170" s="7"/>
      <c r="AW170" s="7"/>
      <c r="AX170" s="7"/>
      <c r="AY170" s="7"/>
      <c r="AZ170" s="7"/>
    </row>
    <row r="171" spans="1:52" ht="18.75" customHeight="1">
      <c r="A171" s="8"/>
      <c r="B171" s="7">
        <v>540002</v>
      </c>
      <c r="C171" s="7" t="s">
        <v>1481</v>
      </c>
      <c r="D171" s="10" t="s">
        <v>600</v>
      </c>
      <c r="E171" s="7">
        <v>2</v>
      </c>
      <c r="F171" s="7">
        <v>1</v>
      </c>
      <c r="G171" s="7">
        <v>2</v>
      </c>
      <c r="H171" s="6">
        <v>100</v>
      </c>
      <c r="I171" s="7">
        <v>21</v>
      </c>
      <c r="J171" s="7">
        <v>2</v>
      </c>
      <c r="K171" s="7">
        <v>100</v>
      </c>
      <c r="L171" s="6" t="b">
        <v>0</v>
      </c>
      <c r="M171" s="6">
        <v>0</v>
      </c>
      <c r="N171" s="6">
        <v>0</v>
      </c>
      <c r="O171" s="7">
        <v>1</v>
      </c>
      <c r="P171" s="5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5"/>
      <c r="AD171" s="7"/>
      <c r="AE171" s="5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7"/>
      <c r="AT171" s="7"/>
      <c r="AU171" s="7"/>
      <c r="AV171" s="7"/>
      <c r="AW171" s="7"/>
      <c r="AX171" s="7"/>
      <c r="AY171" s="7"/>
      <c r="AZ171" s="7"/>
    </row>
    <row r="172" spans="1:52" ht="42" customHeight="1">
      <c r="A172" s="8"/>
      <c r="B172" s="7">
        <v>540003</v>
      </c>
      <c r="C172" s="7" t="s">
        <v>1551</v>
      </c>
      <c r="D172" s="10" t="s">
        <v>600</v>
      </c>
      <c r="E172" s="7">
        <v>2</v>
      </c>
      <c r="F172" s="7">
        <v>1</v>
      </c>
      <c r="G172" s="7">
        <v>2</v>
      </c>
      <c r="H172" s="6">
        <v>100</v>
      </c>
      <c r="I172" s="7">
        <v>21</v>
      </c>
      <c r="J172" s="7">
        <v>2</v>
      </c>
      <c r="K172" s="7">
        <v>100</v>
      </c>
      <c r="L172" s="6" t="b">
        <v>0</v>
      </c>
      <c r="M172" s="6">
        <v>0</v>
      </c>
      <c r="N172" s="6">
        <v>0</v>
      </c>
      <c r="O172" s="7">
        <v>1</v>
      </c>
      <c r="P172" s="5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5"/>
      <c r="AD172" s="7"/>
      <c r="AE172" s="5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7"/>
      <c r="AT172" s="7"/>
      <c r="AU172" s="7"/>
      <c r="AV172" s="7"/>
      <c r="AW172" s="7"/>
      <c r="AX172" s="7"/>
      <c r="AY172" s="7"/>
      <c r="AZ172" s="7"/>
    </row>
    <row r="173" spans="1:52" ht="42" customHeight="1">
      <c r="A173" s="8"/>
      <c r="B173" s="5">
        <v>550001</v>
      </c>
      <c r="C173" s="7" t="s">
        <v>327</v>
      </c>
      <c r="D173" s="10" t="s">
        <v>601</v>
      </c>
      <c r="E173" s="7">
        <v>2</v>
      </c>
      <c r="F173" s="7">
        <v>1</v>
      </c>
      <c r="G173" s="7">
        <v>2</v>
      </c>
      <c r="H173" s="6">
        <v>100</v>
      </c>
      <c r="I173" s="7">
        <v>21</v>
      </c>
      <c r="J173" s="7">
        <v>2</v>
      </c>
      <c r="K173" s="6">
        <v>100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5"/>
      <c r="AD173" s="7"/>
      <c r="AE173" s="5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7"/>
      <c r="AT173" s="7"/>
      <c r="AU173" s="7"/>
      <c r="AV173" s="7"/>
      <c r="AW173" s="7"/>
      <c r="AX173" s="7"/>
      <c r="AY173" s="7"/>
      <c r="AZ173" s="7"/>
    </row>
    <row r="174" spans="1:52" ht="42" customHeight="1">
      <c r="A174" s="8"/>
      <c r="B174" s="5">
        <v>550002</v>
      </c>
      <c r="C174" s="7" t="s">
        <v>1482</v>
      </c>
      <c r="D174" s="10" t="s">
        <v>601</v>
      </c>
      <c r="E174" s="7">
        <v>2</v>
      </c>
      <c r="F174" s="7">
        <v>1</v>
      </c>
      <c r="G174" s="7">
        <v>2</v>
      </c>
      <c r="H174" s="6">
        <v>100</v>
      </c>
      <c r="I174" s="7">
        <v>21</v>
      </c>
      <c r="J174" s="7">
        <v>2</v>
      </c>
      <c r="K174" s="6">
        <v>100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5"/>
      <c r="AD174" s="7"/>
      <c r="AE174" s="5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7"/>
      <c r="AT174" s="7"/>
      <c r="AU174" s="7"/>
      <c r="AV174" s="7"/>
      <c r="AW174" s="7"/>
      <c r="AX174" s="7"/>
      <c r="AY174" s="7"/>
      <c r="AZ174" s="7"/>
    </row>
    <row r="175" spans="1:52" ht="42" customHeight="1">
      <c r="A175" s="8"/>
      <c r="B175" s="5">
        <v>550003</v>
      </c>
      <c r="C175" s="7" t="s">
        <v>1552</v>
      </c>
      <c r="D175" s="10" t="s">
        <v>601</v>
      </c>
      <c r="E175" s="7">
        <v>2</v>
      </c>
      <c r="F175" s="7">
        <v>1</v>
      </c>
      <c r="G175" s="7">
        <v>2</v>
      </c>
      <c r="H175" s="6">
        <v>100</v>
      </c>
      <c r="I175" s="7">
        <v>21</v>
      </c>
      <c r="J175" s="7">
        <v>2</v>
      </c>
      <c r="K175" s="6">
        <v>100</v>
      </c>
      <c r="L175" s="6" t="b">
        <v>0</v>
      </c>
      <c r="M175" s="6">
        <v>0</v>
      </c>
      <c r="N175" s="6">
        <v>0</v>
      </c>
      <c r="O175" s="7">
        <v>1</v>
      </c>
      <c r="P175" s="5">
        <v>0</v>
      </c>
      <c r="Q175" s="7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5"/>
      <c r="AD175" s="7"/>
      <c r="AE175" s="5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560001</v>
      </c>
      <c r="C176" s="7" t="s">
        <v>328</v>
      </c>
      <c r="D176" s="10" t="s">
        <v>602</v>
      </c>
      <c r="E176" s="6">
        <v>2</v>
      </c>
      <c r="F176" s="6">
        <v>1</v>
      </c>
      <c r="G176" s="6">
        <v>2</v>
      </c>
      <c r="H176" s="6">
        <v>100</v>
      </c>
      <c r="I176" s="7">
        <v>21</v>
      </c>
      <c r="J176" s="6">
        <v>2</v>
      </c>
      <c r="K176" s="7">
        <v>100</v>
      </c>
      <c r="L176" s="6" t="b">
        <v>0</v>
      </c>
      <c r="M176" s="6">
        <v>0</v>
      </c>
      <c r="N176" s="6">
        <v>0</v>
      </c>
      <c r="O176" s="5">
        <v>1</v>
      </c>
      <c r="P176" s="5">
        <v>0</v>
      </c>
      <c r="Q176" s="5">
        <v>0</v>
      </c>
      <c r="R176" s="5" t="b">
        <v>1</v>
      </c>
      <c r="S176" s="7"/>
      <c r="T176" s="7"/>
      <c r="U176" s="6"/>
      <c r="V176" s="7"/>
      <c r="W176" s="7"/>
      <c r="X176" s="7"/>
      <c r="Y176" s="6"/>
      <c r="Z176" s="6"/>
      <c r="AA176" s="6"/>
      <c r="AB176" s="7"/>
      <c r="AC176" s="5"/>
      <c r="AD176" s="7"/>
      <c r="AE176" s="5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560002</v>
      </c>
      <c r="C177" s="7" t="s">
        <v>1483</v>
      </c>
      <c r="D177" s="10" t="s">
        <v>602</v>
      </c>
      <c r="E177" s="6">
        <v>2</v>
      </c>
      <c r="F177" s="6">
        <v>1</v>
      </c>
      <c r="G177" s="6">
        <v>2</v>
      </c>
      <c r="H177" s="6">
        <v>100</v>
      </c>
      <c r="I177" s="7">
        <v>21</v>
      </c>
      <c r="J177" s="6">
        <v>2</v>
      </c>
      <c r="K177" s="7">
        <v>100</v>
      </c>
      <c r="L177" s="6" t="b">
        <v>0</v>
      </c>
      <c r="M177" s="6">
        <v>0</v>
      </c>
      <c r="N177" s="6">
        <v>0</v>
      </c>
      <c r="O177" s="5">
        <v>1</v>
      </c>
      <c r="P177" s="5">
        <v>0</v>
      </c>
      <c r="Q177" s="5">
        <v>0</v>
      </c>
      <c r="R177" s="5" t="b">
        <v>1</v>
      </c>
      <c r="S177" s="7"/>
      <c r="T177" s="7"/>
      <c r="U177" s="6"/>
      <c r="V177" s="7"/>
      <c r="W177" s="7"/>
      <c r="X177" s="7"/>
      <c r="Y177" s="6"/>
      <c r="Z177" s="6"/>
      <c r="AA177" s="6"/>
      <c r="AB177" s="7"/>
      <c r="AC177" s="5"/>
      <c r="AD177" s="7"/>
      <c r="AE177" s="5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7"/>
      <c r="AT177" s="7"/>
      <c r="AU177" s="7"/>
      <c r="AV177" s="7"/>
      <c r="AW177" s="7"/>
      <c r="AX177" s="7"/>
      <c r="AY177" s="7"/>
      <c r="AZ177" s="7"/>
    </row>
    <row r="178" spans="1:52" ht="18.75" customHeight="1">
      <c r="A178" s="8"/>
      <c r="B178" s="7">
        <v>560003</v>
      </c>
      <c r="C178" s="7" t="s">
        <v>1553</v>
      </c>
      <c r="D178" s="10" t="s">
        <v>602</v>
      </c>
      <c r="E178" s="6">
        <v>2</v>
      </c>
      <c r="F178" s="6">
        <v>1</v>
      </c>
      <c r="G178" s="6">
        <v>2</v>
      </c>
      <c r="H178" s="6">
        <v>100</v>
      </c>
      <c r="I178" s="7">
        <v>21</v>
      </c>
      <c r="J178" s="6">
        <v>2</v>
      </c>
      <c r="K178" s="7">
        <v>100</v>
      </c>
      <c r="L178" s="6" t="b">
        <v>0</v>
      </c>
      <c r="M178" s="6">
        <v>0</v>
      </c>
      <c r="N178" s="6">
        <v>0</v>
      </c>
      <c r="O178" s="5">
        <v>1</v>
      </c>
      <c r="P178" s="5">
        <v>0</v>
      </c>
      <c r="Q178" s="5">
        <v>0</v>
      </c>
      <c r="R178" s="5" t="b">
        <v>1</v>
      </c>
      <c r="S178" s="7"/>
      <c r="T178" s="7"/>
      <c r="U178" s="6"/>
      <c r="V178" s="7"/>
      <c r="W178" s="7"/>
      <c r="X178" s="7"/>
      <c r="Y178" s="6"/>
      <c r="Z178" s="6"/>
      <c r="AA178" s="6"/>
      <c r="AB178" s="7"/>
      <c r="AC178" s="5"/>
      <c r="AD178" s="7"/>
      <c r="AE178" s="5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7"/>
      <c r="AT178" s="7"/>
      <c r="AU178" s="7"/>
      <c r="AV178" s="7"/>
      <c r="AW178" s="7"/>
      <c r="AX178" s="7"/>
      <c r="AY178" s="7"/>
      <c r="AZ178" s="7"/>
    </row>
    <row r="179" spans="1:52" ht="30.75" customHeight="1">
      <c r="A179" s="8"/>
      <c r="B179" s="5">
        <v>570001</v>
      </c>
      <c r="C179" s="7" t="s">
        <v>329</v>
      </c>
      <c r="D179" s="10" t="s">
        <v>603</v>
      </c>
      <c r="E179" s="7">
        <v>2</v>
      </c>
      <c r="F179" s="7">
        <v>1</v>
      </c>
      <c r="G179" s="7">
        <v>2</v>
      </c>
      <c r="H179" s="6">
        <v>100</v>
      </c>
      <c r="I179" s="7">
        <v>21</v>
      </c>
      <c r="J179" s="7">
        <v>2</v>
      </c>
      <c r="K179" s="6">
        <v>100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6"/>
      <c r="T179" s="6"/>
      <c r="U179" s="6"/>
      <c r="V179" s="5"/>
      <c r="W179" s="5"/>
      <c r="X179" s="5"/>
      <c r="Y179" s="6"/>
      <c r="Z179" s="6"/>
      <c r="AA179" s="6"/>
      <c r="AB179" s="5"/>
      <c r="AC179" s="5"/>
      <c r="AD179" s="5"/>
      <c r="AE179" s="5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7"/>
      <c r="AT179" s="7"/>
      <c r="AU179" s="7"/>
      <c r="AV179" s="7"/>
      <c r="AW179" s="7"/>
      <c r="AX179" s="7"/>
      <c r="AY179" s="7"/>
      <c r="AZ179" s="7"/>
    </row>
    <row r="180" spans="1:52" ht="30.75" customHeight="1">
      <c r="A180" s="8"/>
      <c r="B180" s="5">
        <v>570002</v>
      </c>
      <c r="C180" s="7" t="s">
        <v>1484</v>
      </c>
      <c r="D180" s="10" t="s">
        <v>603</v>
      </c>
      <c r="E180" s="7">
        <v>2</v>
      </c>
      <c r="F180" s="7">
        <v>1</v>
      </c>
      <c r="G180" s="7">
        <v>2</v>
      </c>
      <c r="H180" s="6">
        <v>100</v>
      </c>
      <c r="I180" s="7">
        <v>21</v>
      </c>
      <c r="J180" s="7">
        <v>2</v>
      </c>
      <c r="K180" s="6">
        <v>100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6"/>
      <c r="T180" s="6"/>
      <c r="U180" s="6"/>
      <c r="V180" s="5"/>
      <c r="W180" s="5"/>
      <c r="X180" s="5"/>
      <c r="Y180" s="6"/>
      <c r="Z180" s="6"/>
      <c r="AA180" s="6"/>
      <c r="AB180" s="5"/>
      <c r="AC180" s="5"/>
      <c r="AD180" s="5"/>
      <c r="AE180" s="5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7"/>
      <c r="AT180" s="7"/>
      <c r="AU180" s="7"/>
      <c r="AV180" s="7"/>
      <c r="AW180" s="7"/>
      <c r="AX180" s="7"/>
      <c r="AY180" s="7"/>
      <c r="AZ180" s="7"/>
    </row>
    <row r="181" spans="1:52" ht="30.75" customHeight="1">
      <c r="A181" s="8"/>
      <c r="B181" s="5">
        <v>570003</v>
      </c>
      <c r="C181" s="7" t="s">
        <v>1554</v>
      </c>
      <c r="D181" s="10" t="s">
        <v>603</v>
      </c>
      <c r="E181" s="7">
        <v>2</v>
      </c>
      <c r="F181" s="7">
        <v>1</v>
      </c>
      <c r="G181" s="7">
        <v>2</v>
      </c>
      <c r="H181" s="6">
        <v>100</v>
      </c>
      <c r="I181" s="7">
        <v>21</v>
      </c>
      <c r="J181" s="7">
        <v>2</v>
      </c>
      <c r="K181" s="6">
        <v>100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6"/>
      <c r="T181" s="6"/>
      <c r="U181" s="6"/>
      <c r="V181" s="5"/>
      <c r="W181" s="5"/>
      <c r="X181" s="5"/>
      <c r="Y181" s="6"/>
      <c r="Z181" s="6"/>
      <c r="AA181" s="6"/>
      <c r="AB181" s="5"/>
      <c r="AC181" s="5"/>
      <c r="AD181" s="5"/>
      <c r="AE181" s="5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7"/>
      <c r="AT181" s="7"/>
      <c r="AU181" s="7"/>
      <c r="AV181" s="7"/>
      <c r="AW181" s="7"/>
      <c r="AX181" s="7"/>
      <c r="AY181" s="7"/>
      <c r="AZ181" s="7"/>
    </row>
    <row r="182" spans="1:52" ht="30.75" customHeight="1">
      <c r="A182" s="8"/>
      <c r="B182" s="7">
        <v>580001</v>
      </c>
      <c r="C182" s="7" t="s">
        <v>330</v>
      </c>
      <c r="D182" s="10" t="s">
        <v>604</v>
      </c>
      <c r="E182" s="7">
        <v>2</v>
      </c>
      <c r="F182" s="7">
        <v>1</v>
      </c>
      <c r="G182" s="7">
        <v>2</v>
      </c>
      <c r="H182" s="6">
        <v>100</v>
      </c>
      <c r="I182" s="7">
        <v>21</v>
      </c>
      <c r="J182" s="7">
        <v>2</v>
      </c>
      <c r="K182" s="7">
        <v>100</v>
      </c>
      <c r="L182" s="6" t="b">
        <v>0</v>
      </c>
      <c r="M182" s="6">
        <v>0</v>
      </c>
      <c r="N182" s="6">
        <v>0</v>
      </c>
      <c r="O182" s="7">
        <v>1</v>
      </c>
      <c r="P182" s="5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5"/>
      <c r="AD182" s="7"/>
      <c r="AE182" s="5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7"/>
      <c r="AT182" s="7"/>
      <c r="AU182" s="7"/>
      <c r="AV182" s="7"/>
      <c r="AW182" s="7"/>
      <c r="AX182" s="7"/>
      <c r="AY182" s="7"/>
      <c r="AZ182" s="7"/>
    </row>
    <row r="183" spans="1:52" ht="18.75" customHeight="1">
      <c r="A183" s="8"/>
      <c r="B183" s="7">
        <v>580002</v>
      </c>
      <c r="C183" s="7" t="s">
        <v>1485</v>
      </c>
      <c r="D183" s="10" t="s">
        <v>604</v>
      </c>
      <c r="E183" s="7">
        <v>2</v>
      </c>
      <c r="F183" s="7">
        <v>1</v>
      </c>
      <c r="G183" s="7">
        <v>2</v>
      </c>
      <c r="H183" s="6">
        <v>100</v>
      </c>
      <c r="I183" s="7">
        <v>21</v>
      </c>
      <c r="J183" s="7">
        <v>2</v>
      </c>
      <c r="K183" s="7">
        <v>100</v>
      </c>
      <c r="L183" s="6" t="b">
        <v>0</v>
      </c>
      <c r="M183" s="6">
        <v>0</v>
      </c>
      <c r="N183" s="6">
        <v>0</v>
      </c>
      <c r="O183" s="7">
        <v>1</v>
      </c>
      <c r="P183" s="5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5"/>
      <c r="AD183" s="7"/>
      <c r="AE183" s="5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7"/>
      <c r="AT183" s="7"/>
      <c r="AU183" s="7"/>
      <c r="AV183" s="7"/>
      <c r="AW183" s="7"/>
      <c r="AX183" s="7"/>
      <c r="AY183" s="7"/>
      <c r="AZ183" s="7"/>
    </row>
    <row r="184" spans="1:52" ht="18.75" customHeight="1">
      <c r="A184" s="8"/>
      <c r="B184" s="7">
        <v>580003</v>
      </c>
      <c r="C184" s="7" t="s">
        <v>1555</v>
      </c>
      <c r="D184" s="10" t="s">
        <v>604</v>
      </c>
      <c r="E184" s="7">
        <v>2</v>
      </c>
      <c r="F184" s="7">
        <v>1</v>
      </c>
      <c r="G184" s="7">
        <v>2</v>
      </c>
      <c r="H184" s="6">
        <v>100</v>
      </c>
      <c r="I184" s="7">
        <v>21</v>
      </c>
      <c r="J184" s="7">
        <v>2</v>
      </c>
      <c r="K184" s="7">
        <v>100</v>
      </c>
      <c r="L184" s="6" t="b">
        <v>0</v>
      </c>
      <c r="M184" s="6">
        <v>0</v>
      </c>
      <c r="N184" s="6">
        <v>0</v>
      </c>
      <c r="O184" s="7">
        <v>1</v>
      </c>
      <c r="P184" s="5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5"/>
      <c r="AD184" s="7"/>
      <c r="AE184" s="5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7"/>
      <c r="AT184" s="7"/>
      <c r="AU184" s="7"/>
      <c r="AV184" s="7"/>
      <c r="AW184" s="7"/>
      <c r="AX184" s="7"/>
      <c r="AY184" s="7"/>
      <c r="AZ184" s="7"/>
    </row>
    <row r="185" spans="1:52" ht="18.75" customHeight="1">
      <c r="A185" s="8"/>
      <c r="B185" s="5">
        <v>590001</v>
      </c>
      <c r="C185" s="7" t="s">
        <v>331</v>
      </c>
      <c r="D185" s="10" t="s">
        <v>605</v>
      </c>
      <c r="E185" s="7">
        <v>2</v>
      </c>
      <c r="F185" s="7">
        <v>1</v>
      </c>
      <c r="G185" s="7">
        <v>2</v>
      </c>
      <c r="H185" s="6">
        <v>100</v>
      </c>
      <c r="I185" s="7">
        <v>21</v>
      </c>
      <c r="J185" s="7">
        <v>2</v>
      </c>
      <c r="K185" s="6">
        <v>100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5"/>
      <c r="AD185" s="7"/>
      <c r="AE185" s="5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7"/>
      <c r="AT185" s="7"/>
      <c r="AU185" s="7"/>
      <c r="AV185" s="7"/>
      <c r="AW185" s="7"/>
      <c r="AX185" s="7"/>
      <c r="AY185" s="7"/>
      <c r="AZ185" s="7"/>
    </row>
    <row r="186" spans="1:52" ht="18.75" customHeight="1">
      <c r="A186" s="8"/>
      <c r="B186" s="5">
        <v>590002</v>
      </c>
      <c r="C186" s="7" t="s">
        <v>1486</v>
      </c>
      <c r="D186" s="10" t="s">
        <v>605</v>
      </c>
      <c r="E186" s="7">
        <v>2</v>
      </c>
      <c r="F186" s="7">
        <v>1</v>
      </c>
      <c r="G186" s="7">
        <v>2</v>
      </c>
      <c r="H186" s="6">
        <v>100</v>
      </c>
      <c r="I186" s="7">
        <v>21</v>
      </c>
      <c r="J186" s="7">
        <v>2</v>
      </c>
      <c r="K186" s="6">
        <v>100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5"/>
      <c r="AD186" s="7"/>
      <c r="AE186" s="5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7"/>
      <c r="AT186" s="7"/>
      <c r="AU186" s="7"/>
      <c r="AV186" s="7"/>
      <c r="AW186" s="7"/>
      <c r="AX186" s="7"/>
      <c r="AY186" s="7"/>
      <c r="AZ186" s="7"/>
    </row>
    <row r="187" spans="1:52" ht="18.75" customHeight="1">
      <c r="A187" s="8"/>
      <c r="B187" s="5">
        <v>590003</v>
      </c>
      <c r="C187" s="7" t="s">
        <v>1556</v>
      </c>
      <c r="D187" s="10" t="s">
        <v>605</v>
      </c>
      <c r="E187" s="7">
        <v>2</v>
      </c>
      <c r="F187" s="7">
        <v>1</v>
      </c>
      <c r="G187" s="7">
        <v>2</v>
      </c>
      <c r="H187" s="6">
        <v>100</v>
      </c>
      <c r="I187" s="7">
        <v>21</v>
      </c>
      <c r="J187" s="7">
        <v>2</v>
      </c>
      <c r="K187" s="6">
        <v>100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5"/>
      <c r="AD187" s="7"/>
      <c r="AE187" s="5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600001</v>
      </c>
      <c r="C188" s="7" t="s">
        <v>332</v>
      </c>
      <c r="D188" s="10" t="s">
        <v>606</v>
      </c>
      <c r="E188" s="7">
        <v>2</v>
      </c>
      <c r="F188" s="7">
        <v>1</v>
      </c>
      <c r="G188" s="7">
        <v>2</v>
      </c>
      <c r="H188" s="6">
        <v>100</v>
      </c>
      <c r="I188" s="7">
        <v>21</v>
      </c>
      <c r="J188" s="7">
        <v>2</v>
      </c>
      <c r="K188" s="7">
        <v>100</v>
      </c>
      <c r="L188" s="6" t="b">
        <v>0</v>
      </c>
      <c r="M188" s="6">
        <v>0</v>
      </c>
      <c r="N188" s="6">
        <v>0</v>
      </c>
      <c r="O188" s="7">
        <v>1</v>
      </c>
      <c r="P188" s="5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5"/>
      <c r="AD188" s="7"/>
      <c r="AE188" s="5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600002</v>
      </c>
      <c r="C189" s="7" t="s">
        <v>1487</v>
      </c>
      <c r="D189" s="10" t="s">
        <v>606</v>
      </c>
      <c r="E189" s="7">
        <v>2</v>
      </c>
      <c r="F189" s="7">
        <v>1</v>
      </c>
      <c r="G189" s="7">
        <v>2</v>
      </c>
      <c r="H189" s="6">
        <v>100</v>
      </c>
      <c r="I189" s="7">
        <v>21</v>
      </c>
      <c r="J189" s="7">
        <v>2</v>
      </c>
      <c r="K189" s="7">
        <v>100</v>
      </c>
      <c r="L189" s="6" t="b">
        <v>0</v>
      </c>
      <c r="M189" s="6">
        <v>0</v>
      </c>
      <c r="N189" s="6">
        <v>0</v>
      </c>
      <c r="O189" s="7">
        <v>1</v>
      </c>
      <c r="P189" s="5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5"/>
      <c r="AD189" s="7"/>
      <c r="AE189" s="5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A190" s="8"/>
      <c r="B190" s="7">
        <v>600003</v>
      </c>
      <c r="C190" s="7" t="s">
        <v>1557</v>
      </c>
      <c r="D190" s="10" t="s">
        <v>606</v>
      </c>
      <c r="E190" s="7">
        <v>2</v>
      </c>
      <c r="F190" s="7">
        <v>1</v>
      </c>
      <c r="G190" s="7">
        <v>2</v>
      </c>
      <c r="H190" s="6">
        <v>100</v>
      </c>
      <c r="I190" s="7">
        <v>21</v>
      </c>
      <c r="J190" s="7">
        <v>2</v>
      </c>
      <c r="K190" s="7">
        <v>100</v>
      </c>
      <c r="L190" s="6" t="b">
        <v>0</v>
      </c>
      <c r="M190" s="6">
        <v>0</v>
      </c>
      <c r="N190" s="6">
        <v>0</v>
      </c>
      <c r="O190" s="7">
        <v>1</v>
      </c>
      <c r="P190" s="5">
        <v>0</v>
      </c>
      <c r="Q190" s="7">
        <v>0</v>
      </c>
      <c r="R190" s="5" t="b">
        <v>1</v>
      </c>
      <c r="S190" s="7"/>
      <c r="T190" s="7"/>
      <c r="U190" s="6"/>
      <c r="V190" s="7"/>
      <c r="W190" s="7"/>
      <c r="X190" s="7"/>
      <c r="Y190" s="6"/>
      <c r="Z190" s="6"/>
      <c r="AA190" s="6"/>
      <c r="AB190" s="7"/>
      <c r="AC190" s="5"/>
      <c r="AD190" s="7"/>
      <c r="AE190" s="5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7"/>
      <c r="AT190" s="7"/>
      <c r="AU190" s="7"/>
      <c r="AV190" s="7"/>
      <c r="AW190" s="7"/>
      <c r="AX190" s="7"/>
      <c r="AY190" s="7"/>
      <c r="AZ190" s="7"/>
    </row>
    <row r="191" spans="1:52" ht="18.75" customHeight="1">
      <c r="B191" s="5">
        <v>610001</v>
      </c>
      <c r="C191" s="7" t="s">
        <v>333</v>
      </c>
      <c r="D191" s="10" t="s">
        <v>607</v>
      </c>
      <c r="E191" s="6">
        <v>2</v>
      </c>
      <c r="F191" s="6">
        <v>1</v>
      </c>
      <c r="G191" s="6">
        <v>2</v>
      </c>
      <c r="H191" s="6">
        <v>100</v>
      </c>
      <c r="I191" s="7">
        <v>21</v>
      </c>
      <c r="J191" s="6">
        <v>2</v>
      </c>
      <c r="K191" s="6">
        <v>100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610002</v>
      </c>
      <c r="C192" s="7" t="s">
        <v>1488</v>
      </c>
      <c r="D192" s="10" t="s">
        <v>607</v>
      </c>
      <c r="E192" s="6">
        <v>2</v>
      </c>
      <c r="F192" s="6">
        <v>1</v>
      </c>
      <c r="G192" s="6">
        <v>2</v>
      </c>
      <c r="H192" s="6">
        <v>100</v>
      </c>
      <c r="I192" s="7">
        <v>21</v>
      </c>
      <c r="J192" s="6">
        <v>2</v>
      </c>
      <c r="K192" s="6">
        <v>100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5">
        <v>610003</v>
      </c>
      <c r="C193" s="7" t="s">
        <v>1558</v>
      </c>
      <c r="D193" s="10" t="s">
        <v>607</v>
      </c>
      <c r="E193" s="6">
        <v>2</v>
      </c>
      <c r="F193" s="6">
        <v>1</v>
      </c>
      <c r="G193" s="6">
        <v>2</v>
      </c>
      <c r="H193" s="6">
        <v>100</v>
      </c>
      <c r="I193" s="7">
        <v>21</v>
      </c>
      <c r="J193" s="6">
        <v>2</v>
      </c>
      <c r="K193" s="6">
        <v>100</v>
      </c>
      <c r="L193" s="6" t="b">
        <v>0</v>
      </c>
      <c r="M193" s="6">
        <v>0</v>
      </c>
      <c r="N193" s="6">
        <v>0</v>
      </c>
      <c r="O193" s="5">
        <v>1</v>
      </c>
      <c r="P193" s="5">
        <v>0</v>
      </c>
      <c r="Q193" s="5">
        <v>0</v>
      </c>
      <c r="R193" s="5" t="b">
        <v>1</v>
      </c>
      <c r="S193" s="6"/>
      <c r="T193" s="6"/>
      <c r="U193" s="6"/>
      <c r="V193" s="5"/>
      <c r="W193" s="5"/>
      <c r="X193" s="5"/>
      <c r="Y193" s="6"/>
      <c r="Z193" s="6"/>
      <c r="AA193" s="6"/>
      <c r="AB193" s="5"/>
      <c r="AC193" s="5"/>
      <c r="AD193" s="5"/>
      <c r="AE193" s="5"/>
    </row>
    <row r="194" spans="2:31" ht="18.75" customHeight="1">
      <c r="B194" s="7">
        <v>620001</v>
      </c>
      <c r="C194" s="7" t="s">
        <v>334</v>
      </c>
      <c r="D194" s="10" t="s">
        <v>608</v>
      </c>
      <c r="E194" s="7">
        <v>2</v>
      </c>
      <c r="F194" s="7">
        <v>1</v>
      </c>
      <c r="G194" s="7">
        <v>2</v>
      </c>
      <c r="H194" s="6">
        <v>100</v>
      </c>
      <c r="I194" s="7">
        <v>21</v>
      </c>
      <c r="J194" s="7">
        <v>2</v>
      </c>
      <c r="K194" s="7">
        <v>100</v>
      </c>
      <c r="L194" s="6" t="b">
        <v>0</v>
      </c>
      <c r="M194" s="6">
        <v>0</v>
      </c>
      <c r="N194" s="6">
        <v>0</v>
      </c>
      <c r="O194" s="7">
        <v>1</v>
      </c>
      <c r="P194" s="5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5"/>
      <c r="AD194" s="7"/>
      <c r="AE194" s="5"/>
    </row>
    <row r="195" spans="2:31" ht="18.75" customHeight="1">
      <c r="B195" s="7">
        <v>620002</v>
      </c>
      <c r="C195" s="7" t="s">
        <v>1489</v>
      </c>
      <c r="D195" s="10" t="s">
        <v>608</v>
      </c>
      <c r="E195" s="7">
        <v>2</v>
      </c>
      <c r="F195" s="7">
        <v>1</v>
      </c>
      <c r="G195" s="7">
        <v>2</v>
      </c>
      <c r="H195" s="6">
        <v>100</v>
      </c>
      <c r="I195" s="7">
        <v>21</v>
      </c>
      <c r="J195" s="7">
        <v>2</v>
      </c>
      <c r="K195" s="7">
        <v>100</v>
      </c>
      <c r="L195" s="6" t="b">
        <v>0</v>
      </c>
      <c r="M195" s="6">
        <v>0</v>
      </c>
      <c r="N195" s="6">
        <v>0</v>
      </c>
      <c r="O195" s="7">
        <v>1</v>
      </c>
      <c r="P195" s="5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5"/>
      <c r="AD195" s="7"/>
      <c r="AE195" s="5"/>
    </row>
    <row r="196" spans="2:31" ht="18.75" customHeight="1">
      <c r="B196" s="7">
        <v>620003</v>
      </c>
      <c r="C196" s="7" t="s">
        <v>1559</v>
      </c>
      <c r="D196" s="10" t="s">
        <v>608</v>
      </c>
      <c r="E196" s="7">
        <v>2</v>
      </c>
      <c r="F196" s="7">
        <v>1</v>
      </c>
      <c r="G196" s="7">
        <v>2</v>
      </c>
      <c r="H196" s="6">
        <v>100</v>
      </c>
      <c r="I196" s="7">
        <v>21</v>
      </c>
      <c r="J196" s="7">
        <v>2</v>
      </c>
      <c r="K196" s="7">
        <v>100</v>
      </c>
      <c r="L196" s="6" t="b">
        <v>0</v>
      </c>
      <c r="M196" s="6">
        <v>0</v>
      </c>
      <c r="N196" s="6">
        <v>0</v>
      </c>
      <c r="O196" s="7">
        <v>1</v>
      </c>
      <c r="P196" s="5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5"/>
      <c r="AD196" s="7"/>
      <c r="AE196" s="5"/>
    </row>
    <row r="197" spans="2:31" ht="18.75" customHeight="1">
      <c r="B197" s="5">
        <v>630001</v>
      </c>
      <c r="C197" s="7" t="s">
        <v>335</v>
      </c>
      <c r="D197" s="10" t="s">
        <v>609</v>
      </c>
      <c r="E197" s="7">
        <v>2</v>
      </c>
      <c r="F197" s="7">
        <v>1</v>
      </c>
      <c r="G197" s="7">
        <v>2</v>
      </c>
      <c r="H197" s="6">
        <v>100</v>
      </c>
      <c r="I197" s="7">
        <v>21</v>
      </c>
      <c r="J197" s="7">
        <v>2</v>
      </c>
      <c r="K197" s="6">
        <v>100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5"/>
      <c r="AD197" s="7"/>
      <c r="AE197" s="5"/>
    </row>
    <row r="198" spans="2:31" ht="18.75" customHeight="1">
      <c r="B198" s="5">
        <v>630002</v>
      </c>
      <c r="C198" s="7" t="s">
        <v>1490</v>
      </c>
      <c r="D198" s="10" t="s">
        <v>609</v>
      </c>
      <c r="E198" s="7">
        <v>2</v>
      </c>
      <c r="F198" s="7">
        <v>1</v>
      </c>
      <c r="G198" s="7">
        <v>2</v>
      </c>
      <c r="H198" s="6">
        <v>100</v>
      </c>
      <c r="I198" s="7">
        <v>21</v>
      </c>
      <c r="J198" s="7">
        <v>2</v>
      </c>
      <c r="K198" s="6">
        <v>100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5"/>
      <c r="AD198" s="7"/>
      <c r="AE198" s="5"/>
    </row>
    <row r="199" spans="2:31" ht="18.75" customHeight="1">
      <c r="B199" s="5">
        <v>630003</v>
      </c>
      <c r="C199" s="7" t="s">
        <v>1560</v>
      </c>
      <c r="D199" s="10" t="s">
        <v>609</v>
      </c>
      <c r="E199" s="7">
        <v>2</v>
      </c>
      <c r="F199" s="7">
        <v>1</v>
      </c>
      <c r="G199" s="7">
        <v>2</v>
      </c>
      <c r="H199" s="6">
        <v>100</v>
      </c>
      <c r="I199" s="7">
        <v>21</v>
      </c>
      <c r="J199" s="7">
        <v>2</v>
      </c>
      <c r="K199" s="6">
        <v>100</v>
      </c>
      <c r="L199" s="6" t="b">
        <v>0</v>
      </c>
      <c r="M199" s="6">
        <v>0</v>
      </c>
      <c r="N199" s="6">
        <v>0</v>
      </c>
      <c r="O199" s="7">
        <v>1</v>
      </c>
      <c r="P199" s="5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5"/>
      <c r="AD199" s="7"/>
      <c r="AE199" s="5"/>
    </row>
    <row r="200" spans="2:31" ht="18.75" customHeight="1">
      <c r="B200" s="7">
        <v>640001</v>
      </c>
      <c r="C200" s="7" t="s">
        <v>336</v>
      </c>
      <c r="D200" s="10" t="s">
        <v>610</v>
      </c>
      <c r="E200" s="7">
        <v>2</v>
      </c>
      <c r="F200" s="7">
        <v>1</v>
      </c>
      <c r="G200" s="7">
        <v>2</v>
      </c>
      <c r="H200" s="6">
        <v>100</v>
      </c>
      <c r="I200" s="7">
        <v>21</v>
      </c>
      <c r="J200" s="7">
        <v>2</v>
      </c>
      <c r="K200" s="7">
        <v>100</v>
      </c>
      <c r="L200" s="6" t="b">
        <v>0</v>
      </c>
      <c r="M200" s="6">
        <v>0</v>
      </c>
      <c r="N200" s="6">
        <v>0</v>
      </c>
      <c r="O200" s="7">
        <v>1</v>
      </c>
      <c r="P200" s="5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5"/>
      <c r="AD200" s="7"/>
      <c r="AE200" s="5"/>
    </row>
    <row r="201" spans="2:31" ht="18.75" customHeight="1">
      <c r="B201" s="7">
        <v>640002</v>
      </c>
      <c r="C201" s="7" t="s">
        <v>1491</v>
      </c>
      <c r="D201" s="10" t="s">
        <v>610</v>
      </c>
      <c r="E201" s="7">
        <v>2</v>
      </c>
      <c r="F201" s="7">
        <v>1</v>
      </c>
      <c r="G201" s="7">
        <v>2</v>
      </c>
      <c r="H201" s="6">
        <v>100</v>
      </c>
      <c r="I201" s="7">
        <v>21</v>
      </c>
      <c r="J201" s="7">
        <v>2</v>
      </c>
      <c r="K201" s="7">
        <v>100</v>
      </c>
      <c r="L201" s="6" t="b">
        <v>0</v>
      </c>
      <c r="M201" s="6">
        <v>0</v>
      </c>
      <c r="N201" s="6">
        <v>0</v>
      </c>
      <c r="O201" s="7">
        <v>1</v>
      </c>
      <c r="P201" s="5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5"/>
      <c r="AD201" s="7"/>
      <c r="AE201" s="5"/>
    </row>
    <row r="202" spans="2:31" ht="18.75" customHeight="1">
      <c r="B202" s="7">
        <v>640003</v>
      </c>
      <c r="C202" s="7" t="s">
        <v>1561</v>
      </c>
      <c r="D202" s="10" t="s">
        <v>610</v>
      </c>
      <c r="E202" s="7">
        <v>2</v>
      </c>
      <c r="F202" s="7">
        <v>1</v>
      </c>
      <c r="G202" s="7">
        <v>2</v>
      </c>
      <c r="H202" s="6">
        <v>100</v>
      </c>
      <c r="I202" s="7">
        <v>21</v>
      </c>
      <c r="J202" s="7">
        <v>2</v>
      </c>
      <c r="K202" s="7">
        <v>100</v>
      </c>
      <c r="L202" s="6" t="b">
        <v>0</v>
      </c>
      <c r="M202" s="6">
        <v>0</v>
      </c>
      <c r="N202" s="6">
        <v>0</v>
      </c>
      <c r="O202" s="7">
        <v>1</v>
      </c>
      <c r="P202" s="5">
        <v>0</v>
      </c>
      <c r="Q202" s="7">
        <v>0</v>
      </c>
      <c r="R202" s="5" t="b">
        <v>1</v>
      </c>
      <c r="S202" s="7"/>
      <c r="T202" s="7"/>
      <c r="U202" s="6"/>
      <c r="V202" s="7"/>
      <c r="W202" s="7"/>
      <c r="X202" s="7"/>
      <c r="Y202" s="6"/>
      <c r="Z202" s="6"/>
      <c r="AA202" s="6"/>
      <c r="AB202" s="7"/>
      <c r="AC202" s="5"/>
      <c r="AD202" s="7"/>
      <c r="AE202" s="5"/>
    </row>
    <row r="203" spans="2:31" ht="18.75" customHeight="1">
      <c r="B203" s="5">
        <v>650001</v>
      </c>
      <c r="C203" s="7" t="s">
        <v>337</v>
      </c>
      <c r="D203" s="10" t="s">
        <v>611</v>
      </c>
      <c r="E203" s="7">
        <v>2</v>
      </c>
      <c r="F203" s="7">
        <v>1</v>
      </c>
      <c r="G203" s="7">
        <v>2</v>
      </c>
      <c r="H203" s="6">
        <v>100</v>
      </c>
      <c r="I203" s="7">
        <v>21</v>
      </c>
      <c r="J203" s="7">
        <v>2</v>
      </c>
      <c r="K203" s="6">
        <v>100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6"/>
      <c r="T203" s="6"/>
      <c r="U203" s="6"/>
      <c r="V203" s="5"/>
      <c r="W203" s="5"/>
      <c r="X203" s="5"/>
      <c r="Y203" s="6"/>
      <c r="Z203" s="6"/>
      <c r="AA203" s="6"/>
      <c r="AB203" s="5"/>
      <c r="AC203" s="5"/>
      <c r="AD203" s="5"/>
      <c r="AE203" s="5"/>
    </row>
    <row r="204" spans="2:31" ht="18.75" customHeight="1">
      <c r="B204" s="5">
        <v>650002</v>
      </c>
      <c r="C204" s="7" t="s">
        <v>1492</v>
      </c>
      <c r="D204" s="10" t="s">
        <v>611</v>
      </c>
      <c r="E204" s="7">
        <v>2</v>
      </c>
      <c r="F204" s="7">
        <v>1</v>
      </c>
      <c r="G204" s="7">
        <v>2</v>
      </c>
      <c r="H204" s="6">
        <v>100</v>
      </c>
      <c r="I204" s="7">
        <v>21</v>
      </c>
      <c r="J204" s="7">
        <v>2</v>
      </c>
      <c r="K204" s="6">
        <v>100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6"/>
      <c r="T204" s="6"/>
      <c r="U204" s="6"/>
      <c r="V204" s="5"/>
      <c r="W204" s="5"/>
      <c r="X204" s="5"/>
      <c r="Y204" s="6"/>
      <c r="Z204" s="6"/>
      <c r="AA204" s="6"/>
      <c r="AB204" s="5"/>
      <c r="AC204" s="5"/>
      <c r="AD204" s="5"/>
      <c r="AE204" s="5"/>
    </row>
    <row r="205" spans="2:31" ht="18.75" customHeight="1">
      <c r="B205" s="5">
        <v>650003</v>
      </c>
      <c r="C205" s="7" t="s">
        <v>1562</v>
      </c>
      <c r="D205" s="10" t="s">
        <v>611</v>
      </c>
      <c r="E205" s="7">
        <v>2</v>
      </c>
      <c r="F205" s="7">
        <v>1</v>
      </c>
      <c r="G205" s="7">
        <v>2</v>
      </c>
      <c r="H205" s="6">
        <v>100</v>
      </c>
      <c r="I205" s="7">
        <v>21</v>
      </c>
      <c r="J205" s="7">
        <v>2</v>
      </c>
      <c r="K205" s="6">
        <v>100</v>
      </c>
      <c r="L205" s="6" t="b">
        <v>0</v>
      </c>
      <c r="M205" s="6">
        <v>0</v>
      </c>
      <c r="N205" s="6">
        <v>0</v>
      </c>
      <c r="O205" s="7">
        <v>1</v>
      </c>
      <c r="P205" s="5">
        <v>0</v>
      </c>
      <c r="Q205" s="7">
        <v>0</v>
      </c>
      <c r="R205" s="5" t="b">
        <v>1</v>
      </c>
      <c r="S205" s="6"/>
      <c r="T205" s="6"/>
      <c r="U205" s="6"/>
      <c r="V205" s="5"/>
      <c r="W205" s="5"/>
      <c r="X205" s="5"/>
      <c r="Y205" s="6"/>
      <c r="Z205" s="6"/>
      <c r="AA205" s="6"/>
      <c r="AB205" s="5"/>
      <c r="AC205" s="5"/>
      <c r="AD205" s="5"/>
      <c r="AE205" s="5"/>
    </row>
    <row r="206" spans="2:31" ht="18.75" customHeight="1">
      <c r="B206" s="7">
        <v>660001</v>
      </c>
      <c r="C206" s="7" t="s">
        <v>338</v>
      </c>
      <c r="D206" s="10" t="s">
        <v>612</v>
      </c>
      <c r="E206" s="6">
        <v>2</v>
      </c>
      <c r="F206" s="6">
        <v>1</v>
      </c>
      <c r="G206" s="6">
        <v>2</v>
      </c>
      <c r="H206" s="6">
        <v>100</v>
      </c>
      <c r="I206" s="7">
        <v>21</v>
      </c>
      <c r="J206" s="6">
        <v>2</v>
      </c>
      <c r="K206" s="7">
        <v>100</v>
      </c>
      <c r="L206" s="6" t="b">
        <v>0</v>
      </c>
      <c r="M206" s="6">
        <v>0</v>
      </c>
      <c r="N206" s="6">
        <v>0</v>
      </c>
      <c r="O206" s="5">
        <v>1</v>
      </c>
      <c r="P206" s="5">
        <v>0</v>
      </c>
      <c r="Q206" s="5">
        <v>0</v>
      </c>
      <c r="R206" s="5" t="b">
        <v>1</v>
      </c>
      <c r="S206" s="7"/>
      <c r="T206" s="7"/>
      <c r="U206" s="6"/>
      <c r="V206" s="7"/>
      <c r="W206" s="7"/>
      <c r="X206" s="7"/>
      <c r="Y206" s="6"/>
      <c r="Z206" s="6"/>
      <c r="AA206" s="6"/>
      <c r="AB206" s="7"/>
      <c r="AC206" s="5"/>
      <c r="AD206" s="7"/>
      <c r="AE206" s="5"/>
    </row>
    <row r="207" spans="2:31" ht="18.75" customHeight="1">
      <c r="B207" s="7">
        <v>660002</v>
      </c>
      <c r="C207" s="7" t="s">
        <v>1493</v>
      </c>
      <c r="D207" s="10" t="s">
        <v>612</v>
      </c>
      <c r="E207" s="6">
        <v>2</v>
      </c>
      <c r="F207" s="6">
        <v>1</v>
      </c>
      <c r="G207" s="6">
        <v>2</v>
      </c>
      <c r="H207" s="6">
        <v>100</v>
      </c>
      <c r="I207" s="7">
        <v>21</v>
      </c>
      <c r="J207" s="6">
        <v>2</v>
      </c>
      <c r="K207" s="7">
        <v>100</v>
      </c>
      <c r="L207" s="6" t="b">
        <v>0</v>
      </c>
      <c r="M207" s="6">
        <v>0</v>
      </c>
      <c r="N207" s="6">
        <v>0</v>
      </c>
      <c r="O207" s="5">
        <v>1</v>
      </c>
      <c r="P207" s="5">
        <v>0</v>
      </c>
      <c r="Q207" s="5">
        <v>0</v>
      </c>
      <c r="R207" s="5" t="b">
        <v>1</v>
      </c>
      <c r="S207" s="7"/>
      <c r="T207" s="7"/>
      <c r="U207" s="6"/>
      <c r="V207" s="7"/>
      <c r="W207" s="7"/>
      <c r="X207" s="7"/>
      <c r="Y207" s="6"/>
      <c r="Z207" s="6"/>
      <c r="AA207" s="6"/>
      <c r="AB207" s="7"/>
      <c r="AC207" s="5"/>
      <c r="AD207" s="7"/>
      <c r="AE207" s="5"/>
    </row>
    <row r="208" spans="2:31" ht="18.75" customHeight="1">
      <c r="B208" s="7">
        <v>660003</v>
      </c>
      <c r="C208" s="7" t="s">
        <v>1563</v>
      </c>
      <c r="D208" s="10" t="s">
        <v>612</v>
      </c>
      <c r="E208" s="6">
        <v>2</v>
      </c>
      <c r="F208" s="6">
        <v>1</v>
      </c>
      <c r="G208" s="6">
        <v>2</v>
      </c>
      <c r="H208" s="6">
        <v>100</v>
      </c>
      <c r="I208" s="7">
        <v>21</v>
      </c>
      <c r="J208" s="6">
        <v>2</v>
      </c>
      <c r="K208" s="7">
        <v>100</v>
      </c>
      <c r="L208" s="6" t="b">
        <v>0</v>
      </c>
      <c r="M208" s="6">
        <v>0</v>
      </c>
      <c r="N208" s="6">
        <v>0</v>
      </c>
      <c r="O208" s="5">
        <v>1</v>
      </c>
      <c r="P208" s="5">
        <v>0</v>
      </c>
      <c r="Q208" s="5">
        <v>0</v>
      </c>
      <c r="R208" s="5" t="b">
        <v>1</v>
      </c>
      <c r="S208" s="7"/>
      <c r="T208" s="7"/>
      <c r="U208" s="6"/>
      <c r="V208" s="7"/>
      <c r="W208" s="7"/>
      <c r="X208" s="7"/>
      <c r="Y208" s="6"/>
      <c r="Z208" s="6"/>
      <c r="AA208" s="6"/>
      <c r="AB208" s="7"/>
      <c r="AC208" s="5"/>
      <c r="AD208" s="7"/>
      <c r="AE208" s="5"/>
    </row>
    <row r="209" spans="2:31" ht="18.75" customHeight="1">
      <c r="B209" s="5">
        <v>670001</v>
      </c>
      <c r="C209" s="7" t="s">
        <v>339</v>
      </c>
      <c r="D209" s="10" t="s">
        <v>613</v>
      </c>
      <c r="E209" s="7">
        <v>2</v>
      </c>
      <c r="F209" s="7">
        <v>1</v>
      </c>
      <c r="G209" s="7">
        <v>2</v>
      </c>
      <c r="H209" s="6">
        <v>100</v>
      </c>
      <c r="I209" s="7">
        <v>21</v>
      </c>
      <c r="J209" s="7">
        <v>2</v>
      </c>
      <c r="K209" s="6">
        <v>100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5"/>
      <c r="AD209" s="7"/>
      <c r="AE209" s="5"/>
    </row>
    <row r="210" spans="2:31" ht="18.75" customHeight="1">
      <c r="B210" s="5">
        <v>670002</v>
      </c>
      <c r="C210" s="7" t="s">
        <v>1494</v>
      </c>
      <c r="D210" s="10" t="s">
        <v>613</v>
      </c>
      <c r="E210" s="7">
        <v>2</v>
      </c>
      <c r="F210" s="7">
        <v>1</v>
      </c>
      <c r="G210" s="7">
        <v>2</v>
      </c>
      <c r="H210" s="6">
        <v>100</v>
      </c>
      <c r="I210" s="7">
        <v>21</v>
      </c>
      <c r="J210" s="7">
        <v>2</v>
      </c>
      <c r="K210" s="6">
        <v>100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5"/>
      <c r="AD210" s="7"/>
      <c r="AE210" s="5"/>
    </row>
    <row r="211" spans="2:31" ht="18.75" customHeight="1">
      <c r="B211" s="5">
        <v>670003</v>
      </c>
      <c r="C211" s="7" t="s">
        <v>1564</v>
      </c>
      <c r="D211" s="10" t="s">
        <v>613</v>
      </c>
      <c r="E211" s="7">
        <v>2</v>
      </c>
      <c r="F211" s="7">
        <v>1</v>
      </c>
      <c r="G211" s="7">
        <v>2</v>
      </c>
      <c r="H211" s="6">
        <v>100</v>
      </c>
      <c r="I211" s="7">
        <v>21</v>
      </c>
      <c r="J211" s="7">
        <v>2</v>
      </c>
      <c r="K211" s="6">
        <v>100</v>
      </c>
      <c r="L211" s="6" t="b">
        <v>0</v>
      </c>
      <c r="M211" s="6">
        <v>0</v>
      </c>
      <c r="N211" s="6">
        <v>0</v>
      </c>
      <c r="O211" s="7">
        <v>1</v>
      </c>
      <c r="P211" s="5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5"/>
      <c r="AD211" s="7"/>
      <c r="AE211" s="5"/>
    </row>
    <row r="212" spans="2:31" ht="18.75" customHeight="1">
      <c r="B212" s="7">
        <v>680001</v>
      </c>
      <c r="C212" s="7" t="s">
        <v>340</v>
      </c>
      <c r="D212" s="10" t="s">
        <v>614</v>
      </c>
      <c r="E212" s="7">
        <v>2</v>
      </c>
      <c r="F212" s="7">
        <v>1</v>
      </c>
      <c r="G212" s="7">
        <v>2</v>
      </c>
      <c r="H212" s="6">
        <v>100</v>
      </c>
      <c r="I212" s="7">
        <v>21</v>
      </c>
      <c r="J212" s="7">
        <v>2</v>
      </c>
      <c r="K212" s="7">
        <v>100</v>
      </c>
      <c r="L212" s="6" t="b">
        <v>0</v>
      </c>
      <c r="M212" s="6">
        <v>0</v>
      </c>
      <c r="N212" s="6">
        <v>0</v>
      </c>
      <c r="O212" s="7">
        <v>1</v>
      </c>
      <c r="P212" s="5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5"/>
      <c r="AD212" s="7"/>
      <c r="AE212" s="5"/>
    </row>
    <row r="213" spans="2:31" ht="18.75" customHeight="1">
      <c r="B213" s="7">
        <v>680002</v>
      </c>
      <c r="C213" s="7" t="s">
        <v>1495</v>
      </c>
      <c r="D213" s="10" t="s">
        <v>614</v>
      </c>
      <c r="E213" s="7">
        <v>2</v>
      </c>
      <c r="F213" s="7">
        <v>1</v>
      </c>
      <c r="G213" s="7">
        <v>2</v>
      </c>
      <c r="H213" s="6">
        <v>100</v>
      </c>
      <c r="I213" s="7">
        <v>21</v>
      </c>
      <c r="J213" s="7">
        <v>2</v>
      </c>
      <c r="K213" s="7">
        <v>100</v>
      </c>
      <c r="L213" s="6" t="b">
        <v>0</v>
      </c>
      <c r="M213" s="6">
        <v>0</v>
      </c>
      <c r="N213" s="6">
        <v>0</v>
      </c>
      <c r="O213" s="7">
        <v>1</v>
      </c>
      <c r="P213" s="5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5"/>
      <c r="AD213" s="7"/>
      <c r="AE213" s="5"/>
    </row>
    <row r="214" spans="2:31" ht="18.75" customHeight="1">
      <c r="B214" s="7">
        <v>680003</v>
      </c>
      <c r="C214" s="7" t="s">
        <v>1565</v>
      </c>
      <c r="D214" s="10" t="s">
        <v>614</v>
      </c>
      <c r="E214" s="7">
        <v>2</v>
      </c>
      <c r="F214" s="7">
        <v>1</v>
      </c>
      <c r="G214" s="7">
        <v>2</v>
      </c>
      <c r="H214" s="6">
        <v>100</v>
      </c>
      <c r="I214" s="7">
        <v>21</v>
      </c>
      <c r="J214" s="7">
        <v>2</v>
      </c>
      <c r="K214" s="7">
        <v>100</v>
      </c>
      <c r="L214" s="6" t="b">
        <v>0</v>
      </c>
      <c r="M214" s="6">
        <v>0</v>
      </c>
      <c r="N214" s="6">
        <v>0</v>
      </c>
      <c r="O214" s="7">
        <v>1</v>
      </c>
      <c r="P214" s="5">
        <v>0</v>
      </c>
      <c r="Q214" s="7">
        <v>0</v>
      </c>
      <c r="R214" s="5" t="b">
        <v>1</v>
      </c>
      <c r="S214" s="7"/>
      <c r="T214" s="7"/>
      <c r="U214" s="6"/>
      <c r="V214" s="7"/>
      <c r="W214" s="7"/>
      <c r="X214" s="7"/>
      <c r="Y214" s="6"/>
      <c r="Z214" s="6"/>
      <c r="AA214" s="6"/>
      <c r="AB214" s="7"/>
      <c r="AC214" s="5"/>
      <c r="AD214" s="7"/>
      <c r="AE214" s="5"/>
    </row>
    <row r="215" spans="2:31" ht="18.75" customHeight="1">
      <c r="B215" s="5">
        <v>690001</v>
      </c>
      <c r="C215" s="7" t="s">
        <v>341</v>
      </c>
      <c r="D215" s="10" t="s">
        <v>615</v>
      </c>
      <c r="E215" s="7">
        <v>2</v>
      </c>
      <c r="F215" s="7">
        <v>1</v>
      </c>
      <c r="G215" s="7">
        <v>2</v>
      </c>
      <c r="H215" s="6">
        <v>100</v>
      </c>
      <c r="I215" s="7">
        <v>21</v>
      </c>
      <c r="J215" s="7">
        <v>2</v>
      </c>
      <c r="K215" s="6">
        <v>100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6"/>
      <c r="T215" s="6"/>
      <c r="U215" s="6"/>
      <c r="V215" s="5"/>
      <c r="W215" s="5"/>
      <c r="X215" s="5"/>
      <c r="Y215" s="6"/>
      <c r="Z215" s="6"/>
      <c r="AA215" s="6"/>
      <c r="AB215" s="5"/>
      <c r="AC215" s="5"/>
      <c r="AD215" s="5"/>
      <c r="AE215" s="5"/>
    </row>
    <row r="216" spans="2:31" ht="18.75" customHeight="1">
      <c r="B216" s="5">
        <v>690002</v>
      </c>
      <c r="C216" s="7" t="s">
        <v>1496</v>
      </c>
      <c r="D216" s="10" t="s">
        <v>615</v>
      </c>
      <c r="E216" s="7">
        <v>2</v>
      </c>
      <c r="F216" s="7">
        <v>1</v>
      </c>
      <c r="G216" s="7">
        <v>2</v>
      </c>
      <c r="H216" s="6">
        <v>100</v>
      </c>
      <c r="I216" s="7">
        <v>21</v>
      </c>
      <c r="J216" s="7">
        <v>2</v>
      </c>
      <c r="K216" s="6">
        <v>100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6"/>
      <c r="T216" s="6"/>
      <c r="U216" s="6"/>
      <c r="V216" s="5"/>
      <c r="W216" s="5"/>
      <c r="X216" s="5"/>
      <c r="Y216" s="6"/>
      <c r="Z216" s="6"/>
      <c r="AA216" s="6"/>
      <c r="AB216" s="5"/>
      <c r="AC216" s="5"/>
      <c r="AD216" s="5"/>
      <c r="AE216" s="5"/>
    </row>
    <row r="217" spans="2:31" ht="18.75" customHeight="1">
      <c r="B217" s="5">
        <v>690003</v>
      </c>
      <c r="C217" s="7" t="s">
        <v>1566</v>
      </c>
      <c r="D217" s="10" t="s">
        <v>615</v>
      </c>
      <c r="E217" s="7">
        <v>2</v>
      </c>
      <c r="F217" s="7">
        <v>1</v>
      </c>
      <c r="G217" s="7">
        <v>2</v>
      </c>
      <c r="H217" s="6">
        <v>100</v>
      </c>
      <c r="I217" s="7">
        <v>21</v>
      </c>
      <c r="J217" s="7">
        <v>2</v>
      </c>
      <c r="K217" s="6">
        <v>100</v>
      </c>
      <c r="L217" s="6" t="b">
        <v>0</v>
      </c>
      <c r="M217" s="6">
        <v>0</v>
      </c>
      <c r="N217" s="6">
        <v>0</v>
      </c>
      <c r="O217" s="7">
        <v>1</v>
      </c>
      <c r="P217" s="5">
        <v>0</v>
      </c>
      <c r="Q217" s="7">
        <v>0</v>
      </c>
      <c r="R217" s="5" t="b">
        <v>1</v>
      </c>
      <c r="S217" s="6"/>
      <c r="T217" s="6"/>
      <c r="U217" s="6"/>
      <c r="V217" s="5"/>
      <c r="W217" s="5"/>
      <c r="X217" s="5"/>
      <c r="Y217" s="6"/>
      <c r="Z217" s="6"/>
      <c r="AA217" s="6"/>
      <c r="AB217" s="5"/>
      <c r="AC217" s="5"/>
      <c r="AD217" s="5"/>
      <c r="AE217" s="5"/>
    </row>
    <row r="218" spans="2:31" ht="18.75" customHeight="1">
      <c r="B218" s="7">
        <v>700001</v>
      </c>
      <c r="C218" s="7" t="s">
        <v>342</v>
      </c>
      <c r="D218" s="10" t="s">
        <v>616</v>
      </c>
      <c r="E218" s="7">
        <v>2</v>
      </c>
      <c r="F218" s="7">
        <v>1</v>
      </c>
      <c r="G218" s="7">
        <v>2</v>
      </c>
      <c r="H218" s="6">
        <v>100</v>
      </c>
      <c r="I218" s="7">
        <v>21</v>
      </c>
      <c r="J218" s="7">
        <v>2</v>
      </c>
      <c r="K218" s="7">
        <v>100</v>
      </c>
      <c r="L218" s="6" t="b">
        <v>0</v>
      </c>
      <c r="M218" s="6">
        <v>0</v>
      </c>
      <c r="N218" s="6">
        <v>0</v>
      </c>
      <c r="O218" s="7">
        <v>1</v>
      </c>
      <c r="P218" s="5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5"/>
      <c r="AD218" s="7"/>
      <c r="AE218" s="5"/>
    </row>
    <row r="219" spans="2:31" ht="18.75" customHeight="1">
      <c r="B219" s="7">
        <v>700002</v>
      </c>
      <c r="C219" s="7" t="s">
        <v>1497</v>
      </c>
      <c r="D219" s="10" t="s">
        <v>616</v>
      </c>
      <c r="E219" s="7">
        <v>2</v>
      </c>
      <c r="F219" s="7">
        <v>1</v>
      </c>
      <c r="G219" s="7">
        <v>2</v>
      </c>
      <c r="H219" s="6">
        <v>100</v>
      </c>
      <c r="I219" s="7">
        <v>21</v>
      </c>
      <c r="J219" s="7">
        <v>2</v>
      </c>
      <c r="K219" s="7">
        <v>100</v>
      </c>
      <c r="L219" s="6" t="b">
        <v>0</v>
      </c>
      <c r="M219" s="6">
        <v>0</v>
      </c>
      <c r="N219" s="6">
        <v>0</v>
      </c>
      <c r="O219" s="7">
        <v>1</v>
      </c>
      <c r="P219" s="5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5"/>
      <c r="AD219" s="7"/>
      <c r="AE219" s="5"/>
    </row>
    <row r="220" spans="2:31" ht="18.75" customHeight="1">
      <c r="B220" s="7">
        <v>700003</v>
      </c>
      <c r="C220" s="7" t="s">
        <v>1567</v>
      </c>
      <c r="D220" s="10" t="s">
        <v>616</v>
      </c>
      <c r="E220" s="7">
        <v>2</v>
      </c>
      <c r="F220" s="7">
        <v>1</v>
      </c>
      <c r="G220" s="7">
        <v>2</v>
      </c>
      <c r="H220" s="6">
        <v>100</v>
      </c>
      <c r="I220" s="7">
        <v>21</v>
      </c>
      <c r="J220" s="7">
        <v>2</v>
      </c>
      <c r="K220" s="7">
        <v>100</v>
      </c>
      <c r="L220" s="6" t="b">
        <v>0</v>
      </c>
      <c r="M220" s="6">
        <v>0</v>
      </c>
      <c r="N220" s="6">
        <v>0</v>
      </c>
      <c r="O220" s="7">
        <v>1</v>
      </c>
      <c r="P220" s="5">
        <v>0</v>
      </c>
      <c r="Q220" s="7">
        <v>0</v>
      </c>
      <c r="R220" s="5" t="b">
        <v>1</v>
      </c>
      <c r="S220" s="7"/>
      <c r="T220" s="7"/>
      <c r="U220" s="6"/>
      <c r="V220" s="7"/>
      <c r="W220" s="7"/>
      <c r="X220" s="7"/>
      <c r="Y220" s="6"/>
      <c r="Z220" s="6"/>
      <c r="AA220" s="6"/>
      <c r="AB220" s="7"/>
      <c r="AC220" s="5"/>
      <c r="AD220" s="7"/>
      <c r="AE220" s="5"/>
    </row>
    <row r="221" spans="2:31" ht="18.75" customHeight="1">
      <c r="B221" s="5"/>
      <c r="C221" s="7"/>
      <c r="D221" s="7"/>
      <c r="E221" s="13"/>
      <c r="G221" s="13"/>
      <c r="H221" s="13"/>
      <c r="I221" s="13"/>
      <c r="T221" s="13"/>
      <c r="U221" s="13"/>
    </row>
    <row r="222" spans="2:31" ht="18.75" customHeight="1">
      <c r="B222" s="7"/>
      <c r="C222" s="7"/>
      <c r="D222" s="7"/>
      <c r="E222" s="13"/>
      <c r="G222" s="13"/>
      <c r="H222" s="13"/>
      <c r="I222" s="13"/>
      <c r="T222" s="13"/>
      <c r="U222" s="13"/>
    </row>
    <row r="223" spans="2:31" ht="18.75" customHeight="1">
      <c r="B223" s="5"/>
      <c r="C223" s="7"/>
      <c r="D223" s="7"/>
      <c r="E223" s="13"/>
      <c r="G223" s="13"/>
      <c r="H223" s="13"/>
      <c r="I223" s="13"/>
      <c r="T223" s="13"/>
      <c r="U223" s="13"/>
    </row>
    <row r="224" spans="2:31" ht="18.75" customHeight="1">
      <c r="B224" s="7"/>
      <c r="C224" s="7"/>
      <c r="D224" s="7"/>
      <c r="E224" s="13"/>
      <c r="G224" s="13"/>
      <c r="H224" s="13"/>
      <c r="I224" s="13"/>
      <c r="T224" s="13"/>
      <c r="U224" s="13"/>
    </row>
    <row r="225" spans="2:21" ht="18.75" customHeight="1">
      <c r="B225" s="5"/>
      <c r="C225" s="7"/>
      <c r="D225" s="7"/>
      <c r="E225" s="13"/>
      <c r="G225" s="13"/>
      <c r="H225" s="13"/>
      <c r="I225" s="13"/>
      <c r="T225" s="13"/>
      <c r="U225" s="13"/>
    </row>
    <row r="226" spans="2:21" ht="18.75" customHeight="1">
      <c r="B226" s="7"/>
      <c r="C226" s="7"/>
      <c r="D226" s="7"/>
      <c r="E226" s="13"/>
      <c r="G226" s="13"/>
      <c r="H226" s="13"/>
      <c r="I226" s="13"/>
      <c r="T226" s="13"/>
      <c r="U226" s="13"/>
    </row>
    <row r="227" spans="2:21" ht="18.75" customHeight="1">
      <c r="B227" s="5"/>
      <c r="C227" s="7"/>
      <c r="D227" s="7"/>
      <c r="E227" s="13"/>
      <c r="G227" s="13"/>
      <c r="H227" s="13"/>
      <c r="I227" s="13"/>
      <c r="T227" s="13"/>
      <c r="U227" s="13"/>
    </row>
    <row r="228" spans="2:21" ht="18.75" customHeight="1">
      <c r="B228" s="7"/>
      <c r="C228" s="7"/>
      <c r="D228" s="7"/>
      <c r="E228" s="13"/>
      <c r="G228" s="13"/>
      <c r="H228" s="13"/>
      <c r="I228" s="13"/>
      <c r="T228" s="13"/>
      <c r="U228" s="13"/>
    </row>
    <row r="229" spans="2:21" ht="18.75" customHeight="1">
      <c r="B229" s="5"/>
      <c r="C229" s="7"/>
      <c r="D229" s="7"/>
      <c r="E229" s="13"/>
      <c r="G229" s="13"/>
      <c r="H229" s="13"/>
      <c r="I229" s="13"/>
      <c r="T229" s="13"/>
      <c r="U229" s="13"/>
    </row>
    <row r="230" spans="2:21" ht="18.75" customHeight="1">
      <c r="B230" s="7"/>
      <c r="C230" s="7"/>
      <c r="D230" s="7"/>
      <c r="E230" s="13"/>
      <c r="G230" s="13"/>
      <c r="H230" s="13"/>
      <c r="I230" s="13"/>
      <c r="T230" s="13"/>
      <c r="U230" s="13"/>
    </row>
    <row r="231" spans="2:21" ht="18.75" customHeight="1">
      <c r="B231" s="5"/>
      <c r="C231" s="7"/>
      <c r="D231" s="7"/>
      <c r="E231" s="13"/>
      <c r="G231" s="13"/>
      <c r="H231" s="13"/>
      <c r="I231" s="13"/>
      <c r="T231" s="13"/>
      <c r="U231" s="13"/>
    </row>
    <row r="232" spans="2:21" ht="18.75" customHeight="1">
      <c r="B232" s="7"/>
      <c r="C232" s="7"/>
      <c r="D232" s="7"/>
      <c r="E232" s="13"/>
      <c r="G232" s="13"/>
      <c r="H232" s="13"/>
      <c r="I232" s="13"/>
      <c r="T232" s="13"/>
      <c r="U232" s="13"/>
    </row>
    <row r="233" spans="2:21" ht="18.75" customHeight="1">
      <c r="B233" s="5"/>
      <c r="C233" s="7"/>
      <c r="D233" s="7"/>
      <c r="E233" s="13"/>
      <c r="G233" s="13"/>
      <c r="H233" s="13"/>
      <c r="I233" s="13"/>
      <c r="T233" s="13"/>
      <c r="U233" s="13"/>
    </row>
    <row r="234" spans="2:21" ht="18.75" customHeight="1">
      <c r="B234" s="7"/>
      <c r="C234" s="7"/>
      <c r="D234" s="7"/>
      <c r="E234" s="13"/>
      <c r="G234" s="13"/>
      <c r="H234" s="13"/>
      <c r="I234" s="13"/>
      <c r="T234" s="13"/>
      <c r="U234" s="13"/>
    </row>
    <row r="235" spans="2:21" ht="18.75" customHeight="1">
      <c r="B235" s="5"/>
      <c r="C235" s="7"/>
      <c r="D235" s="7"/>
      <c r="E235" s="13"/>
      <c r="G235" s="13"/>
      <c r="H235" s="13"/>
      <c r="I235" s="13"/>
      <c r="T235" s="13"/>
      <c r="U235" s="13"/>
    </row>
    <row r="236" spans="2:21" ht="18.75" customHeight="1">
      <c r="B236" s="7"/>
      <c r="C236" s="7"/>
      <c r="D236" s="7"/>
      <c r="E236" s="13"/>
      <c r="G236" s="13"/>
      <c r="H236" s="13"/>
      <c r="I236" s="13"/>
      <c r="T236" s="13"/>
      <c r="U236" s="13"/>
    </row>
    <row r="237" spans="2:21" ht="18.75" customHeight="1">
      <c r="B237" s="5"/>
      <c r="C237" s="7"/>
      <c r="D237" s="7"/>
      <c r="E237" s="13"/>
      <c r="G237" s="13"/>
      <c r="H237" s="13"/>
      <c r="I237" s="13"/>
      <c r="T237" s="13"/>
      <c r="U237" s="13"/>
    </row>
    <row r="238" spans="2:21" ht="18.75" customHeight="1">
      <c r="B238" s="7"/>
      <c r="C238" s="7"/>
      <c r="D238" s="7"/>
      <c r="E238" s="13"/>
      <c r="G238" s="13"/>
      <c r="H238" s="13"/>
      <c r="I238" s="13"/>
      <c r="T238" s="13"/>
      <c r="U238" s="13"/>
    </row>
    <row r="239" spans="2:21" ht="18.75" customHeight="1">
      <c r="B239" s="5"/>
      <c r="C239" s="7"/>
      <c r="D239" s="7"/>
      <c r="E239" s="13"/>
      <c r="G239" s="13"/>
      <c r="H239" s="13"/>
      <c r="I239" s="13"/>
      <c r="T239" s="13"/>
      <c r="U239" s="13"/>
    </row>
    <row r="240" spans="2:21" ht="18.75" customHeight="1">
      <c r="B240" s="7"/>
      <c r="C240" s="7"/>
      <c r="D240" s="7"/>
      <c r="E240" s="13"/>
      <c r="G240" s="13"/>
      <c r="H240" s="13"/>
      <c r="I240" s="13"/>
      <c r="T240" s="13"/>
      <c r="U240" s="13"/>
    </row>
    <row r="241" spans="2:21" ht="18.75" customHeight="1">
      <c r="B241" s="5"/>
      <c r="C241" s="7"/>
      <c r="D241" s="7"/>
      <c r="E241" s="13"/>
      <c r="G241" s="13"/>
      <c r="H241" s="13"/>
      <c r="I241" s="13"/>
      <c r="T241" s="13"/>
      <c r="U241" s="13"/>
    </row>
    <row r="242" spans="2:21" ht="18.75" customHeight="1">
      <c r="B242" s="7"/>
      <c r="C242" s="7"/>
      <c r="D242" s="7"/>
      <c r="E242" s="13"/>
      <c r="G242" s="13"/>
      <c r="H242" s="13"/>
      <c r="I242" s="13"/>
      <c r="T242" s="13"/>
      <c r="U242" s="13"/>
    </row>
    <row r="243" spans="2:21" ht="18.75" customHeight="1">
      <c r="B243" s="5"/>
      <c r="C243" s="7"/>
      <c r="D243" s="7"/>
      <c r="E243" s="13"/>
      <c r="G243" s="13"/>
      <c r="H243" s="13"/>
      <c r="I243" s="13"/>
      <c r="T243" s="13"/>
      <c r="U243" s="13"/>
    </row>
    <row r="244" spans="2:21" ht="18.75" customHeight="1">
      <c r="B244" s="7"/>
      <c r="C244" s="7"/>
      <c r="D244" s="7"/>
      <c r="E244" s="13"/>
      <c r="G244" s="13"/>
      <c r="H244" s="13"/>
      <c r="I244" s="13"/>
      <c r="T244" s="13"/>
      <c r="U244" s="13"/>
    </row>
    <row r="245" spans="2:21" ht="18.75" customHeight="1">
      <c r="B245" s="5"/>
      <c r="C245" s="7"/>
      <c r="D245" s="7"/>
      <c r="E245" s="13"/>
      <c r="G245" s="13"/>
      <c r="H245" s="13"/>
      <c r="I245" s="13"/>
      <c r="T245" s="13"/>
      <c r="U245" s="13"/>
    </row>
    <row r="246" spans="2:21" ht="18.75" customHeight="1">
      <c r="B246" s="7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5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7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5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>
      <c r="B250" s="7"/>
      <c r="C250" s="7"/>
      <c r="D250" s="7"/>
      <c r="E250" s="13"/>
      <c r="G250" s="13"/>
      <c r="H250" s="13"/>
      <c r="I250" s="13"/>
      <c r="T250" s="13"/>
      <c r="U250" s="13"/>
    </row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R220">
    <sortCondition ref="B11:B220"/>
  </sortState>
  <phoneticPr fontId="3"/>
  <conditionalFormatting sqref="A2:AR6 A10:F10 K10:L10 X10:Y10 N10:S10 AA10:AF10 AK10:AL10 AN10:AR10 AH10:AI10 H10 U10 A11:AR220 A8:AR9">
    <cfRule type="expression" dxfId="55" priority="13">
      <formula>CELL("ROW")=ROW()</formula>
    </cfRule>
  </conditionalFormatting>
  <conditionalFormatting sqref="I10">
    <cfRule type="expression" dxfId="54" priority="12">
      <formula>CELL("ROW")=ROW()</formula>
    </cfRule>
  </conditionalFormatting>
  <conditionalFormatting sqref="V10">
    <cfRule type="expression" dxfId="53" priority="11">
      <formula>CELL("ROW")=ROW()</formula>
    </cfRule>
  </conditionalFormatting>
  <conditionalFormatting sqref="J10">
    <cfRule type="expression" dxfId="52" priority="10">
      <formula>CELL("ROW")=ROW()</formula>
    </cfRule>
  </conditionalFormatting>
  <conditionalFormatting sqref="M10">
    <cfRule type="expression" dxfId="51" priority="9">
      <formula>CELL("ROW")=ROW()</formula>
    </cfRule>
  </conditionalFormatting>
  <conditionalFormatting sqref="W10">
    <cfRule type="expression" dxfId="50" priority="8">
      <formula>CELL("ROW")=ROW()</formula>
    </cfRule>
  </conditionalFormatting>
  <conditionalFormatting sqref="Z10">
    <cfRule type="expression" dxfId="49" priority="7">
      <formula>CELL("ROW")=ROW()</formula>
    </cfRule>
  </conditionalFormatting>
  <conditionalFormatting sqref="AJ10">
    <cfRule type="expression" dxfId="48" priority="6">
      <formula>CELL("ROW")=ROW()</formula>
    </cfRule>
  </conditionalFormatting>
  <conditionalFormatting sqref="AM10">
    <cfRule type="expression" dxfId="47" priority="5">
      <formula>CELL("ROW")=ROW()</formula>
    </cfRule>
  </conditionalFormatting>
  <conditionalFormatting sqref="AG10">
    <cfRule type="expression" dxfId="46" priority="4">
      <formula>CELL("ROW")=ROW()</formula>
    </cfRule>
  </conditionalFormatting>
  <conditionalFormatting sqref="G10">
    <cfRule type="expression" dxfId="45" priority="3">
      <formula>CELL("ROW")=ROW()</formula>
    </cfRule>
  </conditionalFormatting>
  <conditionalFormatting sqref="T10">
    <cfRule type="expression" dxfId="44" priority="2">
      <formula>CELL("ROW")=ROW()</formula>
    </cfRule>
  </conditionalFormatting>
  <conditionalFormatting sqref="A7:AI7">
    <cfRule type="expression" dxfId="43" priority="1">
      <formula>CELL("ROW")=ROW()</formula>
    </cfRule>
  </conditionalFormatting>
  <dataValidations disablePrompts="1" count="1">
    <dataValidation type="list" allowBlank="1" showErrorMessage="1" sqref="B8:AZ8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Z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3.125" style="36" customWidth="1"/>
    <col min="3" max="3" width="26.75" style="36" customWidth="1"/>
    <col min="4" max="4" width="106.375" style="36" customWidth="1"/>
    <col min="5" max="5" width="19.625" style="36" customWidth="1"/>
    <col min="6" max="6" width="14.25" style="36" customWidth="1"/>
    <col min="7" max="7" width="18.875" style="36" customWidth="1"/>
    <col min="8" max="8" width="10.125" style="36" customWidth="1"/>
    <col min="9" max="9" width="29.25" style="36" customWidth="1"/>
    <col min="10" max="17" width="18.875" style="36" customWidth="1"/>
    <col min="18" max="18" width="17" style="36" customWidth="1"/>
    <col min="19" max="19" width="13.25" style="36" customWidth="1"/>
    <col min="20" max="21" width="20.875" style="36" customWidth="1"/>
    <col min="22" max="22" width="39.375" style="36" customWidth="1"/>
    <col min="23" max="23" width="13.625" style="36" customWidth="1"/>
    <col min="24" max="24" width="12.625" style="36" customWidth="1"/>
    <col min="25" max="27" width="18.875" style="36" customWidth="1"/>
    <col min="28" max="30" width="12.625" style="36" customWidth="1"/>
    <col min="31" max="31" width="17" style="36" customWidth="1"/>
    <col min="32" max="33" width="12.625" style="36" customWidth="1"/>
    <col min="34" max="34" width="10.25" style="36" customWidth="1"/>
    <col min="35" max="35" width="26.375" style="36" customWidth="1"/>
    <col min="36" max="36" width="19.75" style="36" customWidth="1"/>
    <col min="37" max="52" width="12.625" style="36" customWidth="1"/>
    <col min="53" max="16384" width="12.625" style="36"/>
  </cols>
  <sheetData>
    <row r="1" spans="1:52" ht="12" customHeight="1"/>
    <row r="2" spans="1:52" ht="40.5" customHeight="1">
      <c r="A2" s="55" t="s">
        <v>0</v>
      </c>
      <c r="B2" s="7" t="s">
        <v>214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213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5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5" t="s">
        <v>5</v>
      </c>
      <c r="B6" s="3"/>
      <c r="C6" s="3"/>
      <c r="D6" s="3"/>
      <c r="E6" s="3"/>
      <c r="F6" s="3" t="s">
        <v>196</v>
      </c>
      <c r="G6" s="3" t="s">
        <v>208</v>
      </c>
      <c r="H6" s="3" t="s">
        <v>617</v>
      </c>
      <c r="I6" s="3" t="s">
        <v>194</v>
      </c>
      <c r="J6" s="3" t="s">
        <v>195</v>
      </c>
      <c r="K6" s="3" t="s">
        <v>197</v>
      </c>
      <c r="L6" s="3" t="s">
        <v>619</v>
      </c>
      <c r="M6" s="3" t="s">
        <v>621</v>
      </c>
      <c r="N6" s="3" t="s">
        <v>623</v>
      </c>
      <c r="O6" s="3" t="s">
        <v>217</v>
      </c>
      <c r="P6" s="3" t="s">
        <v>628</v>
      </c>
      <c r="Q6" s="3" t="s">
        <v>198</v>
      </c>
      <c r="R6" s="3" t="s">
        <v>625</v>
      </c>
      <c r="S6" s="3" t="s">
        <v>196</v>
      </c>
      <c r="T6" s="3" t="s">
        <v>208</v>
      </c>
      <c r="U6" s="3" t="s">
        <v>617</v>
      </c>
      <c r="V6" s="3" t="s">
        <v>194</v>
      </c>
      <c r="W6" s="3" t="s">
        <v>195</v>
      </c>
      <c r="X6" s="3" t="s">
        <v>197</v>
      </c>
      <c r="Y6" s="3" t="s">
        <v>619</v>
      </c>
      <c r="Z6" s="3" t="s">
        <v>621</v>
      </c>
      <c r="AA6" s="3" t="s">
        <v>623</v>
      </c>
      <c r="AB6" s="3" t="s">
        <v>217</v>
      </c>
      <c r="AC6" s="3" t="s">
        <v>628</v>
      </c>
      <c r="AD6" s="3" t="s">
        <v>198</v>
      </c>
      <c r="AE6" s="3" t="s">
        <v>625</v>
      </c>
      <c r="AF6" s="3" t="s">
        <v>196</v>
      </c>
      <c r="AG6" s="3" t="s">
        <v>208</v>
      </c>
      <c r="AH6" s="3" t="s">
        <v>617</v>
      </c>
      <c r="AI6" s="3" t="s">
        <v>194</v>
      </c>
      <c r="AJ6" s="3" t="s">
        <v>195</v>
      </c>
      <c r="AK6" s="3" t="s">
        <v>197</v>
      </c>
      <c r="AL6" s="3" t="s">
        <v>619</v>
      </c>
      <c r="AM6" s="3" t="s">
        <v>621</v>
      </c>
      <c r="AN6" s="3" t="s">
        <v>623</v>
      </c>
      <c r="AO6" s="3" t="s">
        <v>217</v>
      </c>
      <c r="AP6" s="3" t="s">
        <v>628</v>
      </c>
      <c r="AQ6" s="3" t="s">
        <v>198</v>
      </c>
      <c r="AR6" s="3" t="s">
        <v>625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5" t="s">
        <v>1922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5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7</v>
      </c>
      <c r="G8" s="4" t="s">
        <v>173</v>
      </c>
      <c r="H8" s="4" t="s">
        <v>173</v>
      </c>
      <c r="I8" s="4" t="s">
        <v>7</v>
      </c>
      <c r="J8" s="4" t="s">
        <v>7</v>
      </c>
      <c r="K8" s="4" t="s">
        <v>7</v>
      </c>
      <c r="L8" s="4" t="s">
        <v>9</v>
      </c>
      <c r="M8" s="4" t="s">
        <v>173</v>
      </c>
      <c r="N8" s="4" t="s">
        <v>173</v>
      </c>
      <c r="O8" s="4" t="s">
        <v>173</v>
      </c>
      <c r="P8" s="4" t="s">
        <v>173</v>
      </c>
      <c r="Q8" s="4" t="s">
        <v>7</v>
      </c>
      <c r="R8" s="4" t="s">
        <v>626</v>
      </c>
      <c r="S8" s="4" t="s">
        <v>7</v>
      </c>
      <c r="T8" s="4" t="s">
        <v>173</v>
      </c>
      <c r="U8" s="4" t="s">
        <v>173</v>
      </c>
      <c r="V8" s="4" t="s">
        <v>7</v>
      </c>
      <c r="W8" s="4" t="s">
        <v>7</v>
      </c>
      <c r="X8" s="4" t="s">
        <v>7</v>
      </c>
      <c r="Y8" s="4" t="s">
        <v>9</v>
      </c>
      <c r="Z8" s="4" t="s">
        <v>173</v>
      </c>
      <c r="AA8" s="4" t="s">
        <v>173</v>
      </c>
      <c r="AB8" s="4" t="s">
        <v>173</v>
      </c>
      <c r="AC8" s="4" t="s">
        <v>173</v>
      </c>
      <c r="AD8" s="4" t="s">
        <v>7</v>
      </c>
      <c r="AE8" s="4" t="s">
        <v>626</v>
      </c>
      <c r="AF8" s="4" t="s">
        <v>7</v>
      </c>
      <c r="AG8" s="4" t="s">
        <v>173</v>
      </c>
      <c r="AH8" s="4" t="s">
        <v>173</v>
      </c>
      <c r="AI8" s="4" t="s">
        <v>7</v>
      </c>
      <c r="AJ8" s="4" t="s">
        <v>7</v>
      </c>
      <c r="AK8" s="4" t="s">
        <v>7</v>
      </c>
      <c r="AL8" s="4" t="s">
        <v>9</v>
      </c>
      <c r="AM8" s="4" t="s">
        <v>173</v>
      </c>
      <c r="AN8" s="4" t="s">
        <v>173</v>
      </c>
      <c r="AO8" s="4" t="s">
        <v>173</v>
      </c>
      <c r="AP8" s="4" t="s">
        <v>173</v>
      </c>
      <c r="AQ8" s="4" t="s">
        <v>7</v>
      </c>
      <c r="AR8" s="4" t="s">
        <v>626</v>
      </c>
      <c r="AS8" s="4"/>
      <c r="AT8" s="4"/>
      <c r="AU8" s="4"/>
      <c r="AV8" s="4"/>
      <c r="AW8" s="4"/>
      <c r="AX8" s="4"/>
      <c r="AY8" s="4"/>
      <c r="AZ8" s="4"/>
    </row>
    <row r="9" spans="1:52" ht="76.5" customHeight="1">
      <c r="A9" s="55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5" t="s">
        <v>205</v>
      </c>
      <c r="G9" s="9" t="s">
        <v>209</v>
      </c>
      <c r="H9" s="9" t="s">
        <v>618</v>
      </c>
      <c r="I9" s="9" t="s">
        <v>203</v>
      </c>
      <c r="J9" s="5" t="s">
        <v>204</v>
      </c>
      <c r="K9" s="6" t="s">
        <v>206</v>
      </c>
      <c r="L9" s="6" t="s">
        <v>620</v>
      </c>
      <c r="M9" s="6" t="s">
        <v>622</v>
      </c>
      <c r="N9" s="6" t="s">
        <v>624</v>
      </c>
      <c r="O9" s="6" t="s">
        <v>218</v>
      </c>
      <c r="P9" s="6" t="s">
        <v>629</v>
      </c>
      <c r="Q9" s="6" t="s">
        <v>207</v>
      </c>
      <c r="R9" s="6" t="s">
        <v>627</v>
      </c>
      <c r="S9" s="5" t="s">
        <v>205</v>
      </c>
      <c r="T9" s="9" t="s">
        <v>209</v>
      </c>
      <c r="U9" s="9" t="s">
        <v>618</v>
      </c>
      <c r="V9" s="9" t="s">
        <v>203</v>
      </c>
      <c r="W9" s="5" t="s">
        <v>204</v>
      </c>
      <c r="X9" s="6" t="s">
        <v>206</v>
      </c>
      <c r="Y9" s="6" t="s">
        <v>620</v>
      </c>
      <c r="Z9" s="6" t="s">
        <v>622</v>
      </c>
      <c r="AA9" s="6" t="s">
        <v>624</v>
      </c>
      <c r="AB9" s="6" t="s">
        <v>218</v>
      </c>
      <c r="AC9" s="6" t="s">
        <v>629</v>
      </c>
      <c r="AD9" s="6" t="s">
        <v>207</v>
      </c>
      <c r="AE9" s="6" t="s">
        <v>627</v>
      </c>
      <c r="AF9" s="5" t="s">
        <v>205</v>
      </c>
      <c r="AG9" s="9" t="s">
        <v>209</v>
      </c>
      <c r="AH9" s="9" t="s">
        <v>618</v>
      </c>
      <c r="AI9" s="9" t="s">
        <v>203</v>
      </c>
      <c r="AJ9" s="5" t="s">
        <v>204</v>
      </c>
      <c r="AK9" s="6" t="s">
        <v>206</v>
      </c>
      <c r="AL9" s="6" t="s">
        <v>620</v>
      </c>
      <c r="AM9" s="6" t="s">
        <v>622</v>
      </c>
      <c r="AN9" s="6" t="s">
        <v>624</v>
      </c>
      <c r="AO9" s="6" t="s">
        <v>218</v>
      </c>
      <c r="AP9" s="6" t="s">
        <v>629</v>
      </c>
      <c r="AQ9" s="6" t="s">
        <v>207</v>
      </c>
      <c r="AR9" s="6" t="s">
        <v>627</v>
      </c>
      <c r="AS9" s="5"/>
      <c r="AT9" s="5"/>
      <c r="AU9" s="5"/>
      <c r="AV9" s="5"/>
      <c r="AW9" s="5"/>
      <c r="AX9" s="5"/>
      <c r="AY9" s="5"/>
      <c r="AZ9" s="5"/>
    </row>
    <row r="10" spans="1:52" ht="255.75" customHeight="1">
      <c r="A10" s="55" t="s">
        <v>12</v>
      </c>
      <c r="B10" s="5"/>
      <c r="C10" s="6"/>
      <c r="D10" s="6"/>
      <c r="E10" s="6" t="s">
        <v>216</v>
      </c>
      <c r="F10" s="6" t="s">
        <v>763</v>
      </c>
      <c r="G10" s="6" t="s">
        <v>1275</v>
      </c>
      <c r="H10" s="6"/>
      <c r="I10" s="6" t="s">
        <v>801</v>
      </c>
      <c r="J10" s="6" t="s">
        <v>879</v>
      </c>
      <c r="K10" s="6"/>
      <c r="L10" s="6"/>
      <c r="M10" s="6" t="s">
        <v>879</v>
      </c>
      <c r="N10" s="6"/>
      <c r="O10" s="6"/>
      <c r="P10" s="6"/>
      <c r="Q10" s="6" t="s">
        <v>211</v>
      </c>
      <c r="R10" s="5"/>
      <c r="S10" s="6" t="s">
        <v>763</v>
      </c>
      <c r="T10" s="6" t="s">
        <v>1275</v>
      </c>
      <c r="U10" s="6"/>
      <c r="V10" s="6" t="s">
        <v>801</v>
      </c>
      <c r="W10" s="6" t="s">
        <v>879</v>
      </c>
      <c r="X10" s="6"/>
      <c r="Y10" s="6"/>
      <c r="Z10" s="6" t="s">
        <v>879</v>
      </c>
      <c r="AA10" s="6"/>
      <c r="AB10" s="5"/>
      <c r="AC10" s="5"/>
      <c r="AD10" s="6" t="s">
        <v>211</v>
      </c>
      <c r="AE10" s="5"/>
      <c r="AF10" s="6" t="s">
        <v>763</v>
      </c>
      <c r="AG10" s="6" t="s">
        <v>1275</v>
      </c>
      <c r="AH10" s="6"/>
      <c r="AI10" s="6" t="s">
        <v>215</v>
      </c>
      <c r="AJ10" s="6" t="s">
        <v>879</v>
      </c>
      <c r="AK10" s="6"/>
      <c r="AL10" s="6"/>
      <c r="AM10" s="6" t="s">
        <v>879</v>
      </c>
      <c r="AN10" s="6"/>
      <c r="AO10" s="6"/>
      <c r="AP10" s="6"/>
      <c r="AQ10" s="6" t="s">
        <v>211</v>
      </c>
      <c r="AR10" s="5"/>
      <c r="AS10" s="6"/>
      <c r="AT10" s="6"/>
      <c r="AU10" s="6"/>
      <c r="AV10" s="6"/>
      <c r="AW10" s="6"/>
      <c r="AX10" s="6"/>
      <c r="AY10" s="6"/>
      <c r="AZ10" s="6"/>
    </row>
    <row r="11" spans="1:52" ht="20.100000000000001" customHeight="1">
      <c r="A11" s="56" t="s">
        <v>107</v>
      </c>
      <c r="B11" s="5">
        <v>10001</v>
      </c>
      <c r="C11" s="6" t="s">
        <v>427</v>
      </c>
      <c r="D11" s="6" t="s">
        <v>507</v>
      </c>
      <c r="E11" s="6">
        <v>2</v>
      </c>
      <c r="F11" s="6">
        <v>1</v>
      </c>
      <c r="G11" s="6">
        <v>2</v>
      </c>
      <c r="H11" s="6">
        <v>100</v>
      </c>
      <c r="I11" s="6">
        <v>18</v>
      </c>
      <c r="J11" s="6">
        <v>2</v>
      </c>
      <c r="K11" s="6">
        <v>77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35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3</v>
      </c>
      <c r="AC11" s="5">
        <v>31</v>
      </c>
      <c r="AD11" s="5">
        <v>2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</row>
    <row r="12" spans="1:52" ht="18.75" customHeight="1">
      <c r="A12" s="56"/>
      <c r="B12" s="5">
        <v>10002</v>
      </c>
      <c r="C12" s="6" t="s">
        <v>1568</v>
      </c>
      <c r="D12" s="6" t="s">
        <v>507</v>
      </c>
      <c r="E12" s="6">
        <v>2</v>
      </c>
      <c r="F12" s="6">
        <v>1</v>
      </c>
      <c r="G12" s="6">
        <v>2</v>
      </c>
      <c r="H12" s="6">
        <v>100</v>
      </c>
      <c r="I12" s="6">
        <v>18</v>
      </c>
      <c r="J12" s="6">
        <v>2</v>
      </c>
      <c r="K12" s="6">
        <v>77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35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3</v>
      </c>
      <c r="AC12" s="5">
        <v>31</v>
      </c>
      <c r="AD12" s="5">
        <v>2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5">
        <v>10003</v>
      </c>
      <c r="C13" s="6" t="s">
        <v>1638</v>
      </c>
      <c r="D13" s="6" t="s">
        <v>507</v>
      </c>
      <c r="E13" s="6">
        <v>2</v>
      </c>
      <c r="F13" s="6">
        <v>1</v>
      </c>
      <c r="G13" s="6">
        <v>2</v>
      </c>
      <c r="H13" s="6">
        <v>100</v>
      </c>
      <c r="I13" s="6">
        <v>18</v>
      </c>
      <c r="J13" s="6">
        <v>2</v>
      </c>
      <c r="K13" s="6">
        <v>77</v>
      </c>
      <c r="L13" s="6" t="b">
        <v>0</v>
      </c>
      <c r="M13" s="6">
        <v>0</v>
      </c>
      <c r="N13" s="6">
        <v>0</v>
      </c>
      <c r="O13" s="5">
        <v>1</v>
      </c>
      <c r="P13" s="5">
        <v>0</v>
      </c>
      <c r="Q13" s="5">
        <v>0</v>
      </c>
      <c r="R13" s="5" t="b">
        <v>1</v>
      </c>
      <c r="S13" s="6">
        <v>3</v>
      </c>
      <c r="T13" s="6">
        <v>2</v>
      </c>
      <c r="U13" s="6">
        <v>35</v>
      </c>
      <c r="V13" s="5">
        <v>30</v>
      </c>
      <c r="W13" s="5">
        <v>0</v>
      </c>
      <c r="X13" s="5">
        <v>0</v>
      </c>
      <c r="Y13" s="6" t="b">
        <v>0</v>
      </c>
      <c r="Z13" s="6">
        <v>0</v>
      </c>
      <c r="AA13" s="6">
        <v>0</v>
      </c>
      <c r="AB13" s="5">
        <v>3</v>
      </c>
      <c r="AC13" s="5">
        <v>31</v>
      </c>
      <c r="AD13" s="5">
        <v>2</v>
      </c>
      <c r="AE13" s="5" t="b">
        <v>1</v>
      </c>
      <c r="AF13" s="6"/>
      <c r="AG13" s="6"/>
      <c r="AH13" s="6"/>
      <c r="AI13" s="6"/>
      <c r="AJ13" s="6"/>
      <c r="AK13" s="6"/>
      <c r="AL13" s="6"/>
      <c r="AM13" s="6"/>
      <c r="AN13" s="5"/>
      <c r="AO13" s="5"/>
      <c r="AP13" s="6"/>
      <c r="AQ13" s="6"/>
      <c r="AR13" s="6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20001</v>
      </c>
      <c r="C14" s="6" t="s">
        <v>428</v>
      </c>
      <c r="D14" s="10" t="s">
        <v>508</v>
      </c>
      <c r="E14" s="7">
        <v>2</v>
      </c>
      <c r="F14" s="7">
        <v>1</v>
      </c>
      <c r="G14" s="7">
        <v>2</v>
      </c>
      <c r="H14" s="6">
        <v>100</v>
      </c>
      <c r="I14" s="7">
        <v>18</v>
      </c>
      <c r="J14" s="7">
        <v>2</v>
      </c>
      <c r="K14" s="7">
        <v>112</v>
      </c>
      <c r="L14" s="6" t="b">
        <v>0</v>
      </c>
      <c r="M14" s="6">
        <v>0</v>
      </c>
      <c r="N14" s="6">
        <v>0</v>
      </c>
      <c r="O14" s="7">
        <v>1</v>
      </c>
      <c r="P14" s="7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100</v>
      </c>
      <c r="V14" s="7">
        <v>30</v>
      </c>
      <c r="W14" s="7">
        <v>0</v>
      </c>
      <c r="X14" s="7">
        <v>21</v>
      </c>
      <c r="Y14" s="6" t="b">
        <v>0</v>
      </c>
      <c r="Z14" s="6">
        <v>0</v>
      </c>
      <c r="AA14" s="6">
        <v>0</v>
      </c>
      <c r="AB14" s="7">
        <v>3</v>
      </c>
      <c r="AC14" s="7">
        <v>17</v>
      </c>
      <c r="AD14" s="7">
        <v>2</v>
      </c>
      <c r="AE14" s="5" t="b">
        <v>1</v>
      </c>
      <c r="AF14" s="7">
        <v>3</v>
      </c>
      <c r="AG14" s="7">
        <v>2</v>
      </c>
      <c r="AH14" s="7">
        <v>50</v>
      </c>
      <c r="AI14" s="7">
        <v>30</v>
      </c>
      <c r="AJ14" s="7">
        <v>0</v>
      </c>
      <c r="AK14" s="7">
        <v>0</v>
      </c>
      <c r="AL14" s="7" t="b">
        <v>0</v>
      </c>
      <c r="AM14" s="7">
        <v>0</v>
      </c>
      <c r="AN14" s="7">
        <v>0</v>
      </c>
      <c r="AO14" s="7">
        <v>3</v>
      </c>
      <c r="AP14" s="7">
        <v>31</v>
      </c>
      <c r="AQ14" s="7">
        <v>1</v>
      </c>
      <c r="AR14" s="7" t="b">
        <v>1</v>
      </c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20002</v>
      </c>
      <c r="C15" s="6" t="s">
        <v>1569</v>
      </c>
      <c r="D15" s="10" t="s">
        <v>508</v>
      </c>
      <c r="E15" s="7">
        <v>2</v>
      </c>
      <c r="F15" s="7">
        <v>1</v>
      </c>
      <c r="G15" s="7">
        <v>2</v>
      </c>
      <c r="H15" s="6">
        <v>100</v>
      </c>
      <c r="I15" s="7">
        <v>18</v>
      </c>
      <c r="J15" s="7">
        <v>2</v>
      </c>
      <c r="K15" s="7">
        <v>112</v>
      </c>
      <c r="L15" s="6" t="b">
        <v>0</v>
      </c>
      <c r="M15" s="6">
        <v>0</v>
      </c>
      <c r="N15" s="6">
        <v>0</v>
      </c>
      <c r="O15" s="7">
        <v>1</v>
      </c>
      <c r="P15" s="7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100</v>
      </c>
      <c r="V15" s="7">
        <v>30</v>
      </c>
      <c r="W15" s="7">
        <v>0</v>
      </c>
      <c r="X15" s="7">
        <v>21</v>
      </c>
      <c r="Y15" s="6" t="b">
        <v>0</v>
      </c>
      <c r="Z15" s="6">
        <v>0</v>
      </c>
      <c r="AA15" s="6">
        <v>0</v>
      </c>
      <c r="AB15" s="7">
        <v>3</v>
      </c>
      <c r="AC15" s="7">
        <v>17</v>
      </c>
      <c r="AD15" s="7">
        <v>2</v>
      </c>
      <c r="AE15" s="5" t="b">
        <v>1</v>
      </c>
      <c r="AF15" s="7">
        <v>3</v>
      </c>
      <c r="AG15" s="7">
        <v>2</v>
      </c>
      <c r="AH15" s="7">
        <v>50</v>
      </c>
      <c r="AI15" s="7">
        <v>30</v>
      </c>
      <c r="AJ15" s="7">
        <v>0</v>
      </c>
      <c r="AK15" s="7">
        <v>0</v>
      </c>
      <c r="AL15" s="7" t="b">
        <v>0</v>
      </c>
      <c r="AM15" s="7">
        <v>0</v>
      </c>
      <c r="AN15" s="7">
        <v>0</v>
      </c>
      <c r="AO15" s="7">
        <v>3</v>
      </c>
      <c r="AP15" s="7">
        <v>31</v>
      </c>
      <c r="AQ15" s="7">
        <v>1</v>
      </c>
      <c r="AR15" s="7" t="b">
        <v>1</v>
      </c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7">
        <v>20003</v>
      </c>
      <c r="C16" s="6" t="s">
        <v>1639</v>
      </c>
      <c r="D16" s="10" t="s">
        <v>508</v>
      </c>
      <c r="E16" s="7">
        <v>2</v>
      </c>
      <c r="F16" s="7">
        <v>1</v>
      </c>
      <c r="G16" s="7">
        <v>2</v>
      </c>
      <c r="H16" s="6">
        <v>100</v>
      </c>
      <c r="I16" s="7">
        <v>18</v>
      </c>
      <c r="J16" s="7">
        <v>2</v>
      </c>
      <c r="K16" s="7">
        <v>112</v>
      </c>
      <c r="L16" s="6" t="b">
        <v>0</v>
      </c>
      <c r="M16" s="6">
        <v>0</v>
      </c>
      <c r="N16" s="6">
        <v>0</v>
      </c>
      <c r="O16" s="7">
        <v>1</v>
      </c>
      <c r="P16" s="7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100</v>
      </c>
      <c r="V16" s="7">
        <v>30</v>
      </c>
      <c r="W16" s="7">
        <v>0</v>
      </c>
      <c r="X16" s="7">
        <v>21</v>
      </c>
      <c r="Y16" s="6" t="b">
        <v>0</v>
      </c>
      <c r="Z16" s="6">
        <v>0</v>
      </c>
      <c r="AA16" s="6">
        <v>0</v>
      </c>
      <c r="AB16" s="7">
        <v>3</v>
      </c>
      <c r="AC16" s="7">
        <v>17</v>
      </c>
      <c r="AD16" s="7">
        <v>2</v>
      </c>
      <c r="AE16" s="5" t="b">
        <v>1</v>
      </c>
      <c r="AF16" s="7">
        <v>3</v>
      </c>
      <c r="AG16" s="7">
        <v>2</v>
      </c>
      <c r="AH16" s="7">
        <v>50</v>
      </c>
      <c r="AI16" s="7">
        <v>30</v>
      </c>
      <c r="AJ16" s="7">
        <v>0</v>
      </c>
      <c r="AK16" s="7">
        <v>0</v>
      </c>
      <c r="AL16" s="7" t="b">
        <v>0</v>
      </c>
      <c r="AM16" s="7">
        <v>0</v>
      </c>
      <c r="AN16" s="7">
        <v>0</v>
      </c>
      <c r="AO16" s="7">
        <v>3</v>
      </c>
      <c r="AP16" s="7">
        <v>31</v>
      </c>
      <c r="AQ16" s="7">
        <v>1</v>
      </c>
      <c r="AR16" s="7" t="b">
        <v>1</v>
      </c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30001</v>
      </c>
      <c r="C17" s="6" t="s">
        <v>429</v>
      </c>
      <c r="D17" s="10" t="s">
        <v>498</v>
      </c>
      <c r="E17" s="7">
        <v>2</v>
      </c>
      <c r="F17" s="7">
        <v>1</v>
      </c>
      <c r="G17" s="7">
        <v>2</v>
      </c>
      <c r="H17" s="6">
        <v>100</v>
      </c>
      <c r="I17" s="7">
        <v>18</v>
      </c>
      <c r="J17" s="7">
        <v>2</v>
      </c>
      <c r="K17" s="7">
        <v>147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/>
      <c r="T17" s="7"/>
      <c r="U17" s="6"/>
      <c r="V17" s="7"/>
      <c r="W17" s="7"/>
      <c r="X17" s="7"/>
      <c r="Y17" s="6"/>
      <c r="Z17" s="6"/>
      <c r="AA17" s="6"/>
      <c r="AB17" s="7"/>
      <c r="AC17" s="7"/>
      <c r="AD17" s="7"/>
      <c r="AE17" s="5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30002</v>
      </c>
      <c r="C18" s="6" t="s">
        <v>1570</v>
      </c>
      <c r="D18" s="10" t="s">
        <v>498</v>
      </c>
      <c r="E18" s="7">
        <v>2</v>
      </c>
      <c r="F18" s="7">
        <v>1</v>
      </c>
      <c r="G18" s="7">
        <v>2</v>
      </c>
      <c r="H18" s="6">
        <v>100</v>
      </c>
      <c r="I18" s="7">
        <v>18</v>
      </c>
      <c r="J18" s="7">
        <v>2</v>
      </c>
      <c r="K18" s="7">
        <v>147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/>
      <c r="T18" s="7"/>
      <c r="U18" s="6"/>
      <c r="V18" s="7"/>
      <c r="W18" s="7"/>
      <c r="X18" s="7"/>
      <c r="Y18" s="6"/>
      <c r="Z18" s="6"/>
      <c r="AA18" s="6"/>
      <c r="AB18" s="7"/>
      <c r="AC18" s="7"/>
      <c r="AD18" s="7"/>
      <c r="AE18" s="5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5">
        <v>30003</v>
      </c>
      <c r="C19" s="6" t="s">
        <v>1640</v>
      </c>
      <c r="D19" s="10" t="s">
        <v>498</v>
      </c>
      <c r="E19" s="7">
        <v>2</v>
      </c>
      <c r="F19" s="7">
        <v>1</v>
      </c>
      <c r="G19" s="7">
        <v>2</v>
      </c>
      <c r="H19" s="6">
        <v>100</v>
      </c>
      <c r="I19" s="7">
        <v>18</v>
      </c>
      <c r="J19" s="7">
        <v>2</v>
      </c>
      <c r="K19" s="7">
        <v>147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/>
      <c r="T19" s="7"/>
      <c r="U19" s="6"/>
      <c r="V19" s="7"/>
      <c r="W19" s="7"/>
      <c r="X19" s="7"/>
      <c r="Y19" s="6"/>
      <c r="Z19" s="6"/>
      <c r="AA19" s="6"/>
      <c r="AB19" s="7"/>
      <c r="AC19" s="7"/>
      <c r="AD19" s="7"/>
      <c r="AE19" s="5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40001</v>
      </c>
      <c r="C20" s="6" t="s">
        <v>430</v>
      </c>
      <c r="D20" s="10" t="s">
        <v>509</v>
      </c>
      <c r="E20" s="7">
        <v>2</v>
      </c>
      <c r="F20" s="7">
        <v>1</v>
      </c>
      <c r="G20" s="7">
        <v>2</v>
      </c>
      <c r="H20" s="6">
        <v>100</v>
      </c>
      <c r="I20" s="7">
        <v>38</v>
      </c>
      <c r="J20" s="7">
        <v>2</v>
      </c>
      <c r="K20" s="7">
        <v>110</v>
      </c>
      <c r="L20" s="6" t="b">
        <v>0</v>
      </c>
      <c r="M20" s="6">
        <v>0</v>
      </c>
      <c r="N20" s="6">
        <v>0</v>
      </c>
      <c r="O20" s="7">
        <v>1</v>
      </c>
      <c r="P20" s="7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100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3</v>
      </c>
      <c r="AC20" s="7">
        <v>31</v>
      </c>
      <c r="AD20" s="7">
        <v>2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40002</v>
      </c>
      <c r="C21" s="6" t="s">
        <v>1571</v>
      </c>
      <c r="D21" s="10" t="s">
        <v>509</v>
      </c>
      <c r="E21" s="7">
        <v>2</v>
      </c>
      <c r="F21" s="7">
        <v>1</v>
      </c>
      <c r="G21" s="7">
        <v>2</v>
      </c>
      <c r="H21" s="6">
        <v>100</v>
      </c>
      <c r="I21" s="7">
        <v>38</v>
      </c>
      <c r="J21" s="7">
        <v>2</v>
      </c>
      <c r="K21" s="7">
        <v>110</v>
      </c>
      <c r="L21" s="6" t="b">
        <v>0</v>
      </c>
      <c r="M21" s="6">
        <v>0</v>
      </c>
      <c r="N21" s="6">
        <v>0</v>
      </c>
      <c r="O21" s="7">
        <v>1</v>
      </c>
      <c r="P21" s="7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100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3</v>
      </c>
      <c r="AC21" s="7">
        <v>31</v>
      </c>
      <c r="AD21" s="7">
        <v>2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7">
        <v>40003</v>
      </c>
      <c r="C22" s="6" t="s">
        <v>1641</v>
      </c>
      <c r="D22" s="10" t="s">
        <v>509</v>
      </c>
      <c r="E22" s="7">
        <v>2</v>
      </c>
      <c r="F22" s="7">
        <v>1</v>
      </c>
      <c r="G22" s="7">
        <v>2</v>
      </c>
      <c r="H22" s="6">
        <v>100</v>
      </c>
      <c r="I22" s="7">
        <v>38</v>
      </c>
      <c r="J22" s="7">
        <v>2</v>
      </c>
      <c r="K22" s="7">
        <v>110</v>
      </c>
      <c r="L22" s="6" t="b">
        <v>0</v>
      </c>
      <c r="M22" s="6">
        <v>0</v>
      </c>
      <c r="N22" s="6">
        <v>0</v>
      </c>
      <c r="O22" s="7">
        <v>1</v>
      </c>
      <c r="P22" s="7">
        <v>0</v>
      </c>
      <c r="Q22" s="7">
        <v>0</v>
      </c>
      <c r="R22" s="5" t="b">
        <v>1</v>
      </c>
      <c r="S22" s="7">
        <v>3</v>
      </c>
      <c r="T22" s="7">
        <v>2</v>
      </c>
      <c r="U22" s="6">
        <v>100</v>
      </c>
      <c r="V22" s="7">
        <v>30</v>
      </c>
      <c r="W22" s="7">
        <v>0</v>
      </c>
      <c r="X22" s="7">
        <v>0</v>
      </c>
      <c r="Y22" s="6" t="b">
        <v>0</v>
      </c>
      <c r="Z22" s="6">
        <v>0</v>
      </c>
      <c r="AA22" s="6">
        <v>0</v>
      </c>
      <c r="AB22" s="7">
        <v>3</v>
      </c>
      <c r="AC22" s="7">
        <v>31</v>
      </c>
      <c r="AD22" s="7">
        <v>2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50001</v>
      </c>
      <c r="C23" s="6" t="s">
        <v>431</v>
      </c>
      <c r="D23" s="10" t="s">
        <v>816</v>
      </c>
      <c r="E23" s="7">
        <v>2</v>
      </c>
      <c r="F23" s="7">
        <v>1</v>
      </c>
      <c r="G23" s="7">
        <v>2</v>
      </c>
      <c r="H23" s="6">
        <v>100</v>
      </c>
      <c r="I23" s="7">
        <v>18</v>
      </c>
      <c r="J23" s="7">
        <v>2</v>
      </c>
      <c r="K23" s="7">
        <v>112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7">
        <v>2</v>
      </c>
      <c r="T23" s="7">
        <v>5</v>
      </c>
      <c r="U23" s="6">
        <v>100</v>
      </c>
      <c r="V23" s="7">
        <v>16</v>
      </c>
      <c r="W23" s="7">
        <v>4</v>
      </c>
      <c r="X23" s="7">
        <v>44</v>
      </c>
      <c r="Y23" s="6" t="b">
        <v>0</v>
      </c>
      <c r="Z23" s="6">
        <v>0</v>
      </c>
      <c r="AA23" s="6">
        <v>0</v>
      </c>
      <c r="AB23" s="7">
        <v>49</v>
      </c>
      <c r="AC23" s="7">
        <v>0</v>
      </c>
      <c r="AD23" s="7">
        <v>0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50002</v>
      </c>
      <c r="C24" s="6" t="s">
        <v>1572</v>
      </c>
      <c r="D24" s="10" t="s">
        <v>816</v>
      </c>
      <c r="E24" s="7">
        <v>2</v>
      </c>
      <c r="F24" s="7">
        <v>1</v>
      </c>
      <c r="G24" s="7">
        <v>2</v>
      </c>
      <c r="H24" s="6">
        <v>100</v>
      </c>
      <c r="I24" s="7">
        <v>18</v>
      </c>
      <c r="J24" s="7">
        <v>2</v>
      </c>
      <c r="K24" s="7">
        <v>112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7">
        <v>2</v>
      </c>
      <c r="T24" s="7">
        <v>5</v>
      </c>
      <c r="U24" s="6">
        <v>100</v>
      </c>
      <c r="V24" s="7">
        <v>16</v>
      </c>
      <c r="W24" s="7">
        <v>4</v>
      </c>
      <c r="X24" s="7">
        <v>44</v>
      </c>
      <c r="Y24" s="6" t="b">
        <v>0</v>
      </c>
      <c r="Z24" s="6">
        <v>0</v>
      </c>
      <c r="AA24" s="6">
        <v>0</v>
      </c>
      <c r="AB24" s="7">
        <v>49</v>
      </c>
      <c r="AC24" s="7">
        <v>0</v>
      </c>
      <c r="AD24" s="7">
        <v>0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5">
        <v>50003</v>
      </c>
      <c r="C25" s="6" t="s">
        <v>1642</v>
      </c>
      <c r="D25" s="10" t="s">
        <v>816</v>
      </c>
      <c r="E25" s="7">
        <v>2</v>
      </c>
      <c r="F25" s="7">
        <v>1</v>
      </c>
      <c r="G25" s="7">
        <v>2</v>
      </c>
      <c r="H25" s="6">
        <v>100</v>
      </c>
      <c r="I25" s="7">
        <v>18</v>
      </c>
      <c r="J25" s="7">
        <v>2</v>
      </c>
      <c r="K25" s="7">
        <v>112</v>
      </c>
      <c r="L25" s="6" t="b">
        <v>0</v>
      </c>
      <c r="M25" s="6">
        <v>0</v>
      </c>
      <c r="N25" s="6">
        <v>0</v>
      </c>
      <c r="O25" s="7">
        <v>1</v>
      </c>
      <c r="P25" s="5">
        <v>0</v>
      </c>
      <c r="Q25" s="7">
        <v>0</v>
      </c>
      <c r="R25" s="5" t="b">
        <v>1</v>
      </c>
      <c r="S25" s="7">
        <v>2</v>
      </c>
      <c r="T25" s="7">
        <v>5</v>
      </c>
      <c r="U25" s="6">
        <v>100</v>
      </c>
      <c r="V25" s="7">
        <v>16</v>
      </c>
      <c r="W25" s="7">
        <v>4</v>
      </c>
      <c r="X25" s="7">
        <v>44</v>
      </c>
      <c r="Y25" s="6" t="b">
        <v>0</v>
      </c>
      <c r="Z25" s="6">
        <v>0</v>
      </c>
      <c r="AA25" s="6">
        <v>0</v>
      </c>
      <c r="AB25" s="7">
        <v>49</v>
      </c>
      <c r="AC25" s="7">
        <v>0</v>
      </c>
      <c r="AD25" s="7">
        <v>0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36" customHeight="1">
      <c r="A26" s="8"/>
      <c r="B26" s="7">
        <v>60001</v>
      </c>
      <c r="C26" s="6" t="s">
        <v>432</v>
      </c>
      <c r="D26" s="10" t="s">
        <v>497</v>
      </c>
      <c r="E26" s="6">
        <v>2</v>
      </c>
      <c r="F26" s="6">
        <v>1</v>
      </c>
      <c r="G26" s="6">
        <v>2</v>
      </c>
      <c r="H26" s="6">
        <v>100</v>
      </c>
      <c r="I26" s="6">
        <v>38</v>
      </c>
      <c r="J26" s="6">
        <v>2</v>
      </c>
      <c r="K26" s="6">
        <v>180</v>
      </c>
      <c r="L26" s="6" t="b">
        <v>0</v>
      </c>
      <c r="M26" s="6">
        <v>0</v>
      </c>
      <c r="N26" s="6">
        <v>0</v>
      </c>
      <c r="O26" s="5">
        <v>1</v>
      </c>
      <c r="P26" s="7">
        <v>0</v>
      </c>
      <c r="Q26" s="5">
        <v>0</v>
      </c>
      <c r="R26" s="5" t="b">
        <v>1</v>
      </c>
      <c r="S26" s="6">
        <v>3</v>
      </c>
      <c r="T26" s="6">
        <v>2</v>
      </c>
      <c r="U26" s="6">
        <v>100</v>
      </c>
      <c r="V26" s="5">
        <v>1</v>
      </c>
      <c r="W26" s="5">
        <v>0</v>
      </c>
      <c r="X26" s="5">
        <v>15</v>
      </c>
      <c r="Y26" s="6" t="b">
        <v>0</v>
      </c>
      <c r="Z26" s="6">
        <v>0</v>
      </c>
      <c r="AA26" s="6">
        <v>0</v>
      </c>
      <c r="AB26" s="5">
        <v>49</v>
      </c>
      <c r="AC26" s="5">
        <v>2</v>
      </c>
      <c r="AD26" s="5">
        <v>2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60002</v>
      </c>
      <c r="C27" s="6" t="s">
        <v>1573</v>
      </c>
      <c r="D27" s="10" t="s">
        <v>497</v>
      </c>
      <c r="E27" s="6">
        <v>2</v>
      </c>
      <c r="F27" s="6">
        <v>1</v>
      </c>
      <c r="G27" s="6">
        <v>2</v>
      </c>
      <c r="H27" s="6">
        <v>100</v>
      </c>
      <c r="I27" s="6">
        <v>38</v>
      </c>
      <c r="J27" s="6">
        <v>2</v>
      </c>
      <c r="K27" s="6">
        <v>180</v>
      </c>
      <c r="L27" s="6" t="b">
        <v>0</v>
      </c>
      <c r="M27" s="6">
        <v>0</v>
      </c>
      <c r="N27" s="6">
        <v>0</v>
      </c>
      <c r="O27" s="5">
        <v>1</v>
      </c>
      <c r="P27" s="7">
        <v>0</v>
      </c>
      <c r="Q27" s="5">
        <v>0</v>
      </c>
      <c r="R27" s="5" t="b">
        <v>1</v>
      </c>
      <c r="S27" s="6">
        <v>3</v>
      </c>
      <c r="T27" s="6">
        <v>2</v>
      </c>
      <c r="U27" s="6">
        <v>100</v>
      </c>
      <c r="V27" s="5">
        <v>1</v>
      </c>
      <c r="W27" s="5">
        <v>0</v>
      </c>
      <c r="X27" s="5">
        <v>15</v>
      </c>
      <c r="Y27" s="6" t="b">
        <v>0</v>
      </c>
      <c r="Z27" s="6">
        <v>0</v>
      </c>
      <c r="AA27" s="6">
        <v>0</v>
      </c>
      <c r="AB27" s="5">
        <v>49</v>
      </c>
      <c r="AC27" s="5">
        <v>2</v>
      </c>
      <c r="AD27" s="5">
        <v>2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7">
        <v>60003</v>
      </c>
      <c r="C28" s="6" t="s">
        <v>1643</v>
      </c>
      <c r="D28" s="10" t="s">
        <v>497</v>
      </c>
      <c r="E28" s="6">
        <v>2</v>
      </c>
      <c r="F28" s="6">
        <v>1</v>
      </c>
      <c r="G28" s="6">
        <v>2</v>
      </c>
      <c r="H28" s="6">
        <v>100</v>
      </c>
      <c r="I28" s="6">
        <v>38</v>
      </c>
      <c r="J28" s="6">
        <v>2</v>
      </c>
      <c r="K28" s="6">
        <v>180</v>
      </c>
      <c r="L28" s="6" t="b">
        <v>0</v>
      </c>
      <c r="M28" s="6">
        <v>0</v>
      </c>
      <c r="N28" s="6">
        <v>0</v>
      </c>
      <c r="O28" s="5">
        <v>1</v>
      </c>
      <c r="P28" s="7">
        <v>0</v>
      </c>
      <c r="Q28" s="5">
        <v>0</v>
      </c>
      <c r="R28" s="5" t="b">
        <v>1</v>
      </c>
      <c r="S28" s="6">
        <v>3</v>
      </c>
      <c r="T28" s="6">
        <v>2</v>
      </c>
      <c r="U28" s="6">
        <v>100</v>
      </c>
      <c r="V28" s="5">
        <v>1</v>
      </c>
      <c r="W28" s="5">
        <v>0</v>
      </c>
      <c r="X28" s="5">
        <v>15</v>
      </c>
      <c r="Y28" s="6" t="b">
        <v>0</v>
      </c>
      <c r="Z28" s="6">
        <v>0</v>
      </c>
      <c r="AA28" s="6">
        <v>0</v>
      </c>
      <c r="AB28" s="5">
        <v>49</v>
      </c>
      <c r="AC28" s="5">
        <v>2</v>
      </c>
      <c r="AD28" s="5">
        <v>2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5">
        <v>70001</v>
      </c>
      <c r="C29" s="6" t="s">
        <v>433</v>
      </c>
      <c r="D29" s="10" t="s">
        <v>828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7">
        <v>110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100</v>
      </c>
      <c r="V29" s="7">
        <v>30</v>
      </c>
      <c r="W29" s="7">
        <v>0</v>
      </c>
      <c r="X29" s="7">
        <v>0</v>
      </c>
      <c r="Y29" s="6" t="b">
        <v>0</v>
      </c>
      <c r="Z29" s="6">
        <v>0</v>
      </c>
      <c r="AA29" s="6">
        <v>0</v>
      </c>
      <c r="AB29" s="7">
        <v>49</v>
      </c>
      <c r="AC29" s="7">
        <v>32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8.75" customHeight="1">
      <c r="A30" s="8"/>
      <c r="B30" s="5">
        <v>70002</v>
      </c>
      <c r="C30" s="6" t="s">
        <v>1574</v>
      </c>
      <c r="D30" s="10" t="s">
        <v>828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7">
        <v>110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100</v>
      </c>
      <c r="V30" s="7">
        <v>30</v>
      </c>
      <c r="W30" s="7">
        <v>0</v>
      </c>
      <c r="X30" s="7">
        <v>0</v>
      </c>
      <c r="Y30" s="6" t="b">
        <v>0</v>
      </c>
      <c r="Z30" s="6">
        <v>0</v>
      </c>
      <c r="AA30" s="6">
        <v>0</v>
      </c>
      <c r="AB30" s="7">
        <v>49</v>
      </c>
      <c r="AC30" s="7">
        <v>32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5">
        <v>70003</v>
      </c>
      <c r="C31" s="6" t="s">
        <v>1644</v>
      </c>
      <c r="D31" s="10" t="s">
        <v>828</v>
      </c>
      <c r="E31" s="7">
        <v>2</v>
      </c>
      <c r="F31" s="7">
        <v>1</v>
      </c>
      <c r="G31" s="7">
        <v>2</v>
      </c>
      <c r="H31" s="6">
        <v>100</v>
      </c>
      <c r="I31" s="7">
        <v>21</v>
      </c>
      <c r="J31" s="7">
        <v>2</v>
      </c>
      <c r="K31" s="7">
        <v>110</v>
      </c>
      <c r="L31" s="6" t="b">
        <v>0</v>
      </c>
      <c r="M31" s="6">
        <v>0</v>
      </c>
      <c r="N31" s="6">
        <v>0</v>
      </c>
      <c r="O31" s="7">
        <v>1</v>
      </c>
      <c r="P31" s="5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100</v>
      </c>
      <c r="V31" s="7">
        <v>30</v>
      </c>
      <c r="W31" s="7">
        <v>0</v>
      </c>
      <c r="X31" s="7">
        <v>0</v>
      </c>
      <c r="Y31" s="6" t="b">
        <v>0</v>
      </c>
      <c r="Z31" s="6">
        <v>0</v>
      </c>
      <c r="AA31" s="6">
        <v>0</v>
      </c>
      <c r="AB31" s="7">
        <v>49</v>
      </c>
      <c r="AC31" s="7">
        <v>32</v>
      </c>
      <c r="AD31" s="7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18.75" customHeight="1">
      <c r="A32" s="8"/>
      <c r="B32" s="7">
        <v>80001</v>
      </c>
      <c r="C32" s="6" t="s">
        <v>434</v>
      </c>
      <c r="D32" s="10" t="s">
        <v>829</v>
      </c>
      <c r="E32" s="7">
        <v>2</v>
      </c>
      <c r="F32" s="7">
        <v>1</v>
      </c>
      <c r="G32" s="7">
        <v>2</v>
      </c>
      <c r="H32" s="6">
        <v>100</v>
      </c>
      <c r="I32" s="7">
        <v>11</v>
      </c>
      <c r="J32" s="7">
        <v>2</v>
      </c>
      <c r="K32" s="7">
        <v>140</v>
      </c>
      <c r="L32" s="6" t="b">
        <v>0</v>
      </c>
      <c r="M32" s="6">
        <v>0</v>
      </c>
      <c r="N32" s="6">
        <v>0</v>
      </c>
      <c r="O32" s="7">
        <v>1</v>
      </c>
      <c r="P32" s="7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20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7">
        <v>33</v>
      </c>
      <c r="AD32" s="7">
        <v>2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18.75" customHeight="1">
      <c r="A33" s="8"/>
      <c r="B33" s="7">
        <v>80002</v>
      </c>
      <c r="C33" s="6" t="s">
        <v>1575</v>
      </c>
      <c r="D33" s="10" t="s">
        <v>829</v>
      </c>
      <c r="E33" s="7">
        <v>2</v>
      </c>
      <c r="F33" s="7">
        <v>1</v>
      </c>
      <c r="G33" s="7">
        <v>2</v>
      </c>
      <c r="H33" s="6">
        <v>100</v>
      </c>
      <c r="I33" s="7">
        <v>11</v>
      </c>
      <c r="J33" s="7">
        <v>2</v>
      </c>
      <c r="K33" s="7">
        <v>140</v>
      </c>
      <c r="L33" s="6" t="b">
        <v>0</v>
      </c>
      <c r="M33" s="6">
        <v>0</v>
      </c>
      <c r="N33" s="6">
        <v>0</v>
      </c>
      <c r="O33" s="7">
        <v>1</v>
      </c>
      <c r="P33" s="7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20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7">
        <v>33</v>
      </c>
      <c r="AD33" s="7">
        <v>2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18.75" customHeight="1">
      <c r="A34" s="8"/>
      <c r="B34" s="7">
        <v>80003</v>
      </c>
      <c r="C34" s="6" t="s">
        <v>1645</v>
      </c>
      <c r="D34" s="10" t="s">
        <v>829</v>
      </c>
      <c r="E34" s="7">
        <v>2</v>
      </c>
      <c r="F34" s="7">
        <v>1</v>
      </c>
      <c r="G34" s="7">
        <v>2</v>
      </c>
      <c r="H34" s="6">
        <v>100</v>
      </c>
      <c r="I34" s="7">
        <v>11</v>
      </c>
      <c r="J34" s="7">
        <v>2</v>
      </c>
      <c r="K34" s="7">
        <v>140</v>
      </c>
      <c r="L34" s="6" t="b">
        <v>0</v>
      </c>
      <c r="M34" s="6">
        <v>0</v>
      </c>
      <c r="N34" s="6">
        <v>0</v>
      </c>
      <c r="O34" s="7">
        <v>1</v>
      </c>
      <c r="P34" s="7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20</v>
      </c>
      <c r="V34" s="7">
        <v>30</v>
      </c>
      <c r="W34" s="7">
        <v>0</v>
      </c>
      <c r="X34" s="7">
        <v>0</v>
      </c>
      <c r="Y34" s="6" t="b">
        <v>0</v>
      </c>
      <c r="Z34" s="6">
        <v>0</v>
      </c>
      <c r="AA34" s="6">
        <v>0</v>
      </c>
      <c r="AB34" s="7">
        <v>49</v>
      </c>
      <c r="AC34" s="7">
        <v>33</v>
      </c>
      <c r="AD34" s="7">
        <v>2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18.75" customHeight="1">
      <c r="A35" s="8"/>
      <c r="B35" s="5">
        <v>90001</v>
      </c>
      <c r="C35" s="6" t="s">
        <v>435</v>
      </c>
      <c r="D35" s="10" t="s">
        <v>830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7">
        <v>110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7">
        <v>3</v>
      </c>
      <c r="T35" s="7">
        <v>2</v>
      </c>
      <c r="U35" s="6">
        <v>100</v>
      </c>
      <c r="V35" s="7">
        <v>30</v>
      </c>
      <c r="W35" s="7">
        <v>2</v>
      </c>
      <c r="X35" s="7">
        <v>60</v>
      </c>
      <c r="Y35" s="6" t="b">
        <v>0</v>
      </c>
      <c r="Z35" s="6">
        <v>0</v>
      </c>
      <c r="AA35" s="6">
        <v>0</v>
      </c>
      <c r="AB35" s="7">
        <v>49</v>
      </c>
      <c r="AC35" s="7">
        <v>65</v>
      </c>
      <c r="AD35" s="7">
        <v>2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90002</v>
      </c>
      <c r="C36" s="6" t="s">
        <v>1576</v>
      </c>
      <c r="D36" s="10" t="s">
        <v>830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7">
        <v>110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7">
        <v>3</v>
      </c>
      <c r="T36" s="7">
        <v>2</v>
      </c>
      <c r="U36" s="6">
        <v>100</v>
      </c>
      <c r="V36" s="7">
        <v>30</v>
      </c>
      <c r="W36" s="7">
        <v>2</v>
      </c>
      <c r="X36" s="7">
        <v>60</v>
      </c>
      <c r="Y36" s="6" t="b">
        <v>0</v>
      </c>
      <c r="Z36" s="6">
        <v>0</v>
      </c>
      <c r="AA36" s="6">
        <v>0</v>
      </c>
      <c r="AB36" s="7">
        <v>49</v>
      </c>
      <c r="AC36" s="7">
        <v>65</v>
      </c>
      <c r="AD36" s="7">
        <v>2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5">
        <v>90003</v>
      </c>
      <c r="C37" s="6" t="s">
        <v>1646</v>
      </c>
      <c r="D37" s="10" t="s">
        <v>830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7">
        <v>110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7">
        <v>3</v>
      </c>
      <c r="T37" s="7">
        <v>2</v>
      </c>
      <c r="U37" s="6">
        <v>100</v>
      </c>
      <c r="V37" s="7">
        <v>30</v>
      </c>
      <c r="W37" s="7">
        <v>2</v>
      </c>
      <c r="X37" s="7">
        <v>60</v>
      </c>
      <c r="Y37" s="6" t="b">
        <v>0</v>
      </c>
      <c r="Z37" s="6">
        <v>0</v>
      </c>
      <c r="AA37" s="6">
        <v>0</v>
      </c>
      <c r="AB37" s="7">
        <v>49</v>
      </c>
      <c r="AC37" s="7">
        <v>65</v>
      </c>
      <c r="AD37" s="7">
        <v>2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100001</v>
      </c>
      <c r="C38" s="6" t="s">
        <v>436</v>
      </c>
      <c r="D38" s="10" t="s">
        <v>499</v>
      </c>
      <c r="E38" s="7">
        <v>2</v>
      </c>
      <c r="F38" s="7">
        <v>1</v>
      </c>
      <c r="G38" s="7">
        <v>2</v>
      </c>
      <c r="H38" s="6">
        <v>100</v>
      </c>
      <c r="I38" s="7">
        <v>19</v>
      </c>
      <c r="J38" s="7">
        <v>2</v>
      </c>
      <c r="K38" s="7">
        <v>105</v>
      </c>
      <c r="L38" s="6" t="b">
        <v>0</v>
      </c>
      <c r="M38" s="6">
        <v>0</v>
      </c>
      <c r="N38" s="6">
        <v>0</v>
      </c>
      <c r="O38" s="7">
        <v>1</v>
      </c>
      <c r="P38" s="7">
        <v>0</v>
      </c>
      <c r="Q38" s="7">
        <v>0</v>
      </c>
      <c r="R38" s="5" t="b">
        <v>1</v>
      </c>
      <c r="S38" s="7"/>
      <c r="T38" s="7"/>
      <c r="U38" s="6"/>
      <c r="V38" s="7"/>
      <c r="W38" s="7"/>
      <c r="X38" s="7"/>
      <c r="Y38" s="6"/>
      <c r="Z38" s="6"/>
      <c r="AA38" s="6"/>
      <c r="AB38" s="7"/>
      <c r="AC38" s="7"/>
      <c r="AD38" s="7"/>
      <c r="AE38" s="5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18.75" customHeight="1">
      <c r="A39" s="8"/>
      <c r="B39" s="7">
        <v>100002</v>
      </c>
      <c r="C39" s="6" t="s">
        <v>1577</v>
      </c>
      <c r="D39" s="10" t="s">
        <v>499</v>
      </c>
      <c r="E39" s="7">
        <v>2</v>
      </c>
      <c r="F39" s="7">
        <v>1</v>
      </c>
      <c r="G39" s="7">
        <v>2</v>
      </c>
      <c r="H39" s="6">
        <v>100</v>
      </c>
      <c r="I39" s="7">
        <v>19</v>
      </c>
      <c r="J39" s="7">
        <v>2</v>
      </c>
      <c r="K39" s="7">
        <v>105</v>
      </c>
      <c r="L39" s="6" t="b">
        <v>0</v>
      </c>
      <c r="M39" s="6">
        <v>0</v>
      </c>
      <c r="N39" s="6">
        <v>0</v>
      </c>
      <c r="O39" s="7">
        <v>1</v>
      </c>
      <c r="P39" s="7">
        <v>0</v>
      </c>
      <c r="Q39" s="7">
        <v>0</v>
      </c>
      <c r="R39" s="5" t="b">
        <v>1</v>
      </c>
      <c r="S39" s="7"/>
      <c r="T39" s="7"/>
      <c r="U39" s="6"/>
      <c r="V39" s="7"/>
      <c r="W39" s="7"/>
      <c r="X39" s="7"/>
      <c r="Y39" s="6"/>
      <c r="Z39" s="6"/>
      <c r="AA39" s="6"/>
      <c r="AB39" s="7"/>
      <c r="AC39" s="7"/>
      <c r="AD39" s="7"/>
      <c r="AE39" s="5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18.75" customHeight="1">
      <c r="A40" s="8"/>
      <c r="B40" s="7">
        <v>100003</v>
      </c>
      <c r="C40" s="6" t="s">
        <v>1647</v>
      </c>
      <c r="D40" s="10" t="s">
        <v>499</v>
      </c>
      <c r="E40" s="7">
        <v>2</v>
      </c>
      <c r="F40" s="7">
        <v>1</v>
      </c>
      <c r="G40" s="7">
        <v>2</v>
      </c>
      <c r="H40" s="6">
        <v>100</v>
      </c>
      <c r="I40" s="7">
        <v>19</v>
      </c>
      <c r="J40" s="7">
        <v>2</v>
      </c>
      <c r="K40" s="7">
        <v>105</v>
      </c>
      <c r="L40" s="6" t="b">
        <v>0</v>
      </c>
      <c r="M40" s="6">
        <v>0</v>
      </c>
      <c r="N40" s="6">
        <v>0</v>
      </c>
      <c r="O40" s="7">
        <v>1</v>
      </c>
      <c r="P40" s="7">
        <v>0</v>
      </c>
      <c r="Q40" s="7">
        <v>0</v>
      </c>
      <c r="R40" s="5" t="b">
        <v>1</v>
      </c>
      <c r="S40" s="7"/>
      <c r="T40" s="7"/>
      <c r="U40" s="6"/>
      <c r="V40" s="7"/>
      <c r="W40" s="7"/>
      <c r="X40" s="7"/>
      <c r="Y40" s="6"/>
      <c r="Z40" s="6"/>
      <c r="AA40" s="6"/>
      <c r="AB40" s="7"/>
      <c r="AC40" s="7"/>
      <c r="AD40" s="7"/>
      <c r="AE40" s="5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37.5" customHeight="1">
      <c r="A41" s="8"/>
      <c r="B41" s="5">
        <v>110001</v>
      </c>
      <c r="C41" s="6" t="s">
        <v>437</v>
      </c>
      <c r="D41" s="10" t="s">
        <v>500</v>
      </c>
      <c r="E41" s="6">
        <v>2</v>
      </c>
      <c r="F41" s="6">
        <v>1</v>
      </c>
      <c r="G41" s="6">
        <v>2</v>
      </c>
      <c r="H41" s="6">
        <v>100</v>
      </c>
      <c r="I41" s="6">
        <v>21</v>
      </c>
      <c r="J41" s="6">
        <v>2</v>
      </c>
      <c r="K41" s="6">
        <v>36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6">
        <v>3</v>
      </c>
      <c r="T41" s="6">
        <v>2</v>
      </c>
      <c r="U41" s="6">
        <v>100</v>
      </c>
      <c r="V41" s="5">
        <v>30</v>
      </c>
      <c r="W41" s="5">
        <v>2</v>
      </c>
      <c r="X41" s="5">
        <v>36</v>
      </c>
      <c r="Y41" s="6" t="b">
        <v>0</v>
      </c>
      <c r="Z41" s="6">
        <v>0</v>
      </c>
      <c r="AA41" s="6">
        <v>0</v>
      </c>
      <c r="AB41" s="5">
        <v>1</v>
      </c>
      <c r="AC41" s="5">
        <v>63</v>
      </c>
      <c r="AD41" s="5">
        <v>2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18.75" customHeight="1">
      <c r="A42" s="8"/>
      <c r="B42" s="5">
        <v>110002</v>
      </c>
      <c r="C42" s="6" t="s">
        <v>1578</v>
      </c>
      <c r="D42" s="10" t="s">
        <v>500</v>
      </c>
      <c r="E42" s="6">
        <v>2</v>
      </c>
      <c r="F42" s="6">
        <v>1</v>
      </c>
      <c r="G42" s="6">
        <v>2</v>
      </c>
      <c r="H42" s="6">
        <v>100</v>
      </c>
      <c r="I42" s="6">
        <v>21</v>
      </c>
      <c r="J42" s="6">
        <v>2</v>
      </c>
      <c r="K42" s="6">
        <v>36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6">
        <v>3</v>
      </c>
      <c r="T42" s="6">
        <v>2</v>
      </c>
      <c r="U42" s="6">
        <v>100</v>
      </c>
      <c r="V42" s="5">
        <v>30</v>
      </c>
      <c r="W42" s="5">
        <v>2</v>
      </c>
      <c r="X42" s="5">
        <v>36</v>
      </c>
      <c r="Y42" s="6" t="b">
        <v>0</v>
      </c>
      <c r="Z42" s="6">
        <v>0</v>
      </c>
      <c r="AA42" s="6">
        <v>0</v>
      </c>
      <c r="AB42" s="5">
        <v>1</v>
      </c>
      <c r="AC42" s="5">
        <v>63</v>
      </c>
      <c r="AD42" s="5">
        <v>2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5">
        <v>110003</v>
      </c>
      <c r="C43" s="6" t="s">
        <v>1648</v>
      </c>
      <c r="D43" s="10" t="s">
        <v>500</v>
      </c>
      <c r="E43" s="6">
        <v>2</v>
      </c>
      <c r="F43" s="6">
        <v>1</v>
      </c>
      <c r="G43" s="6">
        <v>2</v>
      </c>
      <c r="H43" s="6">
        <v>100</v>
      </c>
      <c r="I43" s="6">
        <v>21</v>
      </c>
      <c r="J43" s="6">
        <v>2</v>
      </c>
      <c r="K43" s="6">
        <v>36</v>
      </c>
      <c r="L43" s="6" t="b">
        <v>0</v>
      </c>
      <c r="M43" s="6">
        <v>0</v>
      </c>
      <c r="N43" s="6">
        <v>0</v>
      </c>
      <c r="O43" s="5">
        <v>1</v>
      </c>
      <c r="P43" s="5">
        <v>0</v>
      </c>
      <c r="Q43" s="5">
        <v>0</v>
      </c>
      <c r="R43" s="5" t="b">
        <v>1</v>
      </c>
      <c r="S43" s="6">
        <v>3</v>
      </c>
      <c r="T43" s="6">
        <v>2</v>
      </c>
      <c r="U43" s="6">
        <v>100</v>
      </c>
      <c r="V43" s="5">
        <v>30</v>
      </c>
      <c r="W43" s="5">
        <v>2</v>
      </c>
      <c r="X43" s="5">
        <v>36</v>
      </c>
      <c r="Y43" s="6" t="b">
        <v>0</v>
      </c>
      <c r="Z43" s="6">
        <v>0</v>
      </c>
      <c r="AA43" s="6">
        <v>0</v>
      </c>
      <c r="AB43" s="5">
        <v>1</v>
      </c>
      <c r="AC43" s="5">
        <v>63</v>
      </c>
      <c r="AD43" s="5">
        <v>2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39" customHeight="1">
      <c r="A44" s="8"/>
      <c r="B44" s="7">
        <v>120001</v>
      </c>
      <c r="C44" s="6" t="s">
        <v>438</v>
      </c>
      <c r="D44" s="10" t="s">
        <v>501</v>
      </c>
      <c r="E44" s="7">
        <v>2</v>
      </c>
      <c r="F44" s="7">
        <v>1</v>
      </c>
      <c r="G44" s="7">
        <v>2</v>
      </c>
      <c r="H44" s="6">
        <v>100</v>
      </c>
      <c r="I44" s="7">
        <v>18</v>
      </c>
      <c r="J44" s="7">
        <v>2</v>
      </c>
      <c r="K44" s="7">
        <v>70</v>
      </c>
      <c r="L44" s="6" t="b">
        <v>0</v>
      </c>
      <c r="M44" s="6">
        <v>0</v>
      </c>
      <c r="N44" s="6">
        <v>0</v>
      </c>
      <c r="O44" s="7">
        <v>1</v>
      </c>
      <c r="P44" s="7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100</v>
      </c>
      <c r="V44" s="7">
        <v>30</v>
      </c>
      <c r="W44" s="7">
        <v>2</v>
      </c>
      <c r="X44" s="7">
        <v>46</v>
      </c>
      <c r="Y44" s="6" t="b">
        <v>0</v>
      </c>
      <c r="Z44" s="6">
        <v>0</v>
      </c>
      <c r="AA44" s="6">
        <v>0</v>
      </c>
      <c r="AB44" s="7">
        <v>1</v>
      </c>
      <c r="AC44" s="7">
        <v>65</v>
      </c>
      <c r="AD44" s="7">
        <v>2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120002</v>
      </c>
      <c r="C45" s="6" t="s">
        <v>1579</v>
      </c>
      <c r="D45" s="10" t="s">
        <v>501</v>
      </c>
      <c r="E45" s="7">
        <v>2</v>
      </c>
      <c r="F45" s="7">
        <v>1</v>
      </c>
      <c r="G45" s="7">
        <v>2</v>
      </c>
      <c r="H45" s="6">
        <v>100</v>
      </c>
      <c r="I45" s="7">
        <v>18</v>
      </c>
      <c r="J45" s="7">
        <v>2</v>
      </c>
      <c r="K45" s="7">
        <v>70</v>
      </c>
      <c r="L45" s="6" t="b">
        <v>0</v>
      </c>
      <c r="M45" s="6">
        <v>0</v>
      </c>
      <c r="N45" s="6">
        <v>0</v>
      </c>
      <c r="O45" s="7">
        <v>1</v>
      </c>
      <c r="P45" s="7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100</v>
      </c>
      <c r="V45" s="7">
        <v>30</v>
      </c>
      <c r="W45" s="7">
        <v>2</v>
      </c>
      <c r="X45" s="7">
        <v>46</v>
      </c>
      <c r="Y45" s="6" t="b">
        <v>0</v>
      </c>
      <c r="Z45" s="6">
        <v>0</v>
      </c>
      <c r="AA45" s="6">
        <v>0</v>
      </c>
      <c r="AB45" s="7">
        <v>1</v>
      </c>
      <c r="AC45" s="7">
        <v>65</v>
      </c>
      <c r="AD45" s="7">
        <v>2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35.25" customHeight="1">
      <c r="A46" s="8"/>
      <c r="B46" s="7">
        <v>120003</v>
      </c>
      <c r="C46" s="6" t="s">
        <v>1649</v>
      </c>
      <c r="D46" s="10" t="s">
        <v>501</v>
      </c>
      <c r="E46" s="7">
        <v>2</v>
      </c>
      <c r="F46" s="7">
        <v>1</v>
      </c>
      <c r="G46" s="7">
        <v>2</v>
      </c>
      <c r="H46" s="6">
        <v>100</v>
      </c>
      <c r="I46" s="7">
        <v>18</v>
      </c>
      <c r="J46" s="7">
        <v>2</v>
      </c>
      <c r="K46" s="7">
        <v>70</v>
      </c>
      <c r="L46" s="6" t="b">
        <v>0</v>
      </c>
      <c r="M46" s="6">
        <v>0</v>
      </c>
      <c r="N46" s="6">
        <v>0</v>
      </c>
      <c r="O46" s="7">
        <v>1</v>
      </c>
      <c r="P46" s="7">
        <v>0</v>
      </c>
      <c r="Q46" s="7">
        <v>0</v>
      </c>
      <c r="R46" s="5" t="b">
        <v>1</v>
      </c>
      <c r="S46" s="7">
        <v>3</v>
      </c>
      <c r="T46" s="7">
        <v>2</v>
      </c>
      <c r="U46" s="6">
        <v>100</v>
      </c>
      <c r="V46" s="7">
        <v>30</v>
      </c>
      <c r="W46" s="7">
        <v>2</v>
      </c>
      <c r="X46" s="7">
        <v>46</v>
      </c>
      <c r="Y46" s="6" t="b">
        <v>0</v>
      </c>
      <c r="Z46" s="6">
        <v>0</v>
      </c>
      <c r="AA46" s="6">
        <v>0</v>
      </c>
      <c r="AB46" s="7">
        <v>1</v>
      </c>
      <c r="AC46" s="7">
        <v>65</v>
      </c>
      <c r="AD46" s="7">
        <v>2</v>
      </c>
      <c r="AE46" s="5" t="b">
        <v>1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35.25" customHeight="1">
      <c r="A47" s="8"/>
      <c r="B47" s="5">
        <v>130001</v>
      </c>
      <c r="C47" s="6" t="s">
        <v>439</v>
      </c>
      <c r="D47" s="10" t="s">
        <v>502</v>
      </c>
      <c r="E47" s="7">
        <v>2</v>
      </c>
      <c r="F47" s="7">
        <v>1</v>
      </c>
      <c r="G47" s="7">
        <v>2</v>
      </c>
      <c r="H47" s="6">
        <v>100</v>
      </c>
      <c r="I47" s="7">
        <v>39</v>
      </c>
      <c r="J47" s="7">
        <v>2</v>
      </c>
      <c r="K47" s="7">
        <v>147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7"/>
      <c r="T47" s="7"/>
      <c r="U47" s="6"/>
      <c r="V47" s="7"/>
      <c r="W47" s="7"/>
      <c r="X47" s="7"/>
      <c r="Y47" s="6"/>
      <c r="Z47" s="6"/>
      <c r="AA47" s="6"/>
      <c r="AB47" s="7"/>
      <c r="AC47" s="7"/>
      <c r="AD47" s="7"/>
      <c r="AE47" s="5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130002</v>
      </c>
      <c r="C48" s="6" t="s">
        <v>1580</v>
      </c>
      <c r="D48" s="10" t="s">
        <v>502</v>
      </c>
      <c r="E48" s="7">
        <v>2</v>
      </c>
      <c r="F48" s="7">
        <v>1</v>
      </c>
      <c r="G48" s="7">
        <v>2</v>
      </c>
      <c r="H48" s="6">
        <v>100</v>
      </c>
      <c r="I48" s="7">
        <v>39</v>
      </c>
      <c r="J48" s="7">
        <v>2</v>
      </c>
      <c r="K48" s="7">
        <v>147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7"/>
      <c r="T48" s="7"/>
      <c r="U48" s="6"/>
      <c r="V48" s="7"/>
      <c r="W48" s="7"/>
      <c r="X48" s="7"/>
      <c r="Y48" s="6"/>
      <c r="Z48" s="6"/>
      <c r="AA48" s="6"/>
      <c r="AB48" s="7"/>
      <c r="AC48" s="7"/>
      <c r="AD48" s="7"/>
      <c r="AE48" s="5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5">
        <v>130003</v>
      </c>
      <c r="C49" s="6" t="s">
        <v>1650</v>
      </c>
      <c r="D49" s="10" t="s">
        <v>502</v>
      </c>
      <c r="E49" s="7">
        <v>2</v>
      </c>
      <c r="F49" s="7">
        <v>1</v>
      </c>
      <c r="G49" s="7">
        <v>2</v>
      </c>
      <c r="H49" s="6">
        <v>100</v>
      </c>
      <c r="I49" s="7">
        <v>39</v>
      </c>
      <c r="J49" s="7">
        <v>2</v>
      </c>
      <c r="K49" s="7">
        <v>147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7"/>
      <c r="T49" s="7"/>
      <c r="U49" s="6"/>
      <c r="V49" s="7"/>
      <c r="W49" s="7"/>
      <c r="X49" s="7"/>
      <c r="Y49" s="6"/>
      <c r="Z49" s="6"/>
      <c r="AA49" s="6"/>
      <c r="AB49" s="7"/>
      <c r="AC49" s="7"/>
      <c r="AD49" s="7"/>
      <c r="AE49" s="5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A50" s="8"/>
      <c r="B50" s="7">
        <v>140001</v>
      </c>
      <c r="C50" s="6" t="s">
        <v>440</v>
      </c>
      <c r="D50" s="10" t="s">
        <v>817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167</v>
      </c>
      <c r="L50" s="6" t="b">
        <v>0</v>
      </c>
      <c r="M50" s="6">
        <v>0</v>
      </c>
      <c r="N50" s="6">
        <v>0</v>
      </c>
      <c r="O50" s="7">
        <v>1</v>
      </c>
      <c r="P50" s="7">
        <v>0</v>
      </c>
      <c r="Q50" s="7">
        <v>0</v>
      </c>
      <c r="R50" s="5" t="b">
        <v>1</v>
      </c>
      <c r="S50" s="7">
        <v>2</v>
      </c>
      <c r="T50" s="7">
        <v>5</v>
      </c>
      <c r="U50" s="6">
        <v>100</v>
      </c>
      <c r="V50" s="7">
        <v>31</v>
      </c>
      <c r="W50" s="7">
        <v>4</v>
      </c>
      <c r="X50" s="7">
        <v>75</v>
      </c>
      <c r="Y50" s="6" t="b">
        <v>0</v>
      </c>
      <c r="Z50" s="6">
        <v>0</v>
      </c>
      <c r="AA50" s="6">
        <v>0</v>
      </c>
      <c r="AB50" s="7">
        <v>49</v>
      </c>
      <c r="AC50" s="7">
        <v>0</v>
      </c>
      <c r="AD50" s="7">
        <v>0</v>
      </c>
      <c r="AE50" s="5" t="b">
        <v>1</v>
      </c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</row>
    <row r="51" spans="1:52" ht="18.75" customHeight="1">
      <c r="B51" s="7">
        <v>140002</v>
      </c>
      <c r="C51" s="6" t="s">
        <v>1581</v>
      </c>
      <c r="D51" s="10" t="s">
        <v>817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167</v>
      </c>
      <c r="L51" s="6" t="b">
        <v>0</v>
      </c>
      <c r="M51" s="6">
        <v>0</v>
      </c>
      <c r="N51" s="6">
        <v>0</v>
      </c>
      <c r="O51" s="7">
        <v>1</v>
      </c>
      <c r="P51" s="7">
        <v>0</v>
      </c>
      <c r="Q51" s="7">
        <v>0</v>
      </c>
      <c r="R51" s="5" t="b">
        <v>1</v>
      </c>
      <c r="S51" s="7">
        <v>2</v>
      </c>
      <c r="T51" s="7">
        <v>5</v>
      </c>
      <c r="U51" s="6">
        <v>100</v>
      </c>
      <c r="V51" s="7">
        <v>31</v>
      </c>
      <c r="W51" s="7">
        <v>4</v>
      </c>
      <c r="X51" s="7">
        <v>75</v>
      </c>
      <c r="Y51" s="6" t="b">
        <v>0</v>
      </c>
      <c r="Z51" s="6">
        <v>0</v>
      </c>
      <c r="AA51" s="6">
        <v>0</v>
      </c>
      <c r="AB51" s="7">
        <v>49</v>
      </c>
      <c r="AC51" s="7">
        <v>0</v>
      </c>
      <c r="AD51" s="7">
        <v>0</v>
      </c>
      <c r="AE51" s="5" t="b">
        <v>1</v>
      </c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</row>
    <row r="52" spans="1:52" ht="18.75" customHeight="1">
      <c r="B52" s="7">
        <v>140003</v>
      </c>
      <c r="C52" s="6" t="s">
        <v>1651</v>
      </c>
      <c r="D52" s="10" t="s">
        <v>817</v>
      </c>
      <c r="E52" s="7">
        <v>2</v>
      </c>
      <c r="F52" s="7">
        <v>1</v>
      </c>
      <c r="G52" s="7">
        <v>2</v>
      </c>
      <c r="H52" s="6">
        <v>100</v>
      </c>
      <c r="I52" s="7">
        <v>21</v>
      </c>
      <c r="J52" s="7">
        <v>2</v>
      </c>
      <c r="K52" s="7">
        <v>167</v>
      </c>
      <c r="L52" s="6" t="b">
        <v>0</v>
      </c>
      <c r="M52" s="6">
        <v>0</v>
      </c>
      <c r="N52" s="6">
        <v>0</v>
      </c>
      <c r="O52" s="7">
        <v>1</v>
      </c>
      <c r="P52" s="7">
        <v>0</v>
      </c>
      <c r="Q52" s="7">
        <v>0</v>
      </c>
      <c r="R52" s="5" t="b">
        <v>1</v>
      </c>
      <c r="S52" s="7">
        <v>2</v>
      </c>
      <c r="T52" s="7">
        <v>5</v>
      </c>
      <c r="U52" s="6">
        <v>100</v>
      </c>
      <c r="V52" s="7">
        <v>31</v>
      </c>
      <c r="W52" s="7">
        <v>4</v>
      </c>
      <c r="X52" s="7">
        <v>75</v>
      </c>
      <c r="Y52" s="6" t="b">
        <v>0</v>
      </c>
      <c r="Z52" s="6">
        <v>0</v>
      </c>
      <c r="AA52" s="6">
        <v>0</v>
      </c>
      <c r="AB52" s="7">
        <v>49</v>
      </c>
      <c r="AC52" s="7">
        <v>0</v>
      </c>
      <c r="AD52" s="7">
        <v>0</v>
      </c>
      <c r="AE52" s="5" t="b">
        <v>1</v>
      </c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</row>
    <row r="53" spans="1:52" ht="18.75" customHeight="1">
      <c r="B53" s="5">
        <v>150001</v>
      </c>
      <c r="C53" s="6" t="s">
        <v>441</v>
      </c>
      <c r="D53" s="10" t="s">
        <v>503</v>
      </c>
      <c r="E53" s="7">
        <v>2</v>
      </c>
      <c r="F53" s="7">
        <v>1</v>
      </c>
      <c r="G53" s="7">
        <v>2</v>
      </c>
      <c r="H53" s="6">
        <v>100</v>
      </c>
      <c r="I53" s="7">
        <v>18</v>
      </c>
      <c r="J53" s="7">
        <v>2</v>
      </c>
      <c r="K53" s="7">
        <v>119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100</v>
      </c>
      <c r="V53" s="7">
        <v>30</v>
      </c>
      <c r="W53" s="7">
        <v>0</v>
      </c>
      <c r="X53" s="7">
        <v>21</v>
      </c>
      <c r="Y53" s="6" t="b">
        <v>0</v>
      </c>
      <c r="Z53" s="6">
        <v>0</v>
      </c>
      <c r="AA53" s="6">
        <v>0</v>
      </c>
      <c r="AB53" s="7">
        <v>3</v>
      </c>
      <c r="AC53" s="7">
        <v>17</v>
      </c>
      <c r="AD53" s="7">
        <v>2</v>
      </c>
      <c r="AE53" s="5" t="b">
        <v>1</v>
      </c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</row>
    <row r="54" spans="1:52" ht="18.75" customHeight="1">
      <c r="B54" s="5">
        <v>150002</v>
      </c>
      <c r="C54" s="6" t="s">
        <v>1582</v>
      </c>
      <c r="D54" s="10" t="s">
        <v>503</v>
      </c>
      <c r="E54" s="7">
        <v>2</v>
      </c>
      <c r="F54" s="7">
        <v>1</v>
      </c>
      <c r="G54" s="7">
        <v>2</v>
      </c>
      <c r="H54" s="6">
        <v>100</v>
      </c>
      <c r="I54" s="7">
        <v>18</v>
      </c>
      <c r="J54" s="7">
        <v>2</v>
      </c>
      <c r="K54" s="7">
        <v>119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100</v>
      </c>
      <c r="V54" s="7">
        <v>30</v>
      </c>
      <c r="W54" s="7">
        <v>0</v>
      </c>
      <c r="X54" s="7">
        <v>21</v>
      </c>
      <c r="Y54" s="6" t="b">
        <v>0</v>
      </c>
      <c r="Z54" s="6">
        <v>0</v>
      </c>
      <c r="AA54" s="6">
        <v>0</v>
      </c>
      <c r="AB54" s="7">
        <v>3</v>
      </c>
      <c r="AC54" s="7">
        <v>17</v>
      </c>
      <c r="AD54" s="7">
        <v>2</v>
      </c>
      <c r="AE54" s="5" t="b">
        <v>1</v>
      </c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</row>
    <row r="55" spans="1:52" ht="18.75" customHeight="1">
      <c r="B55" s="5">
        <v>150003</v>
      </c>
      <c r="C55" s="6" t="s">
        <v>1652</v>
      </c>
      <c r="D55" s="10" t="s">
        <v>503</v>
      </c>
      <c r="E55" s="7">
        <v>2</v>
      </c>
      <c r="F55" s="7">
        <v>1</v>
      </c>
      <c r="G55" s="7">
        <v>2</v>
      </c>
      <c r="H55" s="6">
        <v>100</v>
      </c>
      <c r="I55" s="7">
        <v>18</v>
      </c>
      <c r="J55" s="7">
        <v>2</v>
      </c>
      <c r="K55" s="7">
        <v>119</v>
      </c>
      <c r="L55" s="6" t="b">
        <v>0</v>
      </c>
      <c r="M55" s="6">
        <v>0</v>
      </c>
      <c r="N55" s="6">
        <v>0</v>
      </c>
      <c r="O55" s="7">
        <v>1</v>
      </c>
      <c r="P55" s="5">
        <v>0</v>
      </c>
      <c r="Q55" s="7">
        <v>0</v>
      </c>
      <c r="R55" s="5" t="b">
        <v>1</v>
      </c>
      <c r="S55" s="7">
        <v>3</v>
      </c>
      <c r="T55" s="7">
        <v>2</v>
      </c>
      <c r="U55" s="6">
        <v>100</v>
      </c>
      <c r="V55" s="7">
        <v>30</v>
      </c>
      <c r="W55" s="7">
        <v>0</v>
      </c>
      <c r="X55" s="7">
        <v>21</v>
      </c>
      <c r="Y55" s="6" t="b">
        <v>0</v>
      </c>
      <c r="Z55" s="6">
        <v>0</v>
      </c>
      <c r="AA55" s="6">
        <v>0</v>
      </c>
      <c r="AB55" s="7">
        <v>3</v>
      </c>
      <c r="AC55" s="7">
        <v>17</v>
      </c>
      <c r="AD55" s="7">
        <v>2</v>
      </c>
      <c r="AE55" s="5" t="b">
        <v>1</v>
      </c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</row>
    <row r="56" spans="1:52" ht="18.75" customHeight="1">
      <c r="B56" s="7">
        <v>160001</v>
      </c>
      <c r="C56" s="7" t="s">
        <v>442</v>
      </c>
      <c r="D56" s="10" t="s">
        <v>818</v>
      </c>
      <c r="E56" s="6">
        <v>2</v>
      </c>
      <c r="F56" s="6">
        <v>1</v>
      </c>
      <c r="G56" s="6">
        <v>2</v>
      </c>
      <c r="H56" s="6">
        <v>100</v>
      </c>
      <c r="I56" s="6">
        <v>18</v>
      </c>
      <c r="J56" s="6">
        <v>2</v>
      </c>
      <c r="K56" s="6">
        <v>126</v>
      </c>
      <c r="L56" s="6" t="b">
        <v>0</v>
      </c>
      <c r="M56" s="6">
        <v>0</v>
      </c>
      <c r="N56" s="6">
        <v>0</v>
      </c>
      <c r="O56" s="5">
        <v>1</v>
      </c>
      <c r="P56" s="7">
        <v>0</v>
      </c>
      <c r="Q56" s="5">
        <v>0</v>
      </c>
      <c r="R56" s="5" t="b">
        <v>1</v>
      </c>
      <c r="S56" s="6">
        <v>3</v>
      </c>
      <c r="T56" s="6">
        <v>2</v>
      </c>
      <c r="U56" s="6">
        <v>30</v>
      </c>
      <c r="V56" s="5">
        <v>30</v>
      </c>
      <c r="W56" s="5">
        <v>0</v>
      </c>
      <c r="X56" s="5">
        <v>0</v>
      </c>
      <c r="Y56" s="6" t="b">
        <v>0</v>
      </c>
      <c r="Z56" s="6">
        <v>0</v>
      </c>
      <c r="AA56" s="6">
        <v>0</v>
      </c>
      <c r="AB56" s="5">
        <v>3</v>
      </c>
      <c r="AC56" s="5">
        <v>31</v>
      </c>
      <c r="AD56" s="5">
        <v>2</v>
      </c>
      <c r="AE56" s="5" t="b">
        <v>1</v>
      </c>
      <c r="AF56" s="29">
        <v>2</v>
      </c>
      <c r="AG56" s="29">
        <v>2</v>
      </c>
      <c r="AH56" s="29">
        <v>100</v>
      </c>
      <c r="AI56" s="29">
        <v>22</v>
      </c>
      <c r="AJ56" s="29">
        <v>4</v>
      </c>
      <c r="AK56" s="29">
        <v>90</v>
      </c>
      <c r="AL56" s="29" t="b">
        <v>0</v>
      </c>
      <c r="AM56" s="29">
        <v>0</v>
      </c>
      <c r="AN56" s="29">
        <v>0</v>
      </c>
      <c r="AO56" s="29">
        <v>49</v>
      </c>
      <c r="AP56" s="29">
        <v>0</v>
      </c>
      <c r="AQ56" s="29">
        <v>0</v>
      </c>
      <c r="AR56" s="29" t="b">
        <v>1</v>
      </c>
    </row>
    <row r="57" spans="1:52" ht="18.75" customHeight="1">
      <c r="B57" s="7">
        <v>160002</v>
      </c>
      <c r="C57" s="7" t="s">
        <v>1583</v>
      </c>
      <c r="D57" s="10" t="s">
        <v>818</v>
      </c>
      <c r="E57" s="6">
        <v>2</v>
      </c>
      <c r="F57" s="6">
        <v>1</v>
      </c>
      <c r="G57" s="6">
        <v>2</v>
      </c>
      <c r="H57" s="6">
        <v>100</v>
      </c>
      <c r="I57" s="6">
        <v>18</v>
      </c>
      <c r="J57" s="6">
        <v>2</v>
      </c>
      <c r="K57" s="6">
        <v>126</v>
      </c>
      <c r="L57" s="6" t="b">
        <v>0</v>
      </c>
      <c r="M57" s="6">
        <v>0</v>
      </c>
      <c r="N57" s="6">
        <v>0</v>
      </c>
      <c r="O57" s="5">
        <v>1</v>
      </c>
      <c r="P57" s="7">
        <v>0</v>
      </c>
      <c r="Q57" s="5">
        <v>0</v>
      </c>
      <c r="R57" s="5" t="b">
        <v>1</v>
      </c>
      <c r="S57" s="6">
        <v>3</v>
      </c>
      <c r="T57" s="6">
        <v>2</v>
      </c>
      <c r="U57" s="6">
        <v>30</v>
      </c>
      <c r="V57" s="5">
        <v>30</v>
      </c>
      <c r="W57" s="5">
        <v>0</v>
      </c>
      <c r="X57" s="5">
        <v>0</v>
      </c>
      <c r="Y57" s="6" t="b">
        <v>0</v>
      </c>
      <c r="Z57" s="6">
        <v>0</v>
      </c>
      <c r="AA57" s="6">
        <v>0</v>
      </c>
      <c r="AB57" s="5">
        <v>3</v>
      </c>
      <c r="AC57" s="5">
        <v>31</v>
      </c>
      <c r="AD57" s="5">
        <v>2</v>
      </c>
      <c r="AE57" s="5" t="b">
        <v>1</v>
      </c>
      <c r="AF57" s="29">
        <v>2</v>
      </c>
      <c r="AG57" s="29">
        <v>2</v>
      </c>
      <c r="AH57" s="29">
        <v>100</v>
      </c>
      <c r="AI57" s="29">
        <v>22</v>
      </c>
      <c r="AJ57" s="29">
        <v>4</v>
      </c>
      <c r="AK57" s="29">
        <v>90</v>
      </c>
      <c r="AL57" s="29" t="b">
        <v>0</v>
      </c>
      <c r="AM57" s="29">
        <v>0</v>
      </c>
      <c r="AN57" s="29">
        <v>0</v>
      </c>
      <c r="AO57" s="29">
        <v>49</v>
      </c>
      <c r="AP57" s="29">
        <v>0</v>
      </c>
      <c r="AQ57" s="29">
        <v>0</v>
      </c>
      <c r="AR57" s="29" t="b">
        <v>1</v>
      </c>
    </row>
    <row r="58" spans="1:52" ht="18.75" customHeight="1">
      <c r="B58" s="7">
        <v>160003</v>
      </c>
      <c r="C58" s="7" t="s">
        <v>1653</v>
      </c>
      <c r="D58" s="10" t="s">
        <v>818</v>
      </c>
      <c r="E58" s="6">
        <v>2</v>
      </c>
      <c r="F58" s="6">
        <v>1</v>
      </c>
      <c r="G58" s="6">
        <v>2</v>
      </c>
      <c r="H58" s="6">
        <v>100</v>
      </c>
      <c r="I58" s="6">
        <v>18</v>
      </c>
      <c r="J58" s="6">
        <v>2</v>
      </c>
      <c r="K58" s="6">
        <v>126</v>
      </c>
      <c r="L58" s="6" t="b">
        <v>0</v>
      </c>
      <c r="M58" s="6">
        <v>0</v>
      </c>
      <c r="N58" s="6">
        <v>0</v>
      </c>
      <c r="O58" s="5">
        <v>1</v>
      </c>
      <c r="P58" s="7">
        <v>0</v>
      </c>
      <c r="Q58" s="5">
        <v>0</v>
      </c>
      <c r="R58" s="5" t="b">
        <v>1</v>
      </c>
      <c r="S58" s="6">
        <v>3</v>
      </c>
      <c r="T58" s="6">
        <v>2</v>
      </c>
      <c r="U58" s="6">
        <v>30</v>
      </c>
      <c r="V58" s="5">
        <v>30</v>
      </c>
      <c r="W58" s="5">
        <v>0</v>
      </c>
      <c r="X58" s="5">
        <v>0</v>
      </c>
      <c r="Y58" s="6" t="b">
        <v>0</v>
      </c>
      <c r="Z58" s="6">
        <v>0</v>
      </c>
      <c r="AA58" s="6">
        <v>0</v>
      </c>
      <c r="AB58" s="5">
        <v>3</v>
      </c>
      <c r="AC58" s="5">
        <v>31</v>
      </c>
      <c r="AD58" s="5">
        <v>2</v>
      </c>
      <c r="AE58" s="5" t="b">
        <v>1</v>
      </c>
      <c r="AF58" s="29">
        <v>2</v>
      </c>
      <c r="AG58" s="29">
        <v>2</v>
      </c>
      <c r="AH58" s="29">
        <v>100</v>
      </c>
      <c r="AI58" s="29">
        <v>22</v>
      </c>
      <c r="AJ58" s="29">
        <v>4</v>
      </c>
      <c r="AK58" s="29">
        <v>90</v>
      </c>
      <c r="AL58" s="29" t="b">
        <v>0</v>
      </c>
      <c r="AM58" s="29">
        <v>0</v>
      </c>
      <c r="AN58" s="29">
        <v>0</v>
      </c>
      <c r="AO58" s="29">
        <v>49</v>
      </c>
      <c r="AP58" s="29">
        <v>0</v>
      </c>
      <c r="AQ58" s="29">
        <v>0</v>
      </c>
      <c r="AR58" s="29" t="b">
        <v>1</v>
      </c>
    </row>
    <row r="59" spans="1:52" ht="18.75" customHeight="1">
      <c r="B59" s="5">
        <v>170001</v>
      </c>
      <c r="C59" s="7" t="s">
        <v>443</v>
      </c>
      <c r="D59" s="10" t="s">
        <v>850</v>
      </c>
      <c r="E59" s="7">
        <v>2</v>
      </c>
      <c r="F59" s="7">
        <v>1</v>
      </c>
      <c r="G59" s="7">
        <v>2</v>
      </c>
      <c r="H59" s="6">
        <v>100</v>
      </c>
      <c r="I59" s="7">
        <v>39</v>
      </c>
      <c r="J59" s="7">
        <v>2</v>
      </c>
      <c r="K59" s="7">
        <v>144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7">
        <v>3</v>
      </c>
      <c r="T59" s="7">
        <v>2</v>
      </c>
      <c r="U59" s="6">
        <v>100</v>
      </c>
      <c r="V59" s="7">
        <v>30</v>
      </c>
      <c r="W59" s="7">
        <v>2</v>
      </c>
      <c r="X59" s="7">
        <v>13</v>
      </c>
      <c r="Y59" s="6" t="b">
        <v>0</v>
      </c>
      <c r="Z59" s="6">
        <v>0</v>
      </c>
      <c r="AA59" s="6">
        <v>0</v>
      </c>
      <c r="AB59" s="7">
        <v>1</v>
      </c>
      <c r="AC59" s="7">
        <v>65</v>
      </c>
      <c r="AD59" s="7">
        <v>15</v>
      </c>
      <c r="AE59" s="5" t="b">
        <v>1</v>
      </c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</row>
    <row r="60" spans="1:52" ht="18.75" customHeight="1">
      <c r="B60" s="5">
        <v>170002</v>
      </c>
      <c r="C60" s="7" t="s">
        <v>1584</v>
      </c>
      <c r="D60" s="10" t="s">
        <v>850</v>
      </c>
      <c r="E60" s="7">
        <v>2</v>
      </c>
      <c r="F60" s="7">
        <v>1</v>
      </c>
      <c r="G60" s="7">
        <v>2</v>
      </c>
      <c r="H60" s="6">
        <v>100</v>
      </c>
      <c r="I60" s="7">
        <v>39</v>
      </c>
      <c r="J60" s="7">
        <v>2</v>
      </c>
      <c r="K60" s="7">
        <v>144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7">
        <v>3</v>
      </c>
      <c r="T60" s="7">
        <v>2</v>
      </c>
      <c r="U60" s="6">
        <v>100</v>
      </c>
      <c r="V60" s="7">
        <v>30</v>
      </c>
      <c r="W60" s="7">
        <v>2</v>
      </c>
      <c r="X60" s="7">
        <v>13</v>
      </c>
      <c r="Y60" s="6" t="b">
        <v>0</v>
      </c>
      <c r="Z60" s="6">
        <v>0</v>
      </c>
      <c r="AA60" s="6">
        <v>0</v>
      </c>
      <c r="AB60" s="7">
        <v>1</v>
      </c>
      <c r="AC60" s="7">
        <v>65</v>
      </c>
      <c r="AD60" s="7">
        <v>15</v>
      </c>
      <c r="AE60" s="5" t="b">
        <v>1</v>
      </c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</row>
    <row r="61" spans="1:52" ht="18.75" customHeight="1">
      <c r="B61" s="5">
        <v>170003</v>
      </c>
      <c r="C61" s="7" t="s">
        <v>1654</v>
      </c>
      <c r="D61" s="10" t="s">
        <v>850</v>
      </c>
      <c r="E61" s="7">
        <v>2</v>
      </c>
      <c r="F61" s="7">
        <v>1</v>
      </c>
      <c r="G61" s="7">
        <v>2</v>
      </c>
      <c r="H61" s="6">
        <v>100</v>
      </c>
      <c r="I61" s="7">
        <v>39</v>
      </c>
      <c r="J61" s="7">
        <v>2</v>
      </c>
      <c r="K61" s="7">
        <v>144</v>
      </c>
      <c r="L61" s="6" t="b">
        <v>0</v>
      </c>
      <c r="M61" s="6">
        <v>0</v>
      </c>
      <c r="N61" s="6">
        <v>0</v>
      </c>
      <c r="O61" s="7">
        <v>1</v>
      </c>
      <c r="P61" s="5">
        <v>0</v>
      </c>
      <c r="Q61" s="7">
        <v>0</v>
      </c>
      <c r="R61" s="5" t="b">
        <v>1</v>
      </c>
      <c r="S61" s="7">
        <v>3</v>
      </c>
      <c r="T61" s="7">
        <v>2</v>
      </c>
      <c r="U61" s="6">
        <v>100</v>
      </c>
      <c r="V61" s="7">
        <v>30</v>
      </c>
      <c r="W61" s="7">
        <v>2</v>
      </c>
      <c r="X61" s="7">
        <v>13</v>
      </c>
      <c r="Y61" s="6" t="b">
        <v>0</v>
      </c>
      <c r="Z61" s="6">
        <v>0</v>
      </c>
      <c r="AA61" s="6">
        <v>0</v>
      </c>
      <c r="AB61" s="7">
        <v>1</v>
      </c>
      <c r="AC61" s="7">
        <v>65</v>
      </c>
      <c r="AD61" s="7">
        <v>15</v>
      </c>
      <c r="AE61" s="5" t="b">
        <v>1</v>
      </c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</row>
    <row r="62" spans="1:52" ht="18.75" customHeight="1">
      <c r="B62" s="7">
        <v>180001</v>
      </c>
      <c r="C62" s="7" t="s">
        <v>444</v>
      </c>
      <c r="D62" s="10" t="s">
        <v>504</v>
      </c>
      <c r="E62" s="7">
        <v>2</v>
      </c>
      <c r="F62" s="7">
        <v>1</v>
      </c>
      <c r="G62" s="7">
        <v>2</v>
      </c>
      <c r="H62" s="6">
        <v>100</v>
      </c>
      <c r="I62" s="7">
        <v>19</v>
      </c>
      <c r="J62" s="7">
        <v>2</v>
      </c>
      <c r="K62" s="7">
        <v>120</v>
      </c>
      <c r="L62" s="6" t="b">
        <v>0</v>
      </c>
      <c r="M62" s="6">
        <v>0</v>
      </c>
      <c r="N62" s="6">
        <v>0</v>
      </c>
      <c r="O62" s="7">
        <v>1</v>
      </c>
      <c r="P62" s="7">
        <v>0</v>
      </c>
      <c r="Q62" s="7">
        <v>0</v>
      </c>
      <c r="R62" s="5" t="b">
        <v>1</v>
      </c>
      <c r="S62" s="7"/>
      <c r="T62" s="7"/>
      <c r="U62" s="6"/>
      <c r="V62" s="7"/>
      <c r="W62" s="7"/>
      <c r="X62" s="7"/>
      <c r="Y62" s="6"/>
      <c r="Z62" s="6"/>
      <c r="AA62" s="6"/>
      <c r="AB62" s="7"/>
      <c r="AC62" s="7"/>
      <c r="AD62" s="7"/>
      <c r="AE62" s="5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</row>
    <row r="63" spans="1:52" ht="18.75" customHeight="1">
      <c r="B63" s="7">
        <v>180002</v>
      </c>
      <c r="C63" s="7" t="s">
        <v>1585</v>
      </c>
      <c r="D63" s="10" t="s">
        <v>504</v>
      </c>
      <c r="E63" s="7">
        <v>2</v>
      </c>
      <c r="F63" s="7">
        <v>1</v>
      </c>
      <c r="G63" s="7">
        <v>2</v>
      </c>
      <c r="H63" s="6">
        <v>100</v>
      </c>
      <c r="I63" s="7">
        <v>19</v>
      </c>
      <c r="J63" s="7">
        <v>2</v>
      </c>
      <c r="K63" s="7">
        <v>120</v>
      </c>
      <c r="L63" s="6" t="b">
        <v>0</v>
      </c>
      <c r="M63" s="6">
        <v>0</v>
      </c>
      <c r="N63" s="6">
        <v>0</v>
      </c>
      <c r="O63" s="7">
        <v>1</v>
      </c>
      <c r="P63" s="7">
        <v>0</v>
      </c>
      <c r="Q63" s="7">
        <v>0</v>
      </c>
      <c r="R63" s="5" t="b">
        <v>1</v>
      </c>
      <c r="S63" s="7"/>
      <c r="T63" s="7"/>
      <c r="U63" s="6"/>
      <c r="V63" s="7"/>
      <c r="W63" s="7"/>
      <c r="X63" s="7"/>
      <c r="Y63" s="6"/>
      <c r="Z63" s="6"/>
      <c r="AA63" s="6"/>
      <c r="AB63" s="7"/>
      <c r="AC63" s="7"/>
      <c r="AD63" s="7"/>
      <c r="AE63" s="5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</row>
    <row r="64" spans="1:52" ht="18.75" customHeight="1">
      <c r="B64" s="7">
        <v>180003</v>
      </c>
      <c r="C64" s="7" t="s">
        <v>1655</v>
      </c>
      <c r="D64" s="10" t="s">
        <v>504</v>
      </c>
      <c r="E64" s="7">
        <v>2</v>
      </c>
      <c r="F64" s="7">
        <v>1</v>
      </c>
      <c r="G64" s="7">
        <v>2</v>
      </c>
      <c r="H64" s="6">
        <v>100</v>
      </c>
      <c r="I64" s="7">
        <v>19</v>
      </c>
      <c r="J64" s="7">
        <v>2</v>
      </c>
      <c r="K64" s="7">
        <v>120</v>
      </c>
      <c r="L64" s="6" t="b">
        <v>0</v>
      </c>
      <c r="M64" s="6">
        <v>0</v>
      </c>
      <c r="N64" s="6">
        <v>0</v>
      </c>
      <c r="O64" s="7">
        <v>1</v>
      </c>
      <c r="P64" s="7">
        <v>0</v>
      </c>
      <c r="Q64" s="7">
        <v>0</v>
      </c>
      <c r="R64" s="5" t="b">
        <v>1</v>
      </c>
      <c r="S64" s="7"/>
      <c r="T64" s="7"/>
      <c r="U64" s="6"/>
      <c r="V64" s="7"/>
      <c r="W64" s="7"/>
      <c r="X64" s="7"/>
      <c r="Y64" s="6"/>
      <c r="Z64" s="6"/>
      <c r="AA64" s="6"/>
      <c r="AB64" s="7"/>
      <c r="AC64" s="7"/>
      <c r="AD64" s="7"/>
      <c r="AE64" s="5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</row>
    <row r="65" spans="2:44" ht="18.75" customHeight="1">
      <c r="B65" s="5">
        <v>190001</v>
      </c>
      <c r="C65" s="7" t="s">
        <v>445</v>
      </c>
      <c r="D65" s="10" t="s">
        <v>819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7">
        <v>180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2</v>
      </c>
      <c r="T65" s="7">
        <v>5</v>
      </c>
      <c r="U65" s="6">
        <v>100</v>
      </c>
      <c r="V65" s="7">
        <v>1</v>
      </c>
      <c r="W65" s="7">
        <v>4</v>
      </c>
      <c r="X65" s="7">
        <v>75</v>
      </c>
      <c r="Y65" s="6" t="b">
        <v>0</v>
      </c>
      <c r="Z65" s="6">
        <v>0</v>
      </c>
      <c r="AA65" s="6">
        <v>0</v>
      </c>
      <c r="AB65" s="7">
        <v>49</v>
      </c>
      <c r="AC65" s="7">
        <v>0</v>
      </c>
      <c r="AD65" s="7">
        <v>0</v>
      </c>
      <c r="AE65" s="5" t="b">
        <v>1</v>
      </c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</row>
    <row r="66" spans="2:44" ht="18.75" customHeight="1">
      <c r="B66" s="5">
        <v>190002</v>
      </c>
      <c r="C66" s="7" t="s">
        <v>1586</v>
      </c>
      <c r="D66" s="10" t="s">
        <v>819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7">
        <v>180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2</v>
      </c>
      <c r="T66" s="7">
        <v>5</v>
      </c>
      <c r="U66" s="6">
        <v>100</v>
      </c>
      <c r="V66" s="7">
        <v>1</v>
      </c>
      <c r="W66" s="7">
        <v>4</v>
      </c>
      <c r="X66" s="7">
        <v>75</v>
      </c>
      <c r="Y66" s="6" t="b">
        <v>0</v>
      </c>
      <c r="Z66" s="6">
        <v>0</v>
      </c>
      <c r="AA66" s="6">
        <v>0</v>
      </c>
      <c r="AB66" s="7">
        <v>49</v>
      </c>
      <c r="AC66" s="7">
        <v>0</v>
      </c>
      <c r="AD66" s="7">
        <v>0</v>
      </c>
      <c r="AE66" s="5" t="b">
        <v>1</v>
      </c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</row>
    <row r="67" spans="2:44" ht="18.75" customHeight="1">
      <c r="B67" s="5">
        <v>190003</v>
      </c>
      <c r="C67" s="7" t="s">
        <v>1656</v>
      </c>
      <c r="D67" s="10" t="s">
        <v>819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7">
        <v>180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2</v>
      </c>
      <c r="T67" s="7">
        <v>5</v>
      </c>
      <c r="U67" s="6">
        <v>100</v>
      </c>
      <c r="V67" s="7">
        <v>1</v>
      </c>
      <c r="W67" s="7">
        <v>4</v>
      </c>
      <c r="X67" s="7">
        <v>75</v>
      </c>
      <c r="Y67" s="6" t="b">
        <v>0</v>
      </c>
      <c r="Z67" s="6">
        <v>0</v>
      </c>
      <c r="AA67" s="6">
        <v>0</v>
      </c>
      <c r="AB67" s="7">
        <v>49</v>
      </c>
      <c r="AC67" s="7">
        <v>0</v>
      </c>
      <c r="AD67" s="7">
        <v>0</v>
      </c>
      <c r="AE67" s="5" t="b">
        <v>1</v>
      </c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</row>
    <row r="68" spans="2:44" ht="18.75" customHeight="1">
      <c r="B68" s="7">
        <v>200001</v>
      </c>
      <c r="C68" s="7" t="s">
        <v>446</v>
      </c>
      <c r="D68" s="10" t="s">
        <v>505</v>
      </c>
      <c r="E68" s="7">
        <v>2</v>
      </c>
      <c r="F68" s="7">
        <v>1</v>
      </c>
      <c r="G68" s="7">
        <v>2</v>
      </c>
      <c r="H68" s="6">
        <v>100</v>
      </c>
      <c r="I68" s="7">
        <v>12</v>
      </c>
      <c r="J68" s="7">
        <v>2</v>
      </c>
      <c r="K68" s="7">
        <v>182</v>
      </c>
      <c r="L68" s="6" t="b">
        <v>0</v>
      </c>
      <c r="M68" s="6">
        <v>0</v>
      </c>
      <c r="N68" s="6">
        <v>0</v>
      </c>
      <c r="O68" s="7">
        <v>1</v>
      </c>
      <c r="P68" s="7">
        <v>0</v>
      </c>
      <c r="Q68" s="7">
        <v>0</v>
      </c>
      <c r="R68" s="5" t="b">
        <v>1</v>
      </c>
      <c r="S68" s="7"/>
      <c r="T68" s="7"/>
      <c r="U68" s="6"/>
      <c r="V68" s="7"/>
      <c r="W68" s="7"/>
      <c r="X68" s="7"/>
      <c r="Y68" s="6"/>
      <c r="Z68" s="6"/>
      <c r="AA68" s="6"/>
      <c r="AB68" s="7"/>
      <c r="AC68" s="7"/>
      <c r="AD68" s="7"/>
      <c r="AE68" s="5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</row>
    <row r="69" spans="2:44" ht="18.75" customHeight="1">
      <c r="B69" s="7">
        <v>200002</v>
      </c>
      <c r="C69" s="7" t="s">
        <v>1587</v>
      </c>
      <c r="D69" s="10" t="s">
        <v>505</v>
      </c>
      <c r="E69" s="7">
        <v>2</v>
      </c>
      <c r="F69" s="7">
        <v>1</v>
      </c>
      <c r="G69" s="7">
        <v>2</v>
      </c>
      <c r="H69" s="6">
        <v>100</v>
      </c>
      <c r="I69" s="7">
        <v>12</v>
      </c>
      <c r="J69" s="7">
        <v>2</v>
      </c>
      <c r="K69" s="7">
        <v>182</v>
      </c>
      <c r="L69" s="6" t="b">
        <v>0</v>
      </c>
      <c r="M69" s="6">
        <v>0</v>
      </c>
      <c r="N69" s="6">
        <v>0</v>
      </c>
      <c r="O69" s="7">
        <v>1</v>
      </c>
      <c r="P69" s="7">
        <v>0</v>
      </c>
      <c r="Q69" s="7">
        <v>0</v>
      </c>
      <c r="R69" s="5" t="b">
        <v>1</v>
      </c>
      <c r="S69" s="7"/>
      <c r="T69" s="7"/>
      <c r="U69" s="6"/>
      <c r="V69" s="7"/>
      <c r="W69" s="7"/>
      <c r="X69" s="7"/>
      <c r="Y69" s="6"/>
      <c r="Z69" s="6"/>
      <c r="AA69" s="6"/>
      <c r="AB69" s="7"/>
      <c r="AC69" s="7"/>
      <c r="AD69" s="7"/>
      <c r="AE69" s="5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</row>
    <row r="70" spans="2:44" ht="18.75" customHeight="1">
      <c r="B70" s="7">
        <v>200003</v>
      </c>
      <c r="C70" s="7" t="s">
        <v>1657</v>
      </c>
      <c r="D70" s="10" t="s">
        <v>505</v>
      </c>
      <c r="E70" s="7">
        <v>2</v>
      </c>
      <c r="F70" s="7">
        <v>1</v>
      </c>
      <c r="G70" s="7">
        <v>2</v>
      </c>
      <c r="H70" s="6">
        <v>100</v>
      </c>
      <c r="I70" s="7">
        <v>12</v>
      </c>
      <c r="J70" s="7">
        <v>2</v>
      </c>
      <c r="K70" s="7">
        <v>182</v>
      </c>
      <c r="L70" s="6" t="b">
        <v>0</v>
      </c>
      <c r="M70" s="6">
        <v>0</v>
      </c>
      <c r="N70" s="6">
        <v>0</v>
      </c>
      <c r="O70" s="7">
        <v>1</v>
      </c>
      <c r="P70" s="7">
        <v>0</v>
      </c>
      <c r="Q70" s="7">
        <v>0</v>
      </c>
      <c r="R70" s="5" t="b">
        <v>1</v>
      </c>
      <c r="S70" s="7"/>
      <c r="T70" s="7"/>
      <c r="U70" s="6"/>
      <c r="V70" s="7"/>
      <c r="W70" s="7"/>
      <c r="X70" s="7"/>
      <c r="Y70" s="6"/>
      <c r="Z70" s="6"/>
      <c r="AA70" s="6"/>
      <c r="AB70" s="7"/>
      <c r="AC70" s="7"/>
      <c r="AD70" s="7"/>
      <c r="AE70" s="5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</row>
    <row r="71" spans="2:44" ht="18.75" customHeight="1">
      <c r="B71" s="5">
        <v>210001</v>
      </c>
      <c r="C71" s="7" t="s">
        <v>447</v>
      </c>
      <c r="D71" s="10" t="s">
        <v>506</v>
      </c>
      <c r="E71" s="6">
        <v>2</v>
      </c>
      <c r="F71" s="6">
        <v>1</v>
      </c>
      <c r="G71" s="6">
        <v>2</v>
      </c>
      <c r="H71" s="6">
        <v>100</v>
      </c>
      <c r="I71" s="6">
        <v>3</v>
      </c>
      <c r="J71" s="6">
        <v>2</v>
      </c>
      <c r="K71" s="6">
        <v>51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15</v>
      </c>
      <c r="V71" s="5">
        <v>30</v>
      </c>
      <c r="W71" s="5">
        <v>0</v>
      </c>
      <c r="X71" s="5">
        <v>0</v>
      </c>
      <c r="Y71" s="6" t="b">
        <v>0</v>
      </c>
      <c r="Z71" s="6">
        <v>0</v>
      </c>
      <c r="AA71" s="6">
        <v>0</v>
      </c>
      <c r="AB71" s="5">
        <v>3</v>
      </c>
      <c r="AC71" s="5">
        <v>31</v>
      </c>
      <c r="AD71" s="5">
        <v>2</v>
      </c>
      <c r="AE71" s="5" t="b">
        <v>1</v>
      </c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</row>
    <row r="72" spans="2:44" ht="18.75" customHeight="1">
      <c r="B72" s="5">
        <v>210002</v>
      </c>
      <c r="C72" s="7" t="s">
        <v>1588</v>
      </c>
      <c r="D72" s="10" t="s">
        <v>506</v>
      </c>
      <c r="E72" s="6">
        <v>2</v>
      </c>
      <c r="F72" s="6">
        <v>1</v>
      </c>
      <c r="G72" s="6">
        <v>2</v>
      </c>
      <c r="H72" s="6">
        <v>100</v>
      </c>
      <c r="I72" s="6">
        <v>3</v>
      </c>
      <c r="J72" s="6">
        <v>2</v>
      </c>
      <c r="K72" s="6">
        <v>51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15</v>
      </c>
      <c r="V72" s="5">
        <v>30</v>
      </c>
      <c r="W72" s="5">
        <v>0</v>
      </c>
      <c r="X72" s="5">
        <v>0</v>
      </c>
      <c r="Y72" s="6" t="b">
        <v>0</v>
      </c>
      <c r="Z72" s="6">
        <v>0</v>
      </c>
      <c r="AA72" s="6">
        <v>0</v>
      </c>
      <c r="AB72" s="5">
        <v>3</v>
      </c>
      <c r="AC72" s="5">
        <v>31</v>
      </c>
      <c r="AD72" s="5">
        <v>2</v>
      </c>
      <c r="AE72" s="5" t="b">
        <v>1</v>
      </c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</row>
    <row r="73" spans="2:44" ht="18.75" customHeight="1">
      <c r="B73" s="5">
        <v>210003</v>
      </c>
      <c r="C73" s="7" t="s">
        <v>1658</v>
      </c>
      <c r="D73" s="10" t="s">
        <v>506</v>
      </c>
      <c r="E73" s="6">
        <v>2</v>
      </c>
      <c r="F73" s="6">
        <v>1</v>
      </c>
      <c r="G73" s="6">
        <v>2</v>
      </c>
      <c r="H73" s="6">
        <v>100</v>
      </c>
      <c r="I73" s="6">
        <v>3</v>
      </c>
      <c r="J73" s="6">
        <v>2</v>
      </c>
      <c r="K73" s="6">
        <v>51</v>
      </c>
      <c r="L73" s="6" t="b">
        <v>0</v>
      </c>
      <c r="M73" s="6">
        <v>0</v>
      </c>
      <c r="N73" s="6">
        <v>0</v>
      </c>
      <c r="O73" s="5">
        <v>1</v>
      </c>
      <c r="P73" s="5">
        <v>0</v>
      </c>
      <c r="Q73" s="5">
        <v>0</v>
      </c>
      <c r="R73" s="5" t="b">
        <v>1</v>
      </c>
      <c r="S73" s="6">
        <v>3</v>
      </c>
      <c r="T73" s="6">
        <v>2</v>
      </c>
      <c r="U73" s="6">
        <v>15</v>
      </c>
      <c r="V73" s="5">
        <v>30</v>
      </c>
      <c r="W73" s="5">
        <v>0</v>
      </c>
      <c r="X73" s="5">
        <v>0</v>
      </c>
      <c r="Y73" s="6" t="b">
        <v>0</v>
      </c>
      <c r="Z73" s="6">
        <v>0</v>
      </c>
      <c r="AA73" s="6">
        <v>0</v>
      </c>
      <c r="AB73" s="5">
        <v>3</v>
      </c>
      <c r="AC73" s="5">
        <v>31</v>
      </c>
      <c r="AD73" s="5">
        <v>2</v>
      </c>
      <c r="AE73" s="5" t="b">
        <v>1</v>
      </c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</row>
    <row r="74" spans="2:44" ht="18.75" customHeight="1">
      <c r="B74" s="7">
        <v>220001</v>
      </c>
      <c r="C74" s="7" t="s">
        <v>448</v>
      </c>
      <c r="D74" s="10" t="s">
        <v>851</v>
      </c>
      <c r="E74" s="7">
        <v>2</v>
      </c>
      <c r="F74" s="7">
        <v>1</v>
      </c>
      <c r="G74" s="7">
        <v>2</v>
      </c>
      <c r="H74" s="6">
        <v>100</v>
      </c>
      <c r="I74" s="7">
        <v>26</v>
      </c>
      <c r="J74" s="7">
        <v>2</v>
      </c>
      <c r="K74" s="7">
        <v>135</v>
      </c>
      <c r="L74" s="6" t="b">
        <v>0</v>
      </c>
      <c r="M74" s="6">
        <v>0</v>
      </c>
      <c r="N74" s="6">
        <v>0</v>
      </c>
      <c r="O74" s="7">
        <v>1</v>
      </c>
      <c r="P74" s="7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2</v>
      </c>
      <c r="X74" s="7">
        <v>43</v>
      </c>
      <c r="Y74" s="6" t="b">
        <v>0</v>
      </c>
      <c r="Z74" s="6">
        <v>0</v>
      </c>
      <c r="AA74" s="6">
        <v>0</v>
      </c>
      <c r="AB74" s="7">
        <v>1</v>
      </c>
      <c r="AC74" s="7">
        <v>64</v>
      </c>
      <c r="AD74" s="7">
        <v>2</v>
      </c>
      <c r="AE74" s="5" t="b">
        <v>1</v>
      </c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</row>
    <row r="75" spans="2:44" ht="18.75" customHeight="1">
      <c r="B75" s="7">
        <v>220002</v>
      </c>
      <c r="C75" s="7" t="s">
        <v>1589</v>
      </c>
      <c r="D75" s="10" t="s">
        <v>851</v>
      </c>
      <c r="E75" s="7">
        <v>2</v>
      </c>
      <c r="F75" s="7">
        <v>1</v>
      </c>
      <c r="G75" s="7">
        <v>2</v>
      </c>
      <c r="H75" s="6">
        <v>100</v>
      </c>
      <c r="I75" s="7">
        <v>26</v>
      </c>
      <c r="J75" s="7">
        <v>2</v>
      </c>
      <c r="K75" s="7">
        <v>135</v>
      </c>
      <c r="L75" s="6" t="b">
        <v>0</v>
      </c>
      <c r="M75" s="6">
        <v>0</v>
      </c>
      <c r="N75" s="6">
        <v>0</v>
      </c>
      <c r="O75" s="7">
        <v>1</v>
      </c>
      <c r="P75" s="7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2</v>
      </c>
      <c r="X75" s="7">
        <v>43</v>
      </c>
      <c r="Y75" s="6" t="b">
        <v>0</v>
      </c>
      <c r="Z75" s="6">
        <v>0</v>
      </c>
      <c r="AA75" s="6">
        <v>0</v>
      </c>
      <c r="AB75" s="7">
        <v>1</v>
      </c>
      <c r="AC75" s="7">
        <v>64</v>
      </c>
      <c r="AD75" s="7">
        <v>2</v>
      </c>
      <c r="AE75" s="5" t="b">
        <v>1</v>
      </c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</row>
    <row r="76" spans="2:44" ht="18.75" customHeight="1">
      <c r="B76" s="7">
        <v>220003</v>
      </c>
      <c r="C76" s="7" t="s">
        <v>1659</v>
      </c>
      <c r="D76" s="10" t="s">
        <v>851</v>
      </c>
      <c r="E76" s="7">
        <v>2</v>
      </c>
      <c r="F76" s="7">
        <v>1</v>
      </c>
      <c r="G76" s="7">
        <v>2</v>
      </c>
      <c r="H76" s="6">
        <v>100</v>
      </c>
      <c r="I76" s="7">
        <v>26</v>
      </c>
      <c r="J76" s="7">
        <v>2</v>
      </c>
      <c r="K76" s="7">
        <v>135</v>
      </c>
      <c r="L76" s="6" t="b">
        <v>0</v>
      </c>
      <c r="M76" s="6">
        <v>0</v>
      </c>
      <c r="N76" s="6">
        <v>0</v>
      </c>
      <c r="O76" s="7">
        <v>1</v>
      </c>
      <c r="P76" s="7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100</v>
      </c>
      <c r="V76" s="7">
        <v>30</v>
      </c>
      <c r="W76" s="7">
        <v>2</v>
      </c>
      <c r="X76" s="7">
        <v>43</v>
      </c>
      <c r="Y76" s="6" t="b">
        <v>0</v>
      </c>
      <c r="Z76" s="6">
        <v>0</v>
      </c>
      <c r="AA76" s="6">
        <v>0</v>
      </c>
      <c r="AB76" s="7">
        <v>1</v>
      </c>
      <c r="AC76" s="7">
        <v>64</v>
      </c>
      <c r="AD76" s="7">
        <v>2</v>
      </c>
      <c r="AE76" s="5" t="b">
        <v>1</v>
      </c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</row>
    <row r="77" spans="2:44" ht="18.75" customHeight="1">
      <c r="B77" s="5">
        <v>230001</v>
      </c>
      <c r="C77" s="7" t="s">
        <v>449</v>
      </c>
      <c r="D77" s="10" t="s">
        <v>852</v>
      </c>
      <c r="E77" s="7">
        <v>2</v>
      </c>
      <c r="F77" s="7">
        <v>1</v>
      </c>
      <c r="G77" s="7">
        <v>2</v>
      </c>
      <c r="H77" s="6">
        <v>100</v>
      </c>
      <c r="I77" s="7">
        <v>18</v>
      </c>
      <c r="J77" s="7">
        <v>2</v>
      </c>
      <c r="K77" s="7">
        <v>84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35</v>
      </c>
      <c r="V77" s="7">
        <v>30</v>
      </c>
      <c r="W77" s="7">
        <v>0</v>
      </c>
      <c r="X77" s="7">
        <v>0</v>
      </c>
      <c r="Y77" s="6" t="b">
        <v>0</v>
      </c>
      <c r="Z77" s="6">
        <v>0</v>
      </c>
      <c r="AA77" s="6">
        <v>0</v>
      </c>
      <c r="AB77" s="7">
        <v>3</v>
      </c>
      <c r="AC77" s="7">
        <v>33</v>
      </c>
      <c r="AD77" s="7">
        <v>2</v>
      </c>
      <c r="AE77" s="5" t="b">
        <v>1</v>
      </c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</row>
    <row r="78" spans="2:44" ht="18.75" customHeight="1">
      <c r="B78" s="5">
        <v>230002</v>
      </c>
      <c r="C78" s="7" t="s">
        <v>1590</v>
      </c>
      <c r="D78" s="10" t="s">
        <v>852</v>
      </c>
      <c r="E78" s="7">
        <v>2</v>
      </c>
      <c r="F78" s="7">
        <v>1</v>
      </c>
      <c r="G78" s="7">
        <v>2</v>
      </c>
      <c r="H78" s="6">
        <v>100</v>
      </c>
      <c r="I78" s="7">
        <v>18</v>
      </c>
      <c r="J78" s="7">
        <v>2</v>
      </c>
      <c r="K78" s="7">
        <v>84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35</v>
      </c>
      <c r="V78" s="7">
        <v>30</v>
      </c>
      <c r="W78" s="7">
        <v>0</v>
      </c>
      <c r="X78" s="7">
        <v>0</v>
      </c>
      <c r="Y78" s="6" t="b">
        <v>0</v>
      </c>
      <c r="Z78" s="6">
        <v>0</v>
      </c>
      <c r="AA78" s="6">
        <v>0</v>
      </c>
      <c r="AB78" s="7">
        <v>3</v>
      </c>
      <c r="AC78" s="7">
        <v>33</v>
      </c>
      <c r="AD78" s="7">
        <v>2</v>
      </c>
      <c r="AE78" s="5" t="b">
        <v>1</v>
      </c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</row>
    <row r="79" spans="2:44" ht="18.75" customHeight="1">
      <c r="B79" s="5">
        <v>230003</v>
      </c>
      <c r="C79" s="7" t="s">
        <v>1660</v>
      </c>
      <c r="D79" s="10" t="s">
        <v>852</v>
      </c>
      <c r="E79" s="7">
        <v>2</v>
      </c>
      <c r="F79" s="7">
        <v>1</v>
      </c>
      <c r="G79" s="7">
        <v>2</v>
      </c>
      <c r="H79" s="6">
        <v>100</v>
      </c>
      <c r="I79" s="7">
        <v>18</v>
      </c>
      <c r="J79" s="7">
        <v>2</v>
      </c>
      <c r="K79" s="7">
        <v>84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35</v>
      </c>
      <c r="V79" s="7">
        <v>30</v>
      </c>
      <c r="W79" s="7">
        <v>0</v>
      </c>
      <c r="X79" s="7">
        <v>0</v>
      </c>
      <c r="Y79" s="6" t="b">
        <v>0</v>
      </c>
      <c r="Z79" s="6">
        <v>0</v>
      </c>
      <c r="AA79" s="6">
        <v>0</v>
      </c>
      <c r="AB79" s="7">
        <v>3</v>
      </c>
      <c r="AC79" s="7">
        <v>33</v>
      </c>
      <c r="AD79" s="7">
        <v>2</v>
      </c>
      <c r="AE79" s="5" t="b">
        <v>1</v>
      </c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</row>
    <row r="80" spans="2:44" ht="18.75" customHeight="1">
      <c r="B80" s="7">
        <v>240001</v>
      </c>
      <c r="C80" s="7" t="s">
        <v>450</v>
      </c>
      <c r="D80" s="10" t="s">
        <v>820</v>
      </c>
      <c r="E80" s="7">
        <v>2</v>
      </c>
      <c r="F80" s="7">
        <v>1</v>
      </c>
      <c r="G80" s="7">
        <v>2</v>
      </c>
      <c r="H80" s="6">
        <v>100</v>
      </c>
      <c r="I80" s="7">
        <v>26</v>
      </c>
      <c r="J80" s="7">
        <v>2</v>
      </c>
      <c r="K80" s="7">
        <v>162</v>
      </c>
      <c r="L80" s="6" t="b">
        <v>0</v>
      </c>
      <c r="M80" s="6">
        <v>0</v>
      </c>
      <c r="N80" s="6">
        <v>0</v>
      </c>
      <c r="O80" s="7">
        <v>1</v>
      </c>
      <c r="P80" s="7">
        <v>0</v>
      </c>
      <c r="Q80" s="7">
        <v>0</v>
      </c>
      <c r="R80" s="5" t="b">
        <v>1</v>
      </c>
      <c r="S80" s="7">
        <v>2</v>
      </c>
      <c r="T80" s="7">
        <v>5</v>
      </c>
      <c r="U80" s="6">
        <v>100</v>
      </c>
      <c r="V80" s="7">
        <v>1</v>
      </c>
      <c r="W80" s="7">
        <v>4</v>
      </c>
      <c r="X80" s="7">
        <v>75</v>
      </c>
      <c r="Y80" s="6" t="b">
        <v>0</v>
      </c>
      <c r="Z80" s="6">
        <v>0</v>
      </c>
      <c r="AA80" s="6">
        <v>0</v>
      </c>
      <c r="AB80" s="7">
        <v>3</v>
      </c>
      <c r="AC80" s="7">
        <v>0</v>
      </c>
      <c r="AD80" s="7">
        <v>0</v>
      </c>
      <c r="AE80" s="5" t="b">
        <v>1</v>
      </c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</row>
    <row r="81" spans="1:52" ht="20.100000000000001" customHeight="1">
      <c r="A81" s="56" t="s">
        <v>107</v>
      </c>
      <c r="B81" s="7">
        <v>240002</v>
      </c>
      <c r="C81" s="7" t="s">
        <v>1591</v>
      </c>
      <c r="D81" s="10" t="s">
        <v>820</v>
      </c>
      <c r="E81" s="7">
        <v>2</v>
      </c>
      <c r="F81" s="7">
        <v>1</v>
      </c>
      <c r="G81" s="7">
        <v>2</v>
      </c>
      <c r="H81" s="6">
        <v>100</v>
      </c>
      <c r="I81" s="7">
        <v>26</v>
      </c>
      <c r="J81" s="7">
        <v>2</v>
      </c>
      <c r="K81" s="7">
        <v>162</v>
      </c>
      <c r="L81" s="6" t="b">
        <v>0</v>
      </c>
      <c r="M81" s="6">
        <v>0</v>
      </c>
      <c r="N81" s="6">
        <v>0</v>
      </c>
      <c r="O81" s="7">
        <v>1</v>
      </c>
      <c r="P81" s="7">
        <v>0</v>
      </c>
      <c r="Q81" s="7">
        <v>0</v>
      </c>
      <c r="R81" s="5" t="b">
        <v>1</v>
      </c>
      <c r="S81" s="7">
        <v>2</v>
      </c>
      <c r="T81" s="7">
        <v>5</v>
      </c>
      <c r="U81" s="6">
        <v>100</v>
      </c>
      <c r="V81" s="7">
        <v>1</v>
      </c>
      <c r="W81" s="7">
        <v>4</v>
      </c>
      <c r="X81" s="7">
        <v>75</v>
      </c>
      <c r="Y81" s="6" t="b">
        <v>0</v>
      </c>
      <c r="Z81" s="6">
        <v>0</v>
      </c>
      <c r="AA81" s="6">
        <v>0</v>
      </c>
      <c r="AB81" s="7">
        <v>3</v>
      </c>
      <c r="AC81" s="7">
        <v>0</v>
      </c>
      <c r="AD81" s="7">
        <v>0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6"/>
      <c r="AT81" s="6"/>
      <c r="AU81" s="6"/>
      <c r="AV81" s="6"/>
      <c r="AW81" s="6"/>
      <c r="AX81" s="6"/>
      <c r="AY81" s="6"/>
      <c r="AZ81" s="6"/>
    </row>
    <row r="82" spans="1:52" ht="18.75" customHeight="1">
      <c r="A82" s="56"/>
      <c r="B82" s="7">
        <v>240003</v>
      </c>
      <c r="C82" s="7" t="s">
        <v>1661</v>
      </c>
      <c r="D82" s="10" t="s">
        <v>820</v>
      </c>
      <c r="E82" s="7">
        <v>2</v>
      </c>
      <c r="F82" s="7">
        <v>1</v>
      </c>
      <c r="G82" s="7">
        <v>2</v>
      </c>
      <c r="H82" s="6">
        <v>100</v>
      </c>
      <c r="I82" s="7">
        <v>26</v>
      </c>
      <c r="J82" s="7">
        <v>2</v>
      </c>
      <c r="K82" s="7">
        <v>162</v>
      </c>
      <c r="L82" s="6" t="b">
        <v>0</v>
      </c>
      <c r="M82" s="6">
        <v>0</v>
      </c>
      <c r="N82" s="6">
        <v>0</v>
      </c>
      <c r="O82" s="7">
        <v>1</v>
      </c>
      <c r="P82" s="7">
        <v>0</v>
      </c>
      <c r="Q82" s="7">
        <v>0</v>
      </c>
      <c r="R82" s="5" t="b">
        <v>1</v>
      </c>
      <c r="S82" s="7">
        <v>2</v>
      </c>
      <c r="T82" s="7">
        <v>5</v>
      </c>
      <c r="U82" s="6">
        <v>100</v>
      </c>
      <c r="V82" s="7">
        <v>1</v>
      </c>
      <c r="W82" s="7">
        <v>4</v>
      </c>
      <c r="X82" s="7">
        <v>75</v>
      </c>
      <c r="Y82" s="6" t="b">
        <v>0</v>
      </c>
      <c r="Z82" s="6">
        <v>0</v>
      </c>
      <c r="AA82" s="6">
        <v>0</v>
      </c>
      <c r="AB82" s="7">
        <v>3</v>
      </c>
      <c r="AC82" s="7">
        <v>0</v>
      </c>
      <c r="AD82" s="7">
        <v>0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250001</v>
      </c>
      <c r="C83" s="7" t="s">
        <v>451</v>
      </c>
      <c r="D83" s="10" t="s">
        <v>512</v>
      </c>
      <c r="E83" s="7">
        <v>2</v>
      </c>
      <c r="F83" s="7">
        <v>1</v>
      </c>
      <c r="G83" s="7">
        <v>2</v>
      </c>
      <c r="H83" s="6">
        <v>100</v>
      </c>
      <c r="I83" s="7">
        <v>12</v>
      </c>
      <c r="J83" s="7">
        <v>2</v>
      </c>
      <c r="K83" s="7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7">
        <v>3</v>
      </c>
      <c r="T83" s="7">
        <v>2</v>
      </c>
      <c r="U83" s="6">
        <v>100</v>
      </c>
      <c r="V83" s="7">
        <v>30</v>
      </c>
      <c r="W83" s="7">
        <v>0</v>
      </c>
      <c r="X83" s="7">
        <v>12</v>
      </c>
      <c r="Y83" s="6" t="b">
        <v>0</v>
      </c>
      <c r="Z83" s="6">
        <v>0</v>
      </c>
      <c r="AA83" s="6">
        <v>0</v>
      </c>
      <c r="AB83" s="7">
        <v>3</v>
      </c>
      <c r="AC83" s="7">
        <v>22</v>
      </c>
      <c r="AD83" s="7">
        <v>2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250002</v>
      </c>
      <c r="C84" s="7" t="s">
        <v>1592</v>
      </c>
      <c r="D84" s="10" t="s">
        <v>512</v>
      </c>
      <c r="E84" s="7">
        <v>2</v>
      </c>
      <c r="F84" s="7">
        <v>1</v>
      </c>
      <c r="G84" s="7">
        <v>2</v>
      </c>
      <c r="H84" s="6">
        <v>100</v>
      </c>
      <c r="I84" s="7">
        <v>12</v>
      </c>
      <c r="J84" s="7">
        <v>2</v>
      </c>
      <c r="K84" s="7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7">
        <v>3</v>
      </c>
      <c r="T84" s="7">
        <v>2</v>
      </c>
      <c r="U84" s="6">
        <v>100</v>
      </c>
      <c r="V84" s="7">
        <v>30</v>
      </c>
      <c r="W84" s="7">
        <v>0</v>
      </c>
      <c r="X84" s="7">
        <v>12</v>
      </c>
      <c r="Y84" s="6" t="b">
        <v>0</v>
      </c>
      <c r="Z84" s="6">
        <v>0</v>
      </c>
      <c r="AA84" s="6">
        <v>0</v>
      </c>
      <c r="AB84" s="7">
        <v>3</v>
      </c>
      <c r="AC84" s="7">
        <v>22</v>
      </c>
      <c r="AD84" s="7">
        <v>2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5">
        <v>250003</v>
      </c>
      <c r="C85" s="7" t="s">
        <v>1662</v>
      </c>
      <c r="D85" s="10" t="s">
        <v>512</v>
      </c>
      <c r="E85" s="7">
        <v>2</v>
      </c>
      <c r="F85" s="7">
        <v>1</v>
      </c>
      <c r="G85" s="7">
        <v>2</v>
      </c>
      <c r="H85" s="6">
        <v>100</v>
      </c>
      <c r="I85" s="7">
        <v>12</v>
      </c>
      <c r="J85" s="7">
        <v>2</v>
      </c>
      <c r="K85" s="7">
        <v>100</v>
      </c>
      <c r="L85" s="6" t="b">
        <v>0</v>
      </c>
      <c r="M85" s="6">
        <v>0</v>
      </c>
      <c r="N85" s="6">
        <v>0</v>
      </c>
      <c r="O85" s="7">
        <v>1</v>
      </c>
      <c r="P85" s="5">
        <v>0</v>
      </c>
      <c r="Q85" s="7">
        <v>0</v>
      </c>
      <c r="R85" s="5" t="b">
        <v>1</v>
      </c>
      <c r="S85" s="7">
        <v>3</v>
      </c>
      <c r="T85" s="7">
        <v>2</v>
      </c>
      <c r="U85" s="6">
        <v>100</v>
      </c>
      <c r="V85" s="7">
        <v>30</v>
      </c>
      <c r="W85" s="7">
        <v>0</v>
      </c>
      <c r="X85" s="7">
        <v>12</v>
      </c>
      <c r="Y85" s="6" t="b">
        <v>0</v>
      </c>
      <c r="Z85" s="6">
        <v>0</v>
      </c>
      <c r="AA85" s="6">
        <v>0</v>
      </c>
      <c r="AB85" s="7">
        <v>3</v>
      </c>
      <c r="AC85" s="7">
        <v>22</v>
      </c>
      <c r="AD85" s="7">
        <v>2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260001</v>
      </c>
      <c r="C86" s="7" t="s">
        <v>452</v>
      </c>
      <c r="D86" s="10" t="s">
        <v>853</v>
      </c>
      <c r="E86" s="6">
        <v>2</v>
      </c>
      <c r="F86" s="6">
        <v>1</v>
      </c>
      <c r="G86" s="6">
        <v>2</v>
      </c>
      <c r="H86" s="6">
        <v>100</v>
      </c>
      <c r="I86" s="6">
        <v>12</v>
      </c>
      <c r="J86" s="6">
        <v>2</v>
      </c>
      <c r="K86" s="6">
        <v>50</v>
      </c>
      <c r="L86" s="6" t="b">
        <v>0</v>
      </c>
      <c r="M86" s="6">
        <v>0</v>
      </c>
      <c r="N86" s="6">
        <v>0</v>
      </c>
      <c r="O86" s="5">
        <v>1</v>
      </c>
      <c r="P86" s="7">
        <v>0</v>
      </c>
      <c r="Q86" s="5">
        <v>0</v>
      </c>
      <c r="R86" s="5" t="b">
        <v>1</v>
      </c>
      <c r="S86" s="6">
        <v>3</v>
      </c>
      <c r="T86" s="6">
        <v>2</v>
      </c>
      <c r="U86" s="6">
        <v>100</v>
      </c>
      <c r="V86" s="5">
        <v>30</v>
      </c>
      <c r="W86" s="5">
        <v>2</v>
      </c>
      <c r="X86" s="5">
        <v>45</v>
      </c>
      <c r="Y86" s="6" t="b">
        <v>0</v>
      </c>
      <c r="Z86" s="6">
        <v>0</v>
      </c>
      <c r="AA86" s="6">
        <v>0</v>
      </c>
      <c r="AB86" s="5">
        <v>1</v>
      </c>
      <c r="AC86" s="5">
        <v>63</v>
      </c>
      <c r="AD86" s="5">
        <v>2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260002</v>
      </c>
      <c r="C87" s="7" t="s">
        <v>1593</v>
      </c>
      <c r="D87" s="10" t="s">
        <v>853</v>
      </c>
      <c r="E87" s="6">
        <v>2</v>
      </c>
      <c r="F87" s="6">
        <v>1</v>
      </c>
      <c r="G87" s="6">
        <v>2</v>
      </c>
      <c r="H87" s="6">
        <v>100</v>
      </c>
      <c r="I87" s="6">
        <v>12</v>
      </c>
      <c r="J87" s="6">
        <v>2</v>
      </c>
      <c r="K87" s="6">
        <v>50</v>
      </c>
      <c r="L87" s="6" t="b">
        <v>0</v>
      </c>
      <c r="M87" s="6">
        <v>0</v>
      </c>
      <c r="N87" s="6">
        <v>0</v>
      </c>
      <c r="O87" s="5">
        <v>1</v>
      </c>
      <c r="P87" s="7">
        <v>0</v>
      </c>
      <c r="Q87" s="5">
        <v>0</v>
      </c>
      <c r="R87" s="5" t="b">
        <v>1</v>
      </c>
      <c r="S87" s="6">
        <v>3</v>
      </c>
      <c r="T87" s="6">
        <v>2</v>
      </c>
      <c r="U87" s="6">
        <v>100</v>
      </c>
      <c r="V87" s="5">
        <v>30</v>
      </c>
      <c r="W87" s="5">
        <v>2</v>
      </c>
      <c r="X87" s="5">
        <v>45</v>
      </c>
      <c r="Y87" s="6" t="b">
        <v>0</v>
      </c>
      <c r="Z87" s="6">
        <v>0</v>
      </c>
      <c r="AA87" s="6">
        <v>0</v>
      </c>
      <c r="AB87" s="5">
        <v>1</v>
      </c>
      <c r="AC87" s="5">
        <v>63</v>
      </c>
      <c r="AD87" s="5">
        <v>2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7">
        <v>260003</v>
      </c>
      <c r="C88" s="7" t="s">
        <v>1663</v>
      </c>
      <c r="D88" s="10" t="s">
        <v>853</v>
      </c>
      <c r="E88" s="6">
        <v>2</v>
      </c>
      <c r="F88" s="6">
        <v>1</v>
      </c>
      <c r="G88" s="6">
        <v>2</v>
      </c>
      <c r="H88" s="6">
        <v>100</v>
      </c>
      <c r="I88" s="6">
        <v>12</v>
      </c>
      <c r="J88" s="6">
        <v>2</v>
      </c>
      <c r="K88" s="6">
        <v>50</v>
      </c>
      <c r="L88" s="6" t="b">
        <v>0</v>
      </c>
      <c r="M88" s="6">
        <v>0</v>
      </c>
      <c r="N88" s="6">
        <v>0</v>
      </c>
      <c r="O88" s="5">
        <v>1</v>
      </c>
      <c r="P88" s="7">
        <v>0</v>
      </c>
      <c r="Q88" s="5">
        <v>0</v>
      </c>
      <c r="R88" s="5" t="b">
        <v>1</v>
      </c>
      <c r="S88" s="6">
        <v>3</v>
      </c>
      <c r="T88" s="6">
        <v>2</v>
      </c>
      <c r="U88" s="6">
        <v>100</v>
      </c>
      <c r="V88" s="5">
        <v>30</v>
      </c>
      <c r="W88" s="5">
        <v>2</v>
      </c>
      <c r="X88" s="5">
        <v>45</v>
      </c>
      <c r="Y88" s="6" t="b">
        <v>0</v>
      </c>
      <c r="Z88" s="6">
        <v>0</v>
      </c>
      <c r="AA88" s="6">
        <v>0</v>
      </c>
      <c r="AB88" s="5">
        <v>1</v>
      </c>
      <c r="AC88" s="5">
        <v>63</v>
      </c>
      <c r="AD88" s="5">
        <v>2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270001</v>
      </c>
      <c r="C89" s="7" t="s">
        <v>453</v>
      </c>
      <c r="D89" s="10" t="s">
        <v>821</v>
      </c>
      <c r="E89" s="7">
        <v>2</v>
      </c>
      <c r="F89" s="7">
        <v>1</v>
      </c>
      <c r="G89" s="7">
        <v>2</v>
      </c>
      <c r="H89" s="6">
        <v>100</v>
      </c>
      <c r="I89" s="7">
        <v>39</v>
      </c>
      <c r="J89" s="7">
        <v>2</v>
      </c>
      <c r="K89" s="7">
        <v>132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2</v>
      </c>
      <c r="T89" s="7">
        <v>5</v>
      </c>
      <c r="U89" s="6">
        <v>100</v>
      </c>
      <c r="V89" s="7">
        <v>34</v>
      </c>
      <c r="W89" s="7">
        <v>4</v>
      </c>
      <c r="X89" s="7">
        <v>160</v>
      </c>
      <c r="Y89" s="6" t="b">
        <v>0</v>
      </c>
      <c r="Z89" s="6">
        <v>0</v>
      </c>
      <c r="AA89" s="6">
        <v>0</v>
      </c>
      <c r="AB89" s="7">
        <v>49</v>
      </c>
      <c r="AC89" s="7">
        <v>0</v>
      </c>
      <c r="AD89" s="7">
        <v>0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270002</v>
      </c>
      <c r="C90" s="7" t="s">
        <v>1594</v>
      </c>
      <c r="D90" s="10" t="s">
        <v>821</v>
      </c>
      <c r="E90" s="7">
        <v>2</v>
      </c>
      <c r="F90" s="7">
        <v>1</v>
      </c>
      <c r="G90" s="7">
        <v>2</v>
      </c>
      <c r="H90" s="6">
        <v>100</v>
      </c>
      <c r="I90" s="7">
        <v>39</v>
      </c>
      <c r="J90" s="7">
        <v>2</v>
      </c>
      <c r="K90" s="7">
        <v>132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2</v>
      </c>
      <c r="T90" s="7">
        <v>5</v>
      </c>
      <c r="U90" s="6">
        <v>100</v>
      </c>
      <c r="V90" s="7">
        <v>34</v>
      </c>
      <c r="W90" s="7">
        <v>4</v>
      </c>
      <c r="X90" s="7">
        <v>160</v>
      </c>
      <c r="Y90" s="6" t="b">
        <v>0</v>
      </c>
      <c r="Z90" s="6">
        <v>0</v>
      </c>
      <c r="AA90" s="6">
        <v>0</v>
      </c>
      <c r="AB90" s="7">
        <v>49</v>
      </c>
      <c r="AC90" s="7">
        <v>0</v>
      </c>
      <c r="AD90" s="7">
        <v>0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5">
        <v>270003</v>
      </c>
      <c r="C91" s="7" t="s">
        <v>1664</v>
      </c>
      <c r="D91" s="10" t="s">
        <v>821</v>
      </c>
      <c r="E91" s="7">
        <v>2</v>
      </c>
      <c r="F91" s="7">
        <v>1</v>
      </c>
      <c r="G91" s="7">
        <v>2</v>
      </c>
      <c r="H91" s="6">
        <v>100</v>
      </c>
      <c r="I91" s="7">
        <v>39</v>
      </c>
      <c r="J91" s="7">
        <v>2</v>
      </c>
      <c r="K91" s="7">
        <v>132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2</v>
      </c>
      <c r="T91" s="7">
        <v>5</v>
      </c>
      <c r="U91" s="6">
        <v>100</v>
      </c>
      <c r="V91" s="7">
        <v>34</v>
      </c>
      <c r="W91" s="7">
        <v>4</v>
      </c>
      <c r="X91" s="7">
        <v>160</v>
      </c>
      <c r="Y91" s="6" t="b">
        <v>0</v>
      </c>
      <c r="Z91" s="6">
        <v>0</v>
      </c>
      <c r="AA91" s="6">
        <v>0</v>
      </c>
      <c r="AB91" s="7">
        <v>49</v>
      </c>
      <c r="AC91" s="7">
        <v>0</v>
      </c>
      <c r="AD91" s="7">
        <v>0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280001</v>
      </c>
      <c r="C92" s="7" t="s">
        <v>454</v>
      </c>
      <c r="D92" s="10" t="s">
        <v>854</v>
      </c>
      <c r="E92" s="7">
        <v>2</v>
      </c>
      <c r="F92" s="7">
        <v>1</v>
      </c>
      <c r="G92" s="7">
        <v>2</v>
      </c>
      <c r="H92" s="6">
        <v>100</v>
      </c>
      <c r="I92" s="7">
        <v>26</v>
      </c>
      <c r="J92" s="7">
        <v>2</v>
      </c>
      <c r="K92" s="7">
        <v>180</v>
      </c>
      <c r="L92" s="6" t="b">
        <v>0</v>
      </c>
      <c r="M92" s="6">
        <v>0</v>
      </c>
      <c r="N92" s="6">
        <v>0</v>
      </c>
      <c r="O92" s="7">
        <v>1</v>
      </c>
      <c r="P92" s="7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100</v>
      </c>
      <c r="V92" s="7">
        <v>30</v>
      </c>
      <c r="W92" s="7">
        <v>2</v>
      </c>
      <c r="X92" s="7">
        <v>30</v>
      </c>
      <c r="Y92" s="6" t="b">
        <v>0</v>
      </c>
      <c r="Z92" s="6">
        <v>0</v>
      </c>
      <c r="AA92" s="6">
        <v>0</v>
      </c>
      <c r="AB92" s="7">
        <v>1</v>
      </c>
      <c r="AC92" s="7">
        <v>65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280002</v>
      </c>
      <c r="C93" s="7" t="s">
        <v>1595</v>
      </c>
      <c r="D93" s="10" t="s">
        <v>854</v>
      </c>
      <c r="E93" s="7">
        <v>2</v>
      </c>
      <c r="F93" s="7">
        <v>1</v>
      </c>
      <c r="G93" s="7">
        <v>2</v>
      </c>
      <c r="H93" s="6">
        <v>100</v>
      </c>
      <c r="I93" s="7">
        <v>26</v>
      </c>
      <c r="J93" s="7">
        <v>2</v>
      </c>
      <c r="K93" s="7">
        <v>180</v>
      </c>
      <c r="L93" s="6" t="b">
        <v>0</v>
      </c>
      <c r="M93" s="6">
        <v>0</v>
      </c>
      <c r="N93" s="6">
        <v>0</v>
      </c>
      <c r="O93" s="7">
        <v>1</v>
      </c>
      <c r="P93" s="7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100</v>
      </c>
      <c r="V93" s="7">
        <v>30</v>
      </c>
      <c r="W93" s="7">
        <v>2</v>
      </c>
      <c r="X93" s="7">
        <v>30</v>
      </c>
      <c r="Y93" s="6" t="b">
        <v>0</v>
      </c>
      <c r="Z93" s="6">
        <v>0</v>
      </c>
      <c r="AA93" s="6">
        <v>0</v>
      </c>
      <c r="AB93" s="7">
        <v>1</v>
      </c>
      <c r="AC93" s="7">
        <v>65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7">
        <v>280003</v>
      </c>
      <c r="C94" s="7" t="s">
        <v>1667</v>
      </c>
      <c r="D94" s="10" t="s">
        <v>854</v>
      </c>
      <c r="E94" s="7">
        <v>2</v>
      </c>
      <c r="F94" s="7">
        <v>1</v>
      </c>
      <c r="G94" s="7">
        <v>2</v>
      </c>
      <c r="H94" s="6">
        <v>100</v>
      </c>
      <c r="I94" s="7">
        <v>26</v>
      </c>
      <c r="J94" s="7">
        <v>2</v>
      </c>
      <c r="K94" s="7">
        <v>180</v>
      </c>
      <c r="L94" s="6" t="b">
        <v>0</v>
      </c>
      <c r="M94" s="6">
        <v>0</v>
      </c>
      <c r="N94" s="6">
        <v>0</v>
      </c>
      <c r="O94" s="7">
        <v>1</v>
      </c>
      <c r="P94" s="7">
        <v>0</v>
      </c>
      <c r="Q94" s="7">
        <v>0</v>
      </c>
      <c r="R94" s="5" t="b">
        <v>1</v>
      </c>
      <c r="S94" s="7">
        <v>3</v>
      </c>
      <c r="T94" s="7">
        <v>2</v>
      </c>
      <c r="U94" s="6">
        <v>100</v>
      </c>
      <c r="V94" s="7">
        <v>30</v>
      </c>
      <c r="W94" s="7">
        <v>2</v>
      </c>
      <c r="X94" s="7">
        <v>30</v>
      </c>
      <c r="Y94" s="6" t="b">
        <v>0</v>
      </c>
      <c r="Z94" s="6">
        <v>0</v>
      </c>
      <c r="AA94" s="6">
        <v>0</v>
      </c>
      <c r="AB94" s="7">
        <v>1</v>
      </c>
      <c r="AC94" s="7">
        <v>65</v>
      </c>
      <c r="AD94" s="7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18.75" customHeight="1">
      <c r="A95" s="8"/>
      <c r="B95" s="5">
        <v>290001</v>
      </c>
      <c r="C95" s="7" t="s">
        <v>455</v>
      </c>
      <c r="D95" s="10" t="s">
        <v>855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7">
        <v>120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7">
        <v>3</v>
      </c>
      <c r="T95" s="7">
        <v>2</v>
      </c>
      <c r="U95" s="6">
        <v>100</v>
      </c>
      <c r="V95" s="7">
        <v>30</v>
      </c>
      <c r="W95" s="7">
        <v>0</v>
      </c>
      <c r="X95" s="7">
        <v>0</v>
      </c>
      <c r="Y95" s="6" t="b">
        <v>0</v>
      </c>
      <c r="Z95" s="6">
        <v>0</v>
      </c>
      <c r="AA95" s="6">
        <v>0</v>
      </c>
      <c r="AB95" s="7">
        <v>3</v>
      </c>
      <c r="AC95" s="7">
        <v>34</v>
      </c>
      <c r="AD95" s="7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36" customHeight="1">
      <c r="A96" s="8"/>
      <c r="B96" s="5">
        <v>290002</v>
      </c>
      <c r="C96" s="7" t="s">
        <v>1596</v>
      </c>
      <c r="D96" s="10" t="s">
        <v>855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7">
        <v>120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7">
        <v>3</v>
      </c>
      <c r="T96" s="7">
        <v>2</v>
      </c>
      <c r="U96" s="6">
        <v>100</v>
      </c>
      <c r="V96" s="7">
        <v>30</v>
      </c>
      <c r="W96" s="7">
        <v>0</v>
      </c>
      <c r="X96" s="7">
        <v>0</v>
      </c>
      <c r="Y96" s="6" t="b">
        <v>0</v>
      </c>
      <c r="Z96" s="6">
        <v>0</v>
      </c>
      <c r="AA96" s="6">
        <v>0</v>
      </c>
      <c r="AB96" s="7">
        <v>3</v>
      </c>
      <c r="AC96" s="7">
        <v>34</v>
      </c>
      <c r="AD96" s="7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5">
        <v>290003</v>
      </c>
      <c r="C97" s="7" t="s">
        <v>1665</v>
      </c>
      <c r="D97" s="10" t="s">
        <v>855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7">
        <v>120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7">
        <v>3</v>
      </c>
      <c r="T97" s="7">
        <v>2</v>
      </c>
      <c r="U97" s="6">
        <v>100</v>
      </c>
      <c r="V97" s="7">
        <v>30</v>
      </c>
      <c r="W97" s="7">
        <v>0</v>
      </c>
      <c r="X97" s="7">
        <v>0</v>
      </c>
      <c r="Y97" s="6" t="b">
        <v>0</v>
      </c>
      <c r="Z97" s="6">
        <v>0</v>
      </c>
      <c r="AA97" s="6">
        <v>0</v>
      </c>
      <c r="AB97" s="7">
        <v>3</v>
      </c>
      <c r="AC97" s="7">
        <v>34</v>
      </c>
      <c r="AD97" s="7">
        <v>2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300001</v>
      </c>
      <c r="C98" s="7" t="s">
        <v>456</v>
      </c>
      <c r="D98" s="10" t="s">
        <v>822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150</v>
      </c>
      <c r="L98" s="6" t="b">
        <v>0</v>
      </c>
      <c r="M98" s="6">
        <v>0</v>
      </c>
      <c r="N98" s="6">
        <v>0</v>
      </c>
      <c r="O98" s="7">
        <v>1</v>
      </c>
      <c r="P98" s="7">
        <v>0</v>
      </c>
      <c r="Q98" s="7">
        <v>0</v>
      </c>
      <c r="R98" s="5" t="b">
        <v>1</v>
      </c>
      <c r="S98" s="7">
        <v>2</v>
      </c>
      <c r="T98" s="7">
        <v>5</v>
      </c>
      <c r="U98" s="6">
        <v>100</v>
      </c>
      <c r="V98" s="7">
        <v>16</v>
      </c>
      <c r="W98" s="7">
        <v>4</v>
      </c>
      <c r="X98" s="7">
        <v>70</v>
      </c>
      <c r="Y98" s="6" t="b">
        <v>0</v>
      </c>
      <c r="Z98" s="6">
        <v>0</v>
      </c>
      <c r="AA98" s="6">
        <v>0</v>
      </c>
      <c r="AB98" s="7">
        <v>49</v>
      </c>
      <c r="AC98" s="7">
        <v>0</v>
      </c>
      <c r="AD98" s="7">
        <v>0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8.75" customHeight="1">
      <c r="A99" s="8"/>
      <c r="B99" s="7">
        <v>300002</v>
      </c>
      <c r="C99" s="7" t="s">
        <v>1597</v>
      </c>
      <c r="D99" s="10" t="s">
        <v>822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150</v>
      </c>
      <c r="L99" s="6" t="b">
        <v>0</v>
      </c>
      <c r="M99" s="6">
        <v>0</v>
      </c>
      <c r="N99" s="6">
        <v>0</v>
      </c>
      <c r="O99" s="7">
        <v>1</v>
      </c>
      <c r="P99" s="7">
        <v>0</v>
      </c>
      <c r="Q99" s="7">
        <v>0</v>
      </c>
      <c r="R99" s="5" t="b">
        <v>1</v>
      </c>
      <c r="S99" s="7">
        <v>2</v>
      </c>
      <c r="T99" s="7">
        <v>5</v>
      </c>
      <c r="U99" s="6">
        <v>100</v>
      </c>
      <c r="V99" s="7">
        <v>16</v>
      </c>
      <c r="W99" s="7">
        <v>4</v>
      </c>
      <c r="X99" s="7">
        <v>70</v>
      </c>
      <c r="Y99" s="6" t="b">
        <v>0</v>
      </c>
      <c r="Z99" s="6">
        <v>0</v>
      </c>
      <c r="AA99" s="6">
        <v>0</v>
      </c>
      <c r="AB99" s="7">
        <v>49</v>
      </c>
      <c r="AC99" s="7">
        <v>0</v>
      </c>
      <c r="AD99" s="7">
        <v>0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8.75" customHeight="1">
      <c r="A100" s="8"/>
      <c r="B100" s="7">
        <v>300003</v>
      </c>
      <c r="C100" s="7" t="s">
        <v>1666</v>
      </c>
      <c r="D100" s="10" t="s">
        <v>822</v>
      </c>
      <c r="E100" s="7">
        <v>2</v>
      </c>
      <c r="F100" s="7">
        <v>1</v>
      </c>
      <c r="G100" s="7">
        <v>2</v>
      </c>
      <c r="H100" s="6">
        <v>100</v>
      </c>
      <c r="I100" s="7">
        <v>21</v>
      </c>
      <c r="J100" s="7">
        <v>2</v>
      </c>
      <c r="K100" s="7">
        <v>150</v>
      </c>
      <c r="L100" s="6" t="b">
        <v>0</v>
      </c>
      <c r="M100" s="6">
        <v>0</v>
      </c>
      <c r="N100" s="6">
        <v>0</v>
      </c>
      <c r="O100" s="7">
        <v>1</v>
      </c>
      <c r="P100" s="7">
        <v>0</v>
      </c>
      <c r="Q100" s="7">
        <v>0</v>
      </c>
      <c r="R100" s="5" t="b">
        <v>1</v>
      </c>
      <c r="S100" s="7">
        <v>2</v>
      </c>
      <c r="T100" s="7">
        <v>5</v>
      </c>
      <c r="U100" s="6">
        <v>100</v>
      </c>
      <c r="V100" s="7">
        <v>16</v>
      </c>
      <c r="W100" s="7">
        <v>4</v>
      </c>
      <c r="X100" s="7">
        <v>70</v>
      </c>
      <c r="Y100" s="6" t="b">
        <v>0</v>
      </c>
      <c r="Z100" s="6">
        <v>0</v>
      </c>
      <c r="AA100" s="6">
        <v>0</v>
      </c>
      <c r="AB100" s="7">
        <v>49</v>
      </c>
      <c r="AC100" s="7">
        <v>0</v>
      </c>
      <c r="AD100" s="7">
        <v>0</v>
      </c>
      <c r="AE100" s="5" t="b">
        <v>1</v>
      </c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</row>
    <row r="101" spans="1:52" ht="18.75" customHeight="1">
      <c r="A101" s="8"/>
      <c r="B101" s="5">
        <v>310001</v>
      </c>
      <c r="C101" s="7" t="s">
        <v>457</v>
      </c>
      <c r="D101" s="10" t="s">
        <v>514</v>
      </c>
      <c r="E101" s="6">
        <v>2</v>
      </c>
      <c r="F101" s="6">
        <v>1</v>
      </c>
      <c r="G101" s="6">
        <v>2</v>
      </c>
      <c r="H101" s="6">
        <v>100</v>
      </c>
      <c r="I101" s="6">
        <v>18</v>
      </c>
      <c r="J101" s="6">
        <v>2</v>
      </c>
      <c r="K101" s="6">
        <v>150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6">
        <v>3</v>
      </c>
      <c r="T101" s="6">
        <v>2</v>
      </c>
      <c r="U101" s="6">
        <v>20</v>
      </c>
      <c r="V101" s="5">
        <v>30</v>
      </c>
      <c r="W101" s="5">
        <v>0</v>
      </c>
      <c r="X101" s="5">
        <v>0</v>
      </c>
      <c r="Y101" s="6" t="b">
        <v>0</v>
      </c>
      <c r="Z101" s="6">
        <v>0</v>
      </c>
      <c r="AA101" s="6">
        <v>0</v>
      </c>
      <c r="AB101" s="5">
        <v>3</v>
      </c>
      <c r="AC101" s="5">
        <v>31</v>
      </c>
      <c r="AD101" s="5">
        <v>2</v>
      </c>
      <c r="AE101" s="5" t="b">
        <v>1</v>
      </c>
      <c r="AF101" s="7">
        <v>3</v>
      </c>
      <c r="AG101" s="7">
        <v>2</v>
      </c>
      <c r="AH101" s="7">
        <v>100</v>
      </c>
      <c r="AI101" s="7">
        <v>7</v>
      </c>
      <c r="AJ101" s="7">
        <v>0</v>
      </c>
      <c r="AK101" s="7">
        <v>15</v>
      </c>
      <c r="AL101" s="7" t="b">
        <v>0</v>
      </c>
      <c r="AM101" s="7">
        <v>0</v>
      </c>
      <c r="AN101" s="7">
        <v>0</v>
      </c>
      <c r="AO101" s="7">
        <v>3</v>
      </c>
      <c r="AP101" s="7">
        <v>2</v>
      </c>
      <c r="AQ101" s="7">
        <v>3</v>
      </c>
      <c r="AR101" s="7" t="b">
        <v>1</v>
      </c>
      <c r="AS101" s="7"/>
      <c r="AT101" s="7"/>
      <c r="AU101" s="7"/>
      <c r="AV101" s="7"/>
      <c r="AW101" s="7"/>
      <c r="AX101" s="7"/>
      <c r="AY101" s="7"/>
      <c r="AZ101" s="7"/>
    </row>
    <row r="102" spans="1:52" ht="18.75" customHeight="1">
      <c r="A102" s="8"/>
      <c r="B102" s="5">
        <v>310002</v>
      </c>
      <c r="C102" s="7" t="s">
        <v>1598</v>
      </c>
      <c r="D102" s="10" t="s">
        <v>514</v>
      </c>
      <c r="E102" s="6">
        <v>2</v>
      </c>
      <c r="F102" s="6">
        <v>1</v>
      </c>
      <c r="G102" s="6">
        <v>2</v>
      </c>
      <c r="H102" s="6">
        <v>100</v>
      </c>
      <c r="I102" s="6">
        <v>18</v>
      </c>
      <c r="J102" s="6">
        <v>2</v>
      </c>
      <c r="K102" s="6">
        <v>150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6">
        <v>3</v>
      </c>
      <c r="T102" s="6">
        <v>2</v>
      </c>
      <c r="U102" s="6">
        <v>20</v>
      </c>
      <c r="V102" s="5">
        <v>30</v>
      </c>
      <c r="W102" s="5">
        <v>0</v>
      </c>
      <c r="X102" s="5">
        <v>0</v>
      </c>
      <c r="Y102" s="6" t="b">
        <v>0</v>
      </c>
      <c r="Z102" s="6">
        <v>0</v>
      </c>
      <c r="AA102" s="6">
        <v>0</v>
      </c>
      <c r="AB102" s="5">
        <v>3</v>
      </c>
      <c r="AC102" s="5">
        <v>31</v>
      </c>
      <c r="AD102" s="5">
        <v>2</v>
      </c>
      <c r="AE102" s="5" t="b">
        <v>1</v>
      </c>
      <c r="AF102" s="7">
        <v>3</v>
      </c>
      <c r="AG102" s="7">
        <v>2</v>
      </c>
      <c r="AH102" s="7">
        <v>100</v>
      </c>
      <c r="AI102" s="7">
        <v>7</v>
      </c>
      <c r="AJ102" s="7">
        <v>0</v>
      </c>
      <c r="AK102" s="7">
        <v>15</v>
      </c>
      <c r="AL102" s="7" t="b">
        <v>0</v>
      </c>
      <c r="AM102" s="7">
        <v>0</v>
      </c>
      <c r="AN102" s="7">
        <v>0</v>
      </c>
      <c r="AO102" s="7">
        <v>3</v>
      </c>
      <c r="AP102" s="7">
        <v>2</v>
      </c>
      <c r="AQ102" s="7">
        <v>3</v>
      </c>
      <c r="AR102" s="7" t="b">
        <v>1</v>
      </c>
      <c r="AS102" s="7"/>
      <c r="AT102" s="7"/>
      <c r="AU102" s="7"/>
      <c r="AV102" s="7"/>
      <c r="AW102" s="7"/>
      <c r="AX102" s="7"/>
      <c r="AY102" s="7"/>
      <c r="AZ102" s="7"/>
    </row>
    <row r="103" spans="1:52" ht="18.75" customHeight="1">
      <c r="A103" s="8"/>
      <c r="B103" s="5">
        <v>310003</v>
      </c>
      <c r="C103" s="7" t="s">
        <v>1668</v>
      </c>
      <c r="D103" s="10" t="s">
        <v>514</v>
      </c>
      <c r="E103" s="6">
        <v>2</v>
      </c>
      <c r="F103" s="6">
        <v>1</v>
      </c>
      <c r="G103" s="6">
        <v>2</v>
      </c>
      <c r="H103" s="6">
        <v>100</v>
      </c>
      <c r="I103" s="6">
        <v>18</v>
      </c>
      <c r="J103" s="6">
        <v>2</v>
      </c>
      <c r="K103" s="6">
        <v>150</v>
      </c>
      <c r="L103" s="6" t="b">
        <v>0</v>
      </c>
      <c r="M103" s="6">
        <v>0</v>
      </c>
      <c r="N103" s="6">
        <v>0</v>
      </c>
      <c r="O103" s="5">
        <v>1</v>
      </c>
      <c r="P103" s="5">
        <v>0</v>
      </c>
      <c r="Q103" s="5">
        <v>0</v>
      </c>
      <c r="R103" s="5" t="b">
        <v>1</v>
      </c>
      <c r="S103" s="6">
        <v>3</v>
      </c>
      <c r="T103" s="6">
        <v>2</v>
      </c>
      <c r="U103" s="6">
        <v>20</v>
      </c>
      <c r="V103" s="5">
        <v>30</v>
      </c>
      <c r="W103" s="5">
        <v>0</v>
      </c>
      <c r="X103" s="5">
        <v>0</v>
      </c>
      <c r="Y103" s="6" t="b">
        <v>0</v>
      </c>
      <c r="Z103" s="6">
        <v>0</v>
      </c>
      <c r="AA103" s="6">
        <v>0</v>
      </c>
      <c r="AB103" s="5">
        <v>3</v>
      </c>
      <c r="AC103" s="5">
        <v>31</v>
      </c>
      <c r="AD103" s="5">
        <v>2</v>
      </c>
      <c r="AE103" s="5" t="b">
        <v>1</v>
      </c>
      <c r="AF103" s="7">
        <v>3</v>
      </c>
      <c r="AG103" s="7">
        <v>2</v>
      </c>
      <c r="AH103" s="7">
        <v>100</v>
      </c>
      <c r="AI103" s="7">
        <v>7</v>
      </c>
      <c r="AJ103" s="7">
        <v>0</v>
      </c>
      <c r="AK103" s="7">
        <v>15</v>
      </c>
      <c r="AL103" s="7" t="b">
        <v>0</v>
      </c>
      <c r="AM103" s="7">
        <v>0</v>
      </c>
      <c r="AN103" s="7">
        <v>0</v>
      </c>
      <c r="AO103" s="7">
        <v>3</v>
      </c>
      <c r="AP103" s="7">
        <v>2</v>
      </c>
      <c r="AQ103" s="7">
        <v>3</v>
      </c>
      <c r="AR103" s="7" t="b">
        <v>1</v>
      </c>
      <c r="AS103" s="7"/>
      <c r="AT103" s="7"/>
      <c r="AU103" s="7"/>
      <c r="AV103" s="7"/>
      <c r="AW103" s="7"/>
      <c r="AX103" s="7"/>
      <c r="AY103" s="7"/>
      <c r="AZ103" s="7"/>
    </row>
    <row r="104" spans="1:52" ht="18.75" customHeight="1">
      <c r="A104" s="8"/>
      <c r="B104" s="7">
        <v>320001</v>
      </c>
      <c r="C104" s="7" t="s">
        <v>458</v>
      </c>
      <c r="D104" s="10" t="s">
        <v>876</v>
      </c>
      <c r="E104" s="7">
        <v>2</v>
      </c>
      <c r="F104" s="7">
        <v>1</v>
      </c>
      <c r="G104" s="7">
        <v>2</v>
      </c>
      <c r="H104" s="6">
        <v>100</v>
      </c>
      <c r="I104" s="7">
        <v>10</v>
      </c>
      <c r="J104" s="7">
        <v>2</v>
      </c>
      <c r="K104" s="7">
        <v>132</v>
      </c>
      <c r="L104" s="6" t="b">
        <v>0</v>
      </c>
      <c r="M104" s="6">
        <v>0</v>
      </c>
      <c r="N104" s="6">
        <v>0</v>
      </c>
      <c r="O104" s="7">
        <v>1</v>
      </c>
      <c r="P104" s="7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60</v>
      </c>
      <c r="Y104" s="6" t="b">
        <v>0</v>
      </c>
      <c r="Z104" s="6">
        <v>0</v>
      </c>
      <c r="AA104" s="6">
        <v>0</v>
      </c>
      <c r="AB104" s="7">
        <v>1</v>
      </c>
      <c r="AC104" s="7">
        <v>64</v>
      </c>
      <c r="AD104" s="7">
        <v>2</v>
      </c>
      <c r="AE104" s="5" t="b">
        <v>1</v>
      </c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</row>
    <row r="105" spans="1:52" ht="18.75" customHeight="1">
      <c r="A105" s="8"/>
      <c r="B105" s="7">
        <v>320002</v>
      </c>
      <c r="C105" s="7" t="s">
        <v>1599</v>
      </c>
      <c r="D105" s="10" t="s">
        <v>876</v>
      </c>
      <c r="E105" s="7">
        <v>2</v>
      </c>
      <c r="F105" s="7">
        <v>1</v>
      </c>
      <c r="G105" s="7">
        <v>2</v>
      </c>
      <c r="H105" s="6">
        <v>100</v>
      </c>
      <c r="I105" s="7">
        <v>10</v>
      </c>
      <c r="J105" s="7">
        <v>2</v>
      </c>
      <c r="K105" s="7">
        <v>132</v>
      </c>
      <c r="L105" s="6" t="b">
        <v>0</v>
      </c>
      <c r="M105" s="6">
        <v>0</v>
      </c>
      <c r="N105" s="6">
        <v>0</v>
      </c>
      <c r="O105" s="7">
        <v>1</v>
      </c>
      <c r="P105" s="7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60</v>
      </c>
      <c r="Y105" s="6" t="b">
        <v>0</v>
      </c>
      <c r="Z105" s="6">
        <v>0</v>
      </c>
      <c r="AA105" s="6">
        <v>0</v>
      </c>
      <c r="AB105" s="7">
        <v>1</v>
      </c>
      <c r="AC105" s="7">
        <v>64</v>
      </c>
      <c r="AD105" s="7">
        <v>2</v>
      </c>
      <c r="AE105" s="5" t="b">
        <v>1</v>
      </c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7">
        <v>320003</v>
      </c>
      <c r="C106" s="7" t="s">
        <v>1669</v>
      </c>
      <c r="D106" s="10" t="s">
        <v>876</v>
      </c>
      <c r="E106" s="7">
        <v>2</v>
      </c>
      <c r="F106" s="7">
        <v>1</v>
      </c>
      <c r="G106" s="7">
        <v>2</v>
      </c>
      <c r="H106" s="6">
        <v>100</v>
      </c>
      <c r="I106" s="7">
        <v>10</v>
      </c>
      <c r="J106" s="7">
        <v>2</v>
      </c>
      <c r="K106" s="7">
        <v>132</v>
      </c>
      <c r="L106" s="6" t="b">
        <v>0</v>
      </c>
      <c r="M106" s="6">
        <v>0</v>
      </c>
      <c r="N106" s="6">
        <v>0</v>
      </c>
      <c r="O106" s="7">
        <v>1</v>
      </c>
      <c r="P106" s="7">
        <v>0</v>
      </c>
      <c r="Q106" s="7">
        <v>0</v>
      </c>
      <c r="R106" s="5" t="b">
        <v>1</v>
      </c>
      <c r="S106" s="7">
        <v>3</v>
      </c>
      <c r="T106" s="7">
        <v>2</v>
      </c>
      <c r="U106" s="6">
        <v>100</v>
      </c>
      <c r="V106" s="7">
        <v>30</v>
      </c>
      <c r="W106" s="7">
        <v>2</v>
      </c>
      <c r="X106" s="7">
        <v>60</v>
      </c>
      <c r="Y106" s="6" t="b">
        <v>0</v>
      </c>
      <c r="Z106" s="6">
        <v>0</v>
      </c>
      <c r="AA106" s="6">
        <v>0</v>
      </c>
      <c r="AB106" s="7">
        <v>1</v>
      </c>
      <c r="AC106" s="7">
        <v>64</v>
      </c>
      <c r="AD106" s="7">
        <v>2</v>
      </c>
      <c r="AE106" s="5" t="b">
        <v>1</v>
      </c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330001</v>
      </c>
      <c r="C107" s="7" t="s">
        <v>459</v>
      </c>
      <c r="D107" s="10" t="s">
        <v>877</v>
      </c>
      <c r="E107" s="7">
        <v>2</v>
      </c>
      <c r="F107" s="7">
        <v>1</v>
      </c>
      <c r="G107" s="7">
        <v>2</v>
      </c>
      <c r="H107" s="6">
        <v>100</v>
      </c>
      <c r="I107" s="7">
        <v>11</v>
      </c>
      <c r="J107" s="7">
        <v>2</v>
      </c>
      <c r="K107" s="7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7">
        <v>3</v>
      </c>
      <c r="T107" s="7">
        <v>2</v>
      </c>
      <c r="U107" s="6">
        <v>60</v>
      </c>
      <c r="V107" s="7">
        <v>30</v>
      </c>
      <c r="W107" s="7">
        <v>0</v>
      </c>
      <c r="X107" s="7">
        <v>0</v>
      </c>
      <c r="Y107" s="6" t="b">
        <v>0</v>
      </c>
      <c r="Z107" s="6">
        <v>0</v>
      </c>
      <c r="AA107" s="6">
        <v>0</v>
      </c>
      <c r="AB107" s="7">
        <v>3</v>
      </c>
      <c r="AC107" s="7">
        <v>33</v>
      </c>
      <c r="AD107" s="7">
        <v>2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18.75" customHeight="1">
      <c r="A108" s="8"/>
      <c r="B108" s="5">
        <v>330002</v>
      </c>
      <c r="C108" s="7" t="s">
        <v>1600</v>
      </c>
      <c r="D108" s="10" t="s">
        <v>877</v>
      </c>
      <c r="E108" s="7">
        <v>2</v>
      </c>
      <c r="F108" s="7">
        <v>1</v>
      </c>
      <c r="G108" s="7">
        <v>2</v>
      </c>
      <c r="H108" s="6">
        <v>100</v>
      </c>
      <c r="I108" s="7">
        <v>11</v>
      </c>
      <c r="J108" s="7">
        <v>2</v>
      </c>
      <c r="K108" s="7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7">
        <v>3</v>
      </c>
      <c r="T108" s="7">
        <v>2</v>
      </c>
      <c r="U108" s="6">
        <v>60</v>
      </c>
      <c r="V108" s="7">
        <v>30</v>
      </c>
      <c r="W108" s="7">
        <v>0</v>
      </c>
      <c r="X108" s="7">
        <v>0</v>
      </c>
      <c r="Y108" s="6" t="b">
        <v>0</v>
      </c>
      <c r="Z108" s="6">
        <v>0</v>
      </c>
      <c r="AA108" s="6">
        <v>0</v>
      </c>
      <c r="AB108" s="7">
        <v>3</v>
      </c>
      <c r="AC108" s="7">
        <v>33</v>
      </c>
      <c r="AD108" s="7">
        <v>2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18.75" customHeight="1">
      <c r="A109" s="8"/>
      <c r="B109" s="5">
        <v>330003</v>
      </c>
      <c r="C109" s="7" t="s">
        <v>1670</v>
      </c>
      <c r="D109" s="10" t="s">
        <v>877</v>
      </c>
      <c r="E109" s="7">
        <v>2</v>
      </c>
      <c r="F109" s="7">
        <v>1</v>
      </c>
      <c r="G109" s="7">
        <v>2</v>
      </c>
      <c r="H109" s="6">
        <v>100</v>
      </c>
      <c r="I109" s="7">
        <v>11</v>
      </c>
      <c r="J109" s="7">
        <v>2</v>
      </c>
      <c r="K109" s="7">
        <v>100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7">
        <v>3</v>
      </c>
      <c r="T109" s="7">
        <v>2</v>
      </c>
      <c r="U109" s="6">
        <v>60</v>
      </c>
      <c r="V109" s="7">
        <v>30</v>
      </c>
      <c r="W109" s="7">
        <v>0</v>
      </c>
      <c r="X109" s="7">
        <v>0</v>
      </c>
      <c r="Y109" s="6" t="b">
        <v>0</v>
      </c>
      <c r="Z109" s="6">
        <v>0</v>
      </c>
      <c r="AA109" s="6">
        <v>0</v>
      </c>
      <c r="AB109" s="7">
        <v>3</v>
      </c>
      <c r="AC109" s="7">
        <v>33</v>
      </c>
      <c r="AD109" s="7">
        <v>2</v>
      </c>
      <c r="AE109" s="5" t="b">
        <v>1</v>
      </c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</row>
    <row r="110" spans="1:52" ht="18.75" customHeight="1">
      <c r="A110" s="8"/>
      <c r="B110" s="7">
        <v>340001</v>
      </c>
      <c r="C110" s="7" t="s">
        <v>460</v>
      </c>
      <c r="D110" s="10" t="s">
        <v>878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122</v>
      </c>
      <c r="L110" s="6" t="b">
        <v>0</v>
      </c>
      <c r="M110" s="6">
        <v>0</v>
      </c>
      <c r="N110" s="6">
        <v>0</v>
      </c>
      <c r="O110" s="7">
        <v>1</v>
      </c>
      <c r="P110" s="7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40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7">
        <v>34</v>
      </c>
      <c r="AD110" s="7">
        <v>2</v>
      </c>
      <c r="AE110" s="5" t="b">
        <v>1</v>
      </c>
      <c r="AF110" s="7">
        <v>2</v>
      </c>
      <c r="AG110" s="7">
        <v>5</v>
      </c>
      <c r="AH110" s="7">
        <v>100</v>
      </c>
      <c r="AI110" s="7">
        <v>1</v>
      </c>
      <c r="AJ110" s="7">
        <v>6</v>
      </c>
      <c r="AK110" s="7">
        <v>10</v>
      </c>
      <c r="AL110" s="7" t="b">
        <v>0</v>
      </c>
      <c r="AM110" s="7">
        <v>0</v>
      </c>
      <c r="AN110" s="7">
        <v>0</v>
      </c>
      <c r="AO110" s="7">
        <v>49</v>
      </c>
      <c r="AP110" s="7">
        <v>0</v>
      </c>
      <c r="AQ110" s="7">
        <v>0</v>
      </c>
      <c r="AR110" s="7" t="b">
        <v>1</v>
      </c>
      <c r="AS110" s="7"/>
      <c r="AT110" s="7"/>
      <c r="AU110" s="7"/>
      <c r="AV110" s="7"/>
      <c r="AW110" s="7"/>
      <c r="AX110" s="7"/>
      <c r="AY110" s="7"/>
      <c r="AZ110" s="7"/>
    </row>
    <row r="111" spans="1:52" ht="37.5" customHeight="1">
      <c r="A111" s="8"/>
      <c r="B111" s="7">
        <v>340002</v>
      </c>
      <c r="C111" s="7" t="s">
        <v>1601</v>
      </c>
      <c r="D111" s="10" t="s">
        <v>878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122</v>
      </c>
      <c r="L111" s="6" t="b">
        <v>0</v>
      </c>
      <c r="M111" s="6">
        <v>0</v>
      </c>
      <c r="N111" s="6">
        <v>0</v>
      </c>
      <c r="O111" s="7">
        <v>1</v>
      </c>
      <c r="P111" s="7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40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7">
        <v>34</v>
      </c>
      <c r="AD111" s="7">
        <v>2</v>
      </c>
      <c r="AE111" s="5" t="b">
        <v>1</v>
      </c>
      <c r="AF111" s="7">
        <v>2</v>
      </c>
      <c r="AG111" s="7">
        <v>5</v>
      </c>
      <c r="AH111" s="7">
        <v>100</v>
      </c>
      <c r="AI111" s="7">
        <v>1</v>
      </c>
      <c r="AJ111" s="7">
        <v>6</v>
      </c>
      <c r="AK111" s="7">
        <v>10</v>
      </c>
      <c r="AL111" s="7" t="b">
        <v>0</v>
      </c>
      <c r="AM111" s="7">
        <v>0</v>
      </c>
      <c r="AN111" s="7">
        <v>0</v>
      </c>
      <c r="AO111" s="7">
        <v>49</v>
      </c>
      <c r="AP111" s="7">
        <v>0</v>
      </c>
      <c r="AQ111" s="7">
        <v>0</v>
      </c>
      <c r="AR111" s="7" t="b">
        <v>1</v>
      </c>
      <c r="AS111" s="7"/>
      <c r="AT111" s="7"/>
      <c r="AU111" s="7"/>
      <c r="AV111" s="7"/>
      <c r="AW111" s="7"/>
      <c r="AX111" s="7"/>
      <c r="AY111" s="7"/>
      <c r="AZ111" s="7"/>
    </row>
    <row r="112" spans="1:52" ht="18.75" customHeight="1">
      <c r="A112" s="8"/>
      <c r="B112" s="7">
        <v>340003</v>
      </c>
      <c r="C112" s="7" t="s">
        <v>1671</v>
      </c>
      <c r="D112" s="10" t="s">
        <v>878</v>
      </c>
      <c r="E112" s="7">
        <v>2</v>
      </c>
      <c r="F112" s="7">
        <v>1</v>
      </c>
      <c r="G112" s="7">
        <v>2</v>
      </c>
      <c r="H112" s="6">
        <v>100</v>
      </c>
      <c r="I112" s="7">
        <v>18</v>
      </c>
      <c r="J112" s="7">
        <v>2</v>
      </c>
      <c r="K112" s="7">
        <v>122</v>
      </c>
      <c r="L112" s="6" t="b">
        <v>0</v>
      </c>
      <c r="M112" s="6">
        <v>0</v>
      </c>
      <c r="N112" s="6">
        <v>0</v>
      </c>
      <c r="O112" s="7">
        <v>1</v>
      </c>
      <c r="P112" s="7">
        <v>0</v>
      </c>
      <c r="Q112" s="7">
        <v>0</v>
      </c>
      <c r="R112" s="5" t="b">
        <v>1</v>
      </c>
      <c r="S112" s="7">
        <v>3</v>
      </c>
      <c r="T112" s="7">
        <v>2</v>
      </c>
      <c r="U112" s="6">
        <v>40</v>
      </c>
      <c r="V112" s="7">
        <v>30</v>
      </c>
      <c r="W112" s="7">
        <v>0</v>
      </c>
      <c r="X112" s="7">
        <v>0</v>
      </c>
      <c r="Y112" s="6" t="b">
        <v>0</v>
      </c>
      <c r="Z112" s="6">
        <v>0</v>
      </c>
      <c r="AA112" s="6">
        <v>0</v>
      </c>
      <c r="AB112" s="7">
        <v>3</v>
      </c>
      <c r="AC112" s="7">
        <v>34</v>
      </c>
      <c r="AD112" s="7">
        <v>2</v>
      </c>
      <c r="AE112" s="5" t="b">
        <v>1</v>
      </c>
      <c r="AF112" s="7">
        <v>2</v>
      </c>
      <c r="AG112" s="7">
        <v>5</v>
      </c>
      <c r="AH112" s="7">
        <v>100</v>
      </c>
      <c r="AI112" s="7">
        <v>1</v>
      </c>
      <c r="AJ112" s="7">
        <v>6</v>
      </c>
      <c r="AK112" s="7">
        <v>10</v>
      </c>
      <c r="AL112" s="7" t="b">
        <v>0</v>
      </c>
      <c r="AM112" s="7">
        <v>0</v>
      </c>
      <c r="AN112" s="7">
        <v>0</v>
      </c>
      <c r="AO112" s="7">
        <v>49</v>
      </c>
      <c r="AP112" s="7">
        <v>0</v>
      </c>
      <c r="AQ112" s="7">
        <v>0</v>
      </c>
      <c r="AR112" s="7" t="b">
        <v>1</v>
      </c>
      <c r="AS112" s="7"/>
      <c r="AT112" s="7"/>
      <c r="AU112" s="7"/>
      <c r="AV112" s="7"/>
      <c r="AW112" s="7"/>
      <c r="AX112" s="7"/>
      <c r="AY112" s="7"/>
      <c r="AZ112" s="7"/>
    </row>
    <row r="113" spans="1:52" ht="18.75" customHeight="1">
      <c r="A113" s="8"/>
      <c r="B113" s="5">
        <v>350001</v>
      </c>
      <c r="C113" s="7" t="s">
        <v>461</v>
      </c>
      <c r="D113" s="10" t="s">
        <v>813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7">
        <v>280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>
        <v>2</v>
      </c>
      <c r="T113" s="7">
        <v>5</v>
      </c>
      <c r="U113" s="6">
        <v>100</v>
      </c>
      <c r="V113" s="7">
        <v>1</v>
      </c>
      <c r="W113" s="7">
        <v>4</v>
      </c>
      <c r="X113" s="7">
        <v>120</v>
      </c>
      <c r="Y113" s="6" t="b">
        <v>0</v>
      </c>
      <c r="Z113" s="6">
        <v>0</v>
      </c>
      <c r="AA113" s="6">
        <v>0</v>
      </c>
      <c r="AB113" s="7">
        <v>49</v>
      </c>
      <c r="AC113" s="7">
        <v>0</v>
      </c>
      <c r="AD113" s="7">
        <v>0</v>
      </c>
      <c r="AE113" s="5" t="b">
        <v>1</v>
      </c>
      <c r="AF113" s="7">
        <v>3</v>
      </c>
      <c r="AG113" s="7">
        <v>2</v>
      </c>
      <c r="AH113" s="7">
        <v>100</v>
      </c>
      <c r="AI113" s="7">
        <v>1</v>
      </c>
      <c r="AJ113" s="7">
        <v>0</v>
      </c>
      <c r="AK113" s="7">
        <v>40</v>
      </c>
      <c r="AL113" s="7" t="b">
        <v>0</v>
      </c>
      <c r="AM113" s="7">
        <v>0</v>
      </c>
      <c r="AN113" s="7">
        <v>0</v>
      </c>
      <c r="AO113" s="7">
        <v>3</v>
      </c>
      <c r="AP113" s="7">
        <v>1</v>
      </c>
      <c r="AQ113" s="7">
        <v>6</v>
      </c>
      <c r="AR113" s="7" t="b">
        <v>1</v>
      </c>
      <c r="AS113" s="7"/>
      <c r="AT113" s="7"/>
      <c r="AU113" s="7"/>
      <c r="AV113" s="7"/>
      <c r="AW113" s="7"/>
      <c r="AX113" s="7"/>
      <c r="AY113" s="7"/>
      <c r="AZ113" s="7"/>
    </row>
    <row r="114" spans="1:52" ht="39" customHeight="1">
      <c r="A114" s="8"/>
      <c r="B114" s="5">
        <v>350002</v>
      </c>
      <c r="C114" s="7" t="s">
        <v>1602</v>
      </c>
      <c r="D114" s="10" t="s">
        <v>813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7">
        <v>280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>
        <v>2</v>
      </c>
      <c r="T114" s="7">
        <v>5</v>
      </c>
      <c r="U114" s="6">
        <v>100</v>
      </c>
      <c r="V114" s="7">
        <v>1</v>
      </c>
      <c r="W114" s="7">
        <v>4</v>
      </c>
      <c r="X114" s="7">
        <v>120</v>
      </c>
      <c r="Y114" s="6" t="b">
        <v>0</v>
      </c>
      <c r="Z114" s="6">
        <v>0</v>
      </c>
      <c r="AA114" s="6">
        <v>0</v>
      </c>
      <c r="AB114" s="7">
        <v>49</v>
      </c>
      <c r="AC114" s="7">
        <v>0</v>
      </c>
      <c r="AD114" s="7">
        <v>0</v>
      </c>
      <c r="AE114" s="5" t="b">
        <v>1</v>
      </c>
      <c r="AF114" s="7">
        <v>3</v>
      </c>
      <c r="AG114" s="7">
        <v>2</v>
      </c>
      <c r="AH114" s="7">
        <v>100</v>
      </c>
      <c r="AI114" s="7">
        <v>1</v>
      </c>
      <c r="AJ114" s="7">
        <v>0</v>
      </c>
      <c r="AK114" s="7">
        <v>40</v>
      </c>
      <c r="AL114" s="7" t="b">
        <v>0</v>
      </c>
      <c r="AM114" s="7">
        <v>0</v>
      </c>
      <c r="AN114" s="7">
        <v>0</v>
      </c>
      <c r="AO114" s="7">
        <v>3</v>
      </c>
      <c r="AP114" s="7">
        <v>1</v>
      </c>
      <c r="AQ114" s="7">
        <v>6</v>
      </c>
      <c r="AR114" s="7" t="b">
        <v>1</v>
      </c>
      <c r="AS114" s="7"/>
      <c r="AT114" s="7"/>
      <c r="AU114" s="7"/>
      <c r="AV114" s="7"/>
      <c r="AW114" s="7"/>
      <c r="AX114" s="7"/>
      <c r="AY114" s="7"/>
      <c r="AZ114" s="7"/>
    </row>
    <row r="115" spans="1:52" ht="18.75" customHeight="1">
      <c r="A115" s="8"/>
      <c r="B115" s="5">
        <v>350003</v>
      </c>
      <c r="C115" s="7" t="s">
        <v>1672</v>
      </c>
      <c r="D115" s="10" t="s">
        <v>813</v>
      </c>
      <c r="E115" s="7">
        <v>2</v>
      </c>
      <c r="F115" s="7">
        <v>1</v>
      </c>
      <c r="G115" s="7">
        <v>2</v>
      </c>
      <c r="H115" s="6">
        <v>100</v>
      </c>
      <c r="I115" s="7">
        <v>26</v>
      </c>
      <c r="J115" s="7">
        <v>2</v>
      </c>
      <c r="K115" s="7">
        <v>280</v>
      </c>
      <c r="L115" s="6" t="b">
        <v>0</v>
      </c>
      <c r="M115" s="6">
        <v>0</v>
      </c>
      <c r="N115" s="6">
        <v>0</v>
      </c>
      <c r="O115" s="7">
        <v>1</v>
      </c>
      <c r="P115" s="5">
        <v>0</v>
      </c>
      <c r="Q115" s="7">
        <v>0</v>
      </c>
      <c r="R115" s="5" t="b">
        <v>1</v>
      </c>
      <c r="S115" s="7">
        <v>2</v>
      </c>
      <c r="T115" s="7">
        <v>5</v>
      </c>
      <c r="U115" s="6">
        <v>100</v>
      </c>
      <c r="V115" s="7">
        <v>1</v>
      </c>
      <c r="W115" s="7">
        <v>4</v>
      </c>
      <c r="X115" s="7">
        <v>120</v>
      </c>
      <c r="Y115" s="6" t="b">
        <v>0</v>
      </c>
      <c r="Z115" s="6">
        <v>0</v>
      </c>
      <c r="AA115" s="6">
        <v>0</v>
      </c>
      <c r="AB115" s="7">
        <v>49</v>
      </c>
      <c r="AC115" s="7">
        <v>0</v>
      </c>
      <c r="AD115" s="7">
        <v>0</v>
      </c>
      <c r="AE115" s="5" t="b">
        <v>1</v>
      </c>
      <c r="AF115" s="7">
        <v>3</v>
      </c>
      <c r="AG115" s="7">
        <v>2</v>
      </c>
      <c r="AH115" s="7">
        <v>100</v>
      </c>
      <c r="AI115" s="7">
        <v>1</v>
      </c>
      <c r="AJ115" s="7">
        <v>0</v>
      </c>
      <c r="AK115" s="7">
        <v>40</v>
      </c>
      <c r="AL115" s="7" t="b">
        <v>0</v>
      </c>
      <c r="AM115" s="7">
        <v>0</v>
      </c>
      <c r="AN115" s="7">
        <v>0</v>
      </c>
      <c r="AO115" s="7">
        <v>3</v>
      </c>
      <c r="AP115" s="7">
        <v>1</v>
      </c>
      <c r="AQ115" s="7">
        <v>6</v>
      </c>
      <c r="AR115" s="7" t="b">
        <v>1</v>
      </c>
      <c r="AS115" s="7"/>
      <c r="AT115" s="7"/>
      <c r="AU115" s="7"/>
      <c r="AV115" s="7"/>
      <c r="AW115" s="7"/>
      <c r="AX115" s="7"/>
      <c r="AY115" s="7"/>
      <c r="AZ115" s="7"/>
    </row>
    <row r="116" spans="1:52" ht="35.25" customHeight="1">
      <c r="A116" s="8"/>
      <c r="B116" s="7">
        <v>360001</v>
      </c>
      <c r="C116" s="7" t="s">
        <v>462</v>
      </c>
      <c r="D116" s="10" t="s">
        <v>516</v>
      </c>
      <c r="E116" s="6">
        <v>2</v>
      </c>
      <c r="F116" s="6">
        <v>1</v>
      </c>
      <c r="G116" s="6">
        <v>2</v>
      </c>
      <c r="H116" s="6">
        <v>100</v>
      </c>
      <c r="I116" s="6">
        <v>19</v>
      </c>
      <c r="J116" s="6">
        <v>2</v>
      </c>
      <c r="K116" s="6">
        <v>110</v>
      </c>
      <c r="L116" s="6" t="b">
        <v>0</v>
      </c>
      <c r="M116" s="6">
        <v>0</v>
      </c>
      <c r="N116" s="6">
        <v>0</v>
      </c>
      <c r="O116" s="5">
        <v>1</v>
      </c>
      <c r="P116" s="7">
        <v>0</v>
      </c>
      <c r="Q116" s="5">
        <v>0</v>
      </c>
      <c r="R116" s="5" t="b">
        <v>1</v>
      </c>
      <c r="S116" s="6">
        <v>3</v>
      </c>
      <c r="T116" s="6">
        <v>2</v>
      </c>
      <c r="U116" s="6">
        <v>100</v>
      </c>
      <c r="V116" s="5">
        <v>30</v>
      </c>
      <c r="W116" s="5">
        <v>0</v>
      </c>
      <c r="X116" s="5">
        <v>15</v>
      </c>
      <c r="Y116" s="6" t="b">
        <v>0</v>
      </c>
      <c r="Z116" s="6">
        <v>0</v>
      </c>
      <c r="AA116" s="6">
        <v>0</v>
      </c>
      <c r="AB116" s="5">
        <v>3</v>
      </c>
      <c r="AC116" s="5">
        <v>17</v>
      </c>
      <c r="AD116" s="5">
        <v>3</v>
      </c>
      <c r="AE116" s="5" t="b">
        <v>1</v>
      </c>
      <c r="AF116" s="7">
        <v>3</v>
      </c>
      <c r="AG116" s="7">
        <v>2</v>
      </c>
      <c r="AH116" s="7">
        <v>22</v>
      </c>
      <c r="AI116" s="7">
        <v>30</v>
      </c>
      <c r="AJ116" s="7">
        <v>0</v>
      </c>
      <c r="AK116" s="7">
        <v>0</v>
      </c>
      <c r="AL116" s="7" t="b">
        <v>0</v>
      </c>
      <c r="AM116" s="7">
        <v>0</v>
      </c>
      <c r="AN116" s="7">
        <v>0</v>
      </c>
      <c r="AO116" s="7">
        <v>3</v>
      </c>
      <c r="AP116" s="7">
        <v>35</v>
      </c>
      <c r="AQ116" s="7">
        <v>2</v>
      </c>
      <c r="AR116" s="7" t="b">
        <v>1</v>
      </c>
      <c r="AS116" s="7"/>
      <c r="AT116" s="7"/>
      <c r="AU116" s="7"/>
      <c r="AV116" s="7"/>
      <c r="AW116" s="7"/>
      <c r="AX116" s="7"/>
      <c r="AY116" s="7"/>
      <c r="AZ116" s="7"/>
    </row>
    <row r="117" spans="1:52" ht="35.25" customHeight="1">
      <c r="A117" s="8"/>
      <c r="B117" s="7">
        <v>360002</v>
      </c>
      <c r="C117" s="7" t="s">
        <v>1603</v>
      </c>
      <c r="D117" s="10" t="s">
        <v>516</v>
      </c>
      <c r="E117" s="6">
        <v>2</v>
      </c>
      <c r="F117" s="6">
        <v>1</v>
      </c>
      <c r="G117" s="6">
        <v>2</v>
      </c>
      <c r="H117" s="6">
        <v>100</v>
      </c>
      <c r="I117" s="6">
        <v>19</v>
      </c>
      <c r="J117" s="6">
        <v>2</v>
      </c>
      <c r="K117" s="6">
        <v>110</v>
      </c>
      <c r="L117" s="6" t="b">
        <v>0</v>
      </c>
      <c r="M117" s="6">
        <v>0</v>
      </c>
      <c r="N117" s="6">
        <v>0</v>
      </c>
      <c r="O117" s="5">
        <v>1</v>
      </c>
      <c r="P117" s="7">
        <v>0</v>
      </c>
      <c r="Q117" s="5">
        <v>0</v>
      </c>
      <c r="R117" s="5" t="b">
        <v>1</v>
      </c>
      <c r="S117" s="6">
        <v>3</v>
      </c>
      <c r="T117" s="6">
        <v>2</v>
      </c>
      <c r="U117" s="6">
        <v>100</v>
      </c>
      <c r="V117" s="5">
        <v>30</v>
      </c>
      <c r="W117" s="5">
        <v>0</v>
      </c>
      <c r="X117" s="5">
        <v>15</v>
      </c>
      <c r="Y117" s="6" t="b">
        <v>0</v>
      </c>
      <c r="Z117" s="6">
        <v>0</v>
      </c>
      <c r="AA117" s="6">
        <v>0</v>
      </c>
      <c r="AB117" s="5">
        <v>3</v>
      </c>
      <c r="AC117" s="5">
        <v>17</v>
      </c>
      <c r="AD117" s="5">
        <v>3</v>
      </c>
      <c r="AE117" s="5" t="b">
        <v>1</v>
      </c>
      <c r="AF117" s="7">
        <v>3</v>
      </c>
      <c r="AG117" s="7">
        <v>2</v>
      </c>
      <c r="AH117" s="7">
        <v>22</v>
      </c>
      <c r="AI117" s="7">
        <v>30</v>
      </c>
      <c r="AJ117" s="7">
        <v>0</v>
      </c>
      <c r="AK117" s="7">
        <v>0</v>
      </c>
      <c r="AL117" s="7" t="b">
        <v>0</v>
      </c>
      <c r="AM117" s="7">
        <v>0</v>
      </c>
      <c r="AN117" s="7">
        <v>0</v>
      </c>
      <c r="AO117" s="7">
        <v>3</v>
      </c>
      <c r="AP117" s="7">
        <v>35</v>
      </c>
      <c r="AQ117" s="7">
        <v>2</v>
      </c>
      <c r="AR117" s="7" t="b">
        <v>1</v>
      </c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7">
        <v>360003</v>
      </c>
      <c r="C118" s="7" t="s">
        <v>1673</v>
      </c>
      <c r="D118" s="10" t="s">
        <v>516</v>
      </c>
      <c r="E118" s="6">
        <v>2</v>
      </c>
      <c r="F118" s="6">
        <v>1</v>
      </c>
      <c r="G118" s="6">
        <v>2</v>
      </c>
      <c r="H118" s="6">
        <v>100</v>
      </c>
      <c r="I118" s="6">
        <v>19</v>
      </c>
      <c r="J118" s="6">
        <v>2</v>
      </c>
      <c r="K118" s="6">
        <v>110</v>
      </c>
      <c r="L118" s="6" t="b">
        <v>0</v>
      </c>
      <c r="M118" s="6">
        <v>0</v>
      </c>
      <c r="N118" s="6">
        <v>0</v>
      </c>
      <c r="O118" s="5">
        <v>1</v>
      </c>
      <c r="P118" s="7">
        <v>0</v>
      </c>
      <c r="Q118" s="5">
        <v>0</v>
      </c>
      <c r="R118" s="5" t="b">
        <v>1</v>
      </c>
      <c r="S118" s="6">
        <v>3</v>
      </c>
      <c r="T118" s="6">
        <v>2</v>
      </c>
      <c r="U118" s="6">
        <v>100</v>
      </c>
      <c r="V118" s="5">
        <v>30</v>
      </c>
      <c r="W118" s="5">
        <v>0</v>
      </c>
      <c r="X118" s="5">
        <v>15</v>
      </c>
      <c r="Y118" s="6" t="b">
        <v>0</v>
      </c>
      <c r="Z118" s="6">
        <v>0</v>
      </c>
      <c r="AA118" s="6">
        <v>0</v>
      </c>
      <c r="AB118" s="5">
        <v>3</v>
      </c>
      <c r="AC118" s="5">
        <v>17</v>
      </c>
      <c r="AD118" s="5">
        <v>3</v>
      </c>
      <c r="AE118" s="5" t="b">
        <v>1</v>
      </c>
      <c r="AF118" s="7">
        <v>3</v>
      </c>
      <c r="AG118" s="7">
        <v>2</v>
      </c>
      <c r="AH118" s="7">
        <v>22</v>
      </c>
      <c r="AI118" s="7">
        <v>30</v>
      </c>
      <c r="AJ118" s="7">
        <v>0</v>
      </c>
      <c r="AK118" s="7">
        <v>0</v>
      </c>
      <c r="AL118" s="7" t="b">
        <v>0</v>
      </c>
      <c r="AM118" s="7">
        <v>0</v>
      </c>
      <c r="AN118" s="7">
        <v>0</v>
      </c>
      <c r="AO118" s="7">
        <v>3</v>
      </c>
      <c r="AP118" s="7">
        <v>35</v>
      </c>
      <c r="AQ118" s="7">
        <v>2</v>
      </c>
      <c r="AR118" s="7" t="b">
        <v>1</v>
      </c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370001</v>
      </c>
      <c r="C119" s="7" t="s">
        <v>463</v>
      </c>
      <c r="D119" s="10" t="s">
        <v>520</v>
      </c>
      <c r="E119" s="7">
        <v>2</v>
      </c>
      <c r="F119" s="7">
        <v>1</v>
      </c>
      <c r="G119" s="7">
        <v>2</v>
      </c>
      <c r="H119" s="6">
        <v>100</v>
      </c>
      <c r="I119" s="7">
        <v>38</v>
      </c>
      <c r="J119" s="7">
        <v>2</v>
      </c>
      <c r="K119" s="7">
        <v>180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7">
        <v>3</v>
      </c>
      <c r="T119" s="7">
        <v>2</v>
      </c>
      <c r="U119" s="6">
        <v>100</v>
      </c>
      <c r="V119" s="7">
        <v>30</v>
      </c>
      <c r="W119" s="7">
        <v>2</v>
      </c>
      <c r="X119" s="7">
        <v>45</v>
      </c>
      <c r="Y119" s="6" t="b">
        <v>0</v>
      </c>
      <c r="Z119" s="6">
        <v>0</v>
      </c>
      <c r="AA119" s="6">
        <v>0</v>
      </c>
      <c r="AB119" s="7">
        <v>1</v>
      </c>
      <c r="AC119" s="7">
        <v>64</v>
      </c>
      <c r="AD119" s="7">
        <v>6</v>
      </c>
      <c r="AE119" s="5" t="b">
        <v>1</v>
      </c>
      <c r="AF119" s="7">
        <v>3</v>
      </c>
      <c r="AG119" s="7">
        <v>2</v>
      </c>
      <c r="AH119" s="7">
        <v>35</v>
      </c>
      <c r="AI119" s="7">
        <v>30</v>
      </c>
      <c r="AJ119" s="7">
        <v>0</v>
      </c>
      <c r="AK119" s="7">
        <v>0</v>
      </c>
      <c r="AL119" s="7" t="b">
        <v>0</v>
      </c>
      <c r="AM119" s="7">
        <v>0</v>
      </c>
      <c r="AN119" s="7">
        <v>0</v>
      </c>
      <c r="AO119" s="7">
        <v>3</v>
      </c>
      <c r="AP119" s="7">
        <v>31</v>
      </c>
      <c r="AQ119" s="7">
        <v>2</v>
      </c>
      <c r="AR119" s="7" t="b">
        <v>1</v>
      </c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A120" s="8"/>
      <c r="B120" s="5">
        <v>370002</v>
      </c>
      <c r="C120" s="7" t="s">
        <v>1604</v>
      </c>
      <c r="D120" s="10" t="s">
        <v>520</v>
      </c>
      <c r="E120" s="7">
        <v>2</v>
      </c>
      <c r="F120" s="7">
        <v>1</v>
      </c>
      <c r="G120" s="7">
        <v>2</v>
      </c>
      <c r="H120" s="6">
        <v>100</v>
      </c>
      <c r="I120" s="7">
        <v>38</v>
      </c>
      <c r="J120" s="7">
        <v>2</v>
      </c>
      <c r="K120" s="7">
        <v>180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7">
        <v>3</v>
      </c>
      <c r="T120" s="7">
        <v>2</v>
      </c>
      <c r="U120" s="6">
        <v>100</v>
      </c>
      <c r="V120" s="7">
        <v>30</v>
      </c>
      <c r="W120" s="7">
        <v>2</v>
      </c>
      <c r="X120" s="7">
        <v>45</v>
      </c>
      <c r="Y120" s="6" t="b">
        <v>0</v>
      </c>
      <c r="Z120" s="6">
        <v>0</v>
      </c>
      <c r="AA120" s="6">
        <v>0</v>
      </c>
      <c r="AB120" s="7">
        <v>1</v>
      </c>
      <c r="AC120" s="7">
        <v>64</v>
      </c>
      <c r="AD120" s="7">
        <v>6</v>
      </c>
      <c r="AE120" s="5" t="b">
        <v>1</v>
      </c>
      <c r="AF120" s="7">
        <v>3</v>
      </c>
      <c r="AG120" s="7">
        <v>2</v>
      </c>
      <c r="AH120" s="7">
        <v>35</v>
      </c>
      <c r="AI120" s="7">
        <v>30</v>
      </c>
      <c r="AJ120" s="7">
        <v>0</v>
      </c>
      <c r="AK120" s="7">
        <v>0</v>
      </c>
      <c r="AL120" s="7" t="b">
        <v>0</v>
      </c>
      <c r="AM120" s="7">
        <v>0</v>
      </c>
      <c r="AN120" s="7">
        <v>0</v>
      </c>
      <c r="AO120" s="7">
        <v>3</v>
      </c>
      <c r="AP120" s="7">
        <v>31</v>
      </c>
      <c r="AQ120" s="7">
        <v>2</v>
      </c>
      <c r="AR120" s="7" t="b">
        <v>1</v>
      </c>
      <c r="AS120" s="7"/>
      <c r="AT120" s="7"/>
      <c r="AU120" s="7"/>
      <c r="AV120" s="7"/>
      <c r="AW120" s="7"/>
      <c r="AX120" s="7"/>
      <c r="AY120" s="7"/>
      <c r="AZ120" s="7"/>
    </row>
    <row r="121" spans="1:52" ht="18.75" customHeight="1">
      <c r="B121" s="5">
        <v>370003</v>
      </c>
      <c r="C121" s="7" t="s">
        <v>1674</v>
      </c>
      <c r="D121" s="10" t="s">
        <v>520</v>
      </c>
      <c r="E121" s="7">
        <v>2</v>
      </c>
      <c r="F121" s="7">
        <v>1</v>
      </c>
      <c r="G121" s="7">
        <v>2</v>
      </c>
      <c r="H121" s="6">
        <v>100</v>
      </c>
      <c r="I121" s="7">
        <v>38</v>
      </c>
      <c r="J121" s="7">
        <v>2</v>
      </c>
      <c r="K121" s="7">
        <v>180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7">
        <v>3</v>
      </c>
      <c r="T121" s="7">
        <v>2</v>
      </c>
      <c r="U121" s="6">
        <v>100</v>
      </c>
      <c r="V121" s="7">
        <v>30</v>
      </c>
      <c r="W121" s="7">
        <v>2</v>
      </c>
      <c r="X121" s="7">
        <v>45</v>
      </c>
      <c r="Y121" s="6" t="b">
        <v>0</v>
      </c>
      <c r="Z121" s="6">
        <v>0</v>
      </c>
      <c r="AA121" s="6">
        <v>0</v>
      </c>
      <c r="AB121" s="7">
        <v>1</v>
      </c>
      <c r="AC121" s="7">
        <v>64</v>
      </c>
      <c r="AD121" s="7">
        <v>6</v>
      </c>
      <c r="AE121" s="5" t="b">
        <v>1</v>
      </c>
      <c r="AF121" s="29">
        <v>3</v>
      </c>
      <c r="AG121" s="29">
        <v>2</v>
      </c>
      <c r="AH121" s="29">
        <v>35</v>
      </c>
      <c r="AI121" s="29">
        <v>30</v>
      </c>
      <c r="AJ121" s="29">
        <v>0</v>
      </c>
      <c r="AK121" s="29">
        <v>0</v>
      </c>
      <c r="AL121" s="29" t="b">
        <v>0</v>
      </c>
      <c r="AM121" s="29">
        <v>0</v>
      </c>
      <c r="AN121" s="29">
        <v>0</v>
      </c>
      <c r="AO121" s="29">
        <v>3</v>
      </c>
      <c r="AP121" s="29">
        <v>31</v>
      </c>
      <c r="AQ121" s="29">
        <v>2</v>
      </c>
      <c r="AR121" s="29" t="b">
        <v>1</v>
      </c>
    </row>
    <row r="122" spans="1:52" ht="18.75" customHeight="1">
      <c r="B122" s="7">
        <v>380001</v>
      </c>
      <c r="C122" s="7" t="s">
        <v>464</v>
      </c>
      <c r="D122" s="10" t="s">
        <v>814</v>
      </c>
      <c r="E122" s="7">
        <v>2</v>
      </c>
      <c r="F122" s="7">
        <v>1</v>
      </c>
      <c r="G122" s="7">
        <v>2</v>
      </c>
      <c r="H122" s="6">
        <v>100</v>
      </c>
      <c r="I122" s="7">
        <v>19</v>
      </c>
      <c r="J122" s="7">
        <v>2</v>
      </c>
      <c r="K122" s="7">
        <v>80</v>
      </c>
      <c r="L122" s="6" t="b">
        <v>0</v>
      </c>
      <c r="M122" s="6">
        <v>0</v>
      </c>
      <c r="N122" s="6">
        <v>0</v>
      </c>
      <c r="O122" s="7">
        <v>1</v>
      </c>
      <c r="P122" s="7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80</v>
      </c>
      <c r="Y122" s="6" t="b">
        <v>0</v>
      </c>
      <c r="Z122" s="6">
        <v>0</v>
      </c>
      <c r="AA122" s="6">
        <v>0</v>
      </c>
      <c r="AB122" s="7">
        <v>49</v>
      </c>
      <c r="AC122" s="7">
        <v>0</v>
      </c>
      <c r="AD122" s="7">
        <v>0</v>
      </c>
      <c r="AE122" s="5" t="b">
        <v>1</v>
      </c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</row>
    <row r="123" spans="1:52" ht="18.75" customHeight="1">
      <c r="B123" s="7">
        <v>380002</v>
      </c>
      <c r="C123" s="7" t="s">
        <v>1605</v>
      </c>
      <c r="D123" s="10" t="s">
        <v>814</v>
      </c>
      <c r="E123" s="7">
        <v>2</v>
      </c>
      <c r="F123" s="7">
        <v>1</v>
      </c>
      <c r="G123" s="7">
        <v>2</v>
      </c>
      <c r="H123" s="6">
        <v>100</v>
      </c>
      <c r="I123" s="7">
        <v>19</v>
      </c>
      <c r="J123" s="7">
        <v>2</v>
      </c>
      <c r="K123" s="7">
        <v>80</v>
      </c>
      <c r="L123" s="6" t="b">
        <v>0</v>
      </c>
      <c r="M123" s="6">
        <v>0</v>
      </c>
      <c r="N123" s="6">
        <v>0</v>
      </c>
      <c r="O123" s="7">
        <v>1</v>
      </c>
      <c r="P123" s="7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80</v>
      </c>
      <c r="Y123" s="6" t="b">
        <v>0</v>
      </c>
      <c r="Z123" s="6">
        <v>0</v>
      </c>
      <c r="AA123" s="6">
        <v>0</v>
      </c>
      <c r="AB123" s="7">
        <v>49</v>
      </c>
      <c r="AC123" s="7">
        <v>0</v>
      </c>
      <c r="AD123" s="7">
        <v>0</v>
      </c>
      <c r="AE123" s="5" t="b">
        <v>1</v>
      </c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</row>
    <row r="124" spans="1:52" ht="18.75" customHeight="1">
      <c r="B124" s="7">
        <v>380003</v>
      </c>
      <c r="C124" s="7" t="s">
        <v>1675</v>
      </c>
      <c r="D124" s="10" t="s">
        <v>814</v>
      </c>
      <c r="E124" s="7">
        <v>2</v>
      </c>
      <c r="F124" s="7">
        <v>1</v>
      </c>
      <c r="G124" s="7">
        <v>2</v>
      </c>
      <c r="H124" s="6">
        <v>100</v>
      </c>
      <c r="I124" s="7">
        <v>19</v>
      </c>
      <c r="J124" s="7">
        <v>2</v>
      </c>
      <c r="K124" s="7">
        <v>80</v>
      </c>
      <c r="L124" s="6" t="b">
        <v>0</v>
      </c>
      <c r="M124" s="6">
        <v>0</v>
      </c>
      <c r="N124" s="6">
        <v>0</v>
      </c>
      <c r="O124" s="7">
        <v>1</v>
      </c>
      <c r="P124" s="7">
        <v>0</v>
      </c>
      <c r="Q124" s="7">
        <v>0</v>
      </c>
      <c r="R124" s="5" t="b">
        <v>1</v>
      </c>
      <c r="S124" s="7">
        <v>2</v>
      </c>
      <c r="T124" s="7">
        <v>5</v>
      </c>
      <c r="U124" s="6">
        <v>100</v>
      </c>
      <c r="V124" s="7">
        <v>1</v>
      </c>
      <c r="W124" s="7">
        <v>4</v>
      </c>
      <c r="X124" s="7">
        <v>80</v>
      </c>
      <c r="Y124" s="6" t="b">
        <v>0</v>
      </c>
      <c r="Z124" s="6">
        <v>0</v>
      </c>
      <c r="AA124" s="6">
        <v>0</v>
      </c>
      <c r="AB124" s="7">
        <v>49</v>
      </c>
      <c r="AC124" s="7">
        <v>0</v>
      </c>
      <c r="AD124" s="7">
        <v>0</v>
      </c>
      <c r="AE124" s="5" t="b">
        <v>1</v>
      </c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</row>
    <row r="125" spans="1:52" ht="18.75" customHeight="1">
      <c r="B125" s="5">
        <v>390001</v>
      </c>
      <c r="C125" s="7" t="s">
        <v>465</v>
      </c>
      <c r="D125" s="10" t="s">
        <v>586</v>
      </c>
      <c r="E125" s="7">
        <v>2</v>
      </c>
      <c r="F125" s="7">
        <v>1</v>
      </c>
      <c r="G125" s="7">
        <v>2</v>
      </c>
      <c r="H125" s="6">
        <v>100</v>
      </c>
      <c r="I125" s="7">
        <v>19</v>
      </c>
      <c r="J125" s="7">
        <v>2</v>
      </c>
      <c r="K125" s="7">
        <v>110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17</v>
      </c>
      <c r="W125" s="7">
        <v>0</v>
      </c>
      <c r="X125" s="7">
        <v>5</v>
      </c>
      <c r="Y125" s="6" t="b">
        <v>0</v>
      </c>
      <c r="Z125" s="6">
        <v>0</v>
      </c>
      <c r="AA125" s="6">
        <v>0</v>
      </c>
      <c r="AB125" s="7">
        <v>3</v>
      </c>
      <c r="AC125" s="7">
        <v>4</v>
      </c>
      <c r="AD125" s="7">
        <v>2</v>
      </c>
      <c r="AE125" s="5" t="b">
        <v>1</v>
      </c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</row>
    <row r="126" spans="1:52" ht="18.75" customHeight="1">
      <c r="B126" s="5">
        <v>390002</v>
      </c>
      <c r="C126" s="7" t="s">
        <v>1606</v>
      </c>
      <c r="D126" s="10" t="s">
        <v>586</v>
      </c>
      <c r="E126" s="7">
        <v>2</v>
      </c>
      <c r="F126" s="7">
        <v>1</v>
      </c>
      <c r="G126" s="7">
        <v>2</v>
      </c>
      <c r="H126" s="6">
        <v>100</v>
      </c>
      <c r="I126" s="7">
        <v>19</v>
      </c>
      <c r="J126" s="7">
        <v>2</v>
      </c>
      <c r="K126" s="7">
        <v>110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17</v>
      </c>
      <c r="W126" s="7">
        <v>0</v>
      </c>
      <c r="X126" s="7">
        <v>5</v>
      </c>
      <c r="Y126" s="6" t="b">
        <v>0</v>
      </c>
      <c r="Z126" s="6">
        <v>0</v>
      </c>
      <c r="AA126" s="6">
        <v>0</v>
      </c>
      <c r="AB126" s="7">
        <v>3</v>
      </c>
      <c r="AC126" s="7">
        <v>4</v>
      </c>
      <c r="AD126" s="7">
        <v>2</v>
      </c>
      <c r="AE126" s="5" t="b">
        <v>1</v>
      </c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</row>
    <row r="127" spans="1:52" ht="18.75" customHeight="1">
      <c r="B127" s="5">
        <v>390003</v>
      </c>
      <c r="C127" s="7" t="s">
        <v>1676</v>
      </c>
      <c r="D127" s="10" t="s">
        <v>586</v>
      </c>
      <c r="E127" s="7">
        <v>2</v>
      </c>
      <c r="F127" s="7">
        <v>1</v>
      </c>
      <c r="G127" s="7">
        <v>2</v>
      </c>
      <c r="H127" s="6">
        <v>100</v>
      </c>
      <c r="I127" s="7">
        <v>19</v>
      </c>
      <c r="J127" s="7">
        <v>2</v>
      </c>
      <c r="K127" s="7">
        <v>110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>
        <v>3</v>
      </c>
      <c r="T127" s="7">
        <v>2</v>
      </c>
      <c r="U127" s="6">
        <v>100</v>
      </c>
      <c r="V127" s="7">
        <v>17</v>
      </c>
      <c r="W127" s="7">
        <v>0</v>
      </c>
      <c r="X127" s="7">
        <v>5</v>
      </c>
      <c r="Y127" s="6" t="b">
        <v>0</v>
      </c>
      <c r="Z127" s="6">
        <v>0</v>
      </c>
      <c r="AA127" s="6">
        <v>0</v>
      </c>
      <c r="AB127" s="7">
        <v>3</v>
      </c>
      <c r="AC127" s="7">
        <v>4</v>
      </c>
      <c r="AD127" s="7">
        <v>2</v>
      </c>
      <c r="AE127" s="5" t="b">
        <v>1</v>
      </c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</row>
    <row r="128" spans="1:52" ht="18.75" customHeight="1">
      <c r="B128" s="7">
        <v>400001</v>
      </c>
      <c r="C128" s="7" t="s">
        <v>466</v>
      </c>
      <c r="D128" s="10" t="s">
        <v>815</v>
      </c>
      <c r="E128" s="7">
        <v>2</v>
      </c>
      <c r="F128" s="7">
        <v>1</v>
      </c>
      <c r="G128" s="7">
        <v>2</v>
      </c>
      <c r="H128" s="6">
        <v>100</v>
      </c>
      <c r="I128" s="7">
        <v>39</v>
      </c>
      <c r="J128" s="7">
        <v>2</v>
      </c>
      <c r="K128" s="7">
        <v>108</v>
      </c>
      <c r="L128" s="6" t="b">
        <v>0</v>
      </c>
      <c r="M128" s="6">
        <v>0</v>
      </c>
      <c r="N128" s="6">
        <v>0</v>
      </c>
      <c r="O128" s="7">
        <v>1</v>
      </c>
      <c r="P128" s="7">
        <v>0</v>
      </c>
      <c r="Q128" s="7">
        <v>0</v>
      </c>
      <c r="R128" s="5" t="b">
        <v>1</v>
      </c>
      <c r="S128" s="7">
        <v>2</v>
      </c>
      <c r="T128" s="7">
        <v>5</v>
      </c>
      <c r="U128" s="6">
        <v>100</v>
      </c>
      <c r="V128" s="7">
        <v>22</v>
      </c>
      <c r="W128" s="7">
        <v>4</v>
      </c>
      <c r="X128" s="7">
        <v>250</v>
      </c>
      <c r="Y128" s="6" t="b">
        <v>0</v>
      </c>
      <c r="Z128" s="6">
        <v>0</v>
      </c>
      <c r="AA128" s="6">
        <v>0</v>
      </c>
      <c r="AB128" s="7">
        <v>49</v>
      </c>
      <c r="AC128" s="7">
        <v>0</v>
      </c>
      <c r="AD128" s="7">
        <v>0</v>
      </c>
      <c r="AE128" s="5" t="b">
        <v>1</v>
      </c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</row>
    <row r="129" spans="2:44" ht="18.75" customHeight="1">
      <c r="B129" s="7">
        <v>400002</v>
      </c>
      <c r="C129" s="7" t="s">
        <v>1607</v>
      </c>
      <c r="D129" s="10" t="s">
        <v>815</v>
      </c>
      <c r="E129" s="7">
        <v>2</v>
      </c>
      <c r="F129" s="7">
        <v>1</v>
      </c>
      <c r="G129" s="7">
        <v>2</v>
      </c>
      <c r="H129" s="6">
        <v>100</v>
      </c>
      <c r="I129" s="7">
        <v>39</v>
      </c>
      <c r="J129" s="7">
        <v>2</v>
      </c>
      <c r="K129" s="7">
        <v>108</v>
      </c>
      <c r="L129" s="6" t="b">
        <v>0</v>
      </c>
      <c r="M129" s="6">
        <v>0</v>
      </c>
      <c r="N129" s="6">
        <v>0</v>
      </c>
      <c r="O129" s="7">
        <v>1</v>
      </c>
      <c r="P129" s="7">
        <v>0</v>
      </c>
      <c r="Q129" s="7">
        <v>0</v>
      </c>
      <c r="R129" s="5" t="b">
        <v>1</v>
      </c>
      <c r="S129" s="7">
        <v>2</v>
      </c>
      <c r="T129" s="7">
        <v>5</v>
      </c>
      <c r="U129" s="6">
        <v>100</v>
      </c>
      <c r="V129" s="7">
        <v>22</v>
      </c>
      <c r="W129" s="7">
        <v>4</v>
      </c>
      <c r="X129" s="7">
        <v>250</v>
      </c>
      <c r="Y129" s="6" t="b">
        <v>0</v>
      </c>
      <c r="Z129" s="6">
        <v>0</v>
      </c>
      <c r="AA129" s="6">
        <v>0</v>
      </c>
      <c r="AB129" s="7">
        <v>49</v>
      </c>
      <c r="AC129" s="7">
        <v>0</v>
      </c>
      <c r="AD129" s="7">
        <v>0</v>
      </c>
      <c r="AE129" s="5" t="b">
        <v>1</v>
      </c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</row>
    <row r="130" spans="2:44" ht="18.75" customHeight="1">
      <c r="B130" s="7">
        <v>400003</v>
      </c>
      <c r="C130" s="7" t="s">
        <v>1678</v>
      </c>
      <c r="D130" s="10" t="s">
        <v>815</v>
      </c>
      <c r="E130" s="7">
        <v>2</v>
      </c>
      <c r="F130" s="7">
        <v>1</v>
      </c>
      <c r="G130" s="7">
        <v>2</v>
      </c>
      <c r="H130" s="6">
        <v>100</v>
      </c>
      <c r="I130" s="7">
        <v>39</v>
      </c>
      <c r="J130" s="7">
        <v>2</v>
      </c>
      <c r="K130" s="7">
        <v>108</v>
      </c>
      <c r="L130" s="6" t="b">
        <v>0</v>
      </c>
      <c r="M130" s="6">
        <v>0</v>
      </c>
      <c r="N130" s="6">
        <v>0</v>
      </c>
      <c r="O130" s="7">
        <v>1</v>
      </c>
      <c r="P130" s="7">
        <v>0</v>
      </c>
      <c r="Q130" s="7">
        <v>0</v>
      </c>
      <c r="R130" s="5" t="b">
        <v>1</v>
      </c>
      <c r="S130" s="7">
        <v>2</v>
      </c>
      <c r="T130" s="7">
        <v>5</v>
      </c>
      <c r="U130" s="6">
        <v>100</v>
      </c>
      <c r="V130" s="7">
        <v>22</v>
      </c>
      <c r="W130" s="7">
        <v>4</v>
      </c>
      <c r="X130" s="7">
        <v>250</v>
      </c>
      <c r="Y130" s="6" t="b">
        <v>0</v>
      </c>
      <c r="Z130" s="6">
        <v>0</v>
      </c>
      <c r="AA130" s="6">
        <v>0</v>
      </c>
      <c r="AB130" s="7">
        <v>49</v>
      </c>
      <c r="AC130" s="7">
        <v>0</v>
      </c>
      <c r="AD130" s="7">
        <v>0</v>
      </c>
      <c r="AE130" s="5" t="b">
        <v>1</v>
      </c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</row>
    <row r="131" spans="2:44" ht="18.75" customHeight="1">
      <c r="B131" s="5">
        <v>410001</v>
      </c>
      <c r="C131" s="7" t="s">
        <v>467</v>
      </c>
      <c r="D131" s="10" t="s">
        <v>587</v>
      </c>
      <c r="E131" s="6">
        <v>2</v>
      </c>
      <c r="F131" s="6">
        <v>1</v>
      </c>
      <c r="G131" s="6">
        <v>2</v>
      </c>
      <c r="H131" s="6">
        <v>100</v>
      </c>
      <c r="I131" s="6">
        <v>19</v>
      </c>
      <c r="J131" s="6">
        <v>2</v>
      </c>
      <c r="K131" s="6">
        <v>200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410002</v>
      </c>
      <c r="C132" s="7" t="s">
        <v>1608</v>
      </c>
      <c r="D132" s="10" t="s">
        <v>587</v>
      </c>
      <c r="E132" s="6">
        <v>2</v>
      </c>
      <c r="F132" s="6">
        <v>1</v>
      </c>
      <c r="G132" s="6">
        <v>2</v>
      </c>
      <c r="H132" s="6">
        <v>100</v>
      </c>
      <c r="I132" s="6">
        <v>19</v>
      </c>
      <c r="J132" s="6">
        <v>2</v>
      </c>
      <c r="K132" s="6">
        <v>200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5">
        <v>410003</v>
      </c>
      <c r="C133" s="7" t="s">
        <v>1677</v>
      </c>
      <c r="D133" s="10" t="s">
        <v>587</v>
      </c>
      <c r="E133" s="6">
        <v>2</v>
      </c>
      <c r="F133" s="6">
        <v>1</v>
      </c>
      <c r="G133" s="6">
        <v>2</v>
      </c>
      <c r="H133" s="6">
        <v>100</v>
      </c>
      <c r="I133" s="6">
        <v>19</v>
      </c>
      <c r="J133" s="6">
        <v>2</v>
      </c>
      <c r="K133" s="6">
        <v>200</v>
      </c>
      <c r="L133" s="6" t="b">
        <v>0</v>
      </c>
      <c r="M133" s="6">
        <v>0</v>
      </c>
      <c r="N133" s="6">
        <v>0</v>
      </c>
      <c r="O133" s="5">
        <v>1</v>
      </c>
      <c r="P133" s="5">
        <v>0</v>
      </c>
      <c r="Q133" s="5">
        <v>0</v>
      </c>
      <c r="R133" s="5" t="b">
        <v>1</v>
      </c>
      <c r="S133" s="6"/>
      <c r="T133" s="6"/>
      <c r="U133" s="6"/>
      <c r="V133" s="5"/>
      <c r="W133" s="5"/>
      <c r="X133" s="5"/>
      <c r="Y133" s="6"/>
      <c r="Z133" s="6"/>
      <c r="AA133" s="6"/>
      <c r="AB133" s="5"/>
      <c r="AC133" s="5"/>
      <c r="AD133" s="5"/>
      <c r="AE133" s="5"/>
    </row>
    <row r="134" spans="2:44" ht="18.75" customHeight="1">
      <c r="B134" s="7">
        <v>420001</v>
      </c>
      <c r="C134" s="7" t="s">
        <v>468</v>
      </c>
      <c r="D134" s="10" t="s">
        <v>588</v>
      </c>
      <c r="E134" s="7">
        <v>2</v>
      </c>
      <c r="F134" s="7">
        <v>1</v>
      </c>
      <c r="G134" s="7">
        <v>2</v>
      </c>
      <c r="H134" s="6">
        <v>100</v>
      </c>
      <c r="I134" s="7">
        <v>11</v>
      </c>
      <c r="J134" s="7">
        <v>2</v>
      </c>
      <c r="K134" s="7">
        <v>200</v>
      </c>
      <c r="L134" s="6" t="b">
        <v>0</v>
      </c>
      <c r="M134" s="6">
        <v>0</v>
      </c>
      <c r="N134" s="6">
        <v>0</v>
      </c>
      <c r="O134" s="7">
        <v>1</v>
      </c>
      <c r="P134" s="7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7"/>
      <c r="AD134" s="7"/>
      <c r="AE134" s="5"/>
    </row>
    <row r="135" spans="2:44" ht="18.75" customHeight="1">
      <c r="B135" s="7">
        <v>420002</v>
      </c>
      <c r="C135" s="7" t="s">
        <v>1609</v>
      </c>
      <c r="D135" s="10" t="s">
        <v>588</v>
      </c>
      <c r="E135" s="7">
        <v>2</v>
      </c>
      <c r="F135" s="7">
        <v>1</v>
      </c>
      <c r="G135" s="7">
        <v>2</v>
      </c>
      <c r="H135" s="6">
        <v>100</v>
      </c>
      <c r="I135" s="7">
        <v>11</v>
      </c>
      <c r="J135" s="7">
        <v>2</v>
      </c>
      <c r="K135" s="7">
        <v>200</v>
      </c>
      <c r="L135" s="6" t="b">
        <v>0</v>
      </c>
      <c r="M135" s="6">
        <v>0</v>
      </c>
      <c r="N135" s="6">
        <v>0</v>
      </c>
      <c r="O135" s="7">
        <v>1</v>
      </c>
      <c r="P135" s="7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7"/>
      <c r="AD135" s="7"/>
      <c r="AE135" s="5"/>
    </row>
    <row r="136" spans="2:44" ht="18.75" customHeight="1">
      <c r="B136" s="7">
        <v>420003</v>
      </c>
      <c r="C136" s="7" t="s">
        <v>1679</v>
      </c>
      <c r="D136" s="10" t="s">
        <v>588</v>
      </c>
      <c r="E136" s="7">
        <v>2</v>
      </c>
      <c r="F136" s="7">
        <v>1</v>
      </c>
      <c r="G136" s="7">
        <v>2</v>
      </c>
      <c r="H136" s="6">
        <v>100</v>
      </c>
      <c r="I136" s="7">
        <v>11</v>
      </c>
      <c r="J136" s="7">
        <v>2</v>
      </c>
      <c r="K136" s="7">
        <v>200</v>
      </c>
      <c r="L136" s="6" t="b">
        <v>0</v>
      </c>
      <c r="M136" s="6">
        <v>0</v>
      </c>
      <c r="N136" s="6">
        <v>0</v>
      </c>
      <c r="O136" s="7">
        <v>1</v>
      </c>
      <c r="P136" s="7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7"/>
      <c r="AD136" s="7"/>
      <c r="AE136" s="5"/>
    </row>
    <row r="137" spans="2:44" ht="18.75" customHeight="1">
      <c r="B137" s="5">
        <v>430001</v>
      </c>
      <c r="C137" s="7" t="s">
        <v>469</v>
      </c>
      <c r="D137" s="10" t="s">
        <v>589</v>
      </c>
      <c r="E137" s="7">
        <v>2</v>
      </c>
      <c r="F137" s="7">
        <v>1</v>
      </c>
      <c r="G137" s="7">
        <v>2</v>
      </c>
      <c r="H137" s="6">
        <v>100</v>
      </c>
      <c r="I137" s="7">
        <v>12</v>
      </c>
      <c r="J137" s="7">
        <v>2</v>
      </c>
      <c r="K137" s="7">
        <v>272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7"/>
      <c r="AD137" s="7"/>
      <c r="AE137" s="5"/>
    </row>
    <row r="138" spans="2:44" ht="18.75" customHeight="1">
      <c r="B138" s="5">
        <v>430002</v>
      </c>
      <c r="C138" s="7" t="s">
        <v>1610</v>
      </c>
      <c r="D138" s="10" t="s">
        <v>589</v>
      </c>
      <c r="E138" s="7">
        <v>2</v>
      </c>
      <c r="F138" s="7">
        <v>1</v>
      </c>
      <c r="G138" s="7">
        <v>2</v>
      </c>
      <c r="H138" s="6">
        <v>100</v>
      </c>
      <c r="I138" s="7">
        <v>12</v>
      </c>
      <c r="J138" s="7">
        <v>2</v>
      </c>
      <c r="K138" s="7">
        <v>272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7"/>
      <c r="AD138" s="7"/>
      <c r="AE138" s="5"/>
    </row>
    <row r="139" spans="2:44" ht="18.75" customHeight="1">
      <c r="B139" s="5">
        <v>430003</v>
      </c>
      <c r="C139" s="7" t="s">
        <v>1680</v>
      </c>
      <c r="D139" s="10" t="s">
        <v>589</v>
      </c>
      <c r="E139" s="7">
        <v>2</v>
      </c>
      <c r="F139" s="7">
        <v>1</v>
      </c>
      <c r="G139" s="7">
        <v>2</v>
      </c>
      <c r="H139" s="6">
        <v>100</v>
      </c>
      <c r="I139" s="7">
        <v>12</v>
      </c>
      <c r="J139" s="7">
        <v>2</v>
      </c>
      <c r="K139" s="7">
        <v>272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7"/>
      <c r="AD139" s="7"/>
      <c r="AE139" s="5"/>
    </row>
    <row r="140" spans="2:44" ht="18.75" customHeight="1">
      <c r="B140" s="7">
        <v>440001</v>
      </c>
      <c r="C140" s="7" t="s">
        <v>470</v>
      </c>
      <c r="D140" s="10" t="s">
        <v>590</v>
      </c>
      <c r="E140" s="7">
        <v>2</v>
      </c>
      <c r="F140" s="7">
        <v>1</v>
      </c>
      <c r="G140" s="7">
        <v>2</v>
      </c>
      <c r="H140" s="6">
        <v>100</v>
      </c>
      <c r="I140" s="7">
        <v>3</v>
      </c>
      <c r="J140" s="7">
        <v>2</v>
      </c>
      <c r="K140" s="7">
        <v>95</v>
      </c>
      <c r="L140" s="6" t="b">
        <v>0</v>
      </c>
      <c r="M140" s="6">
        <v>0</v>
      </c>
      <c r="N140" s="6">
        <v>0</v>
      </c>
      <c r="O140" s="7">
        <v>1</v>
      </c>
      <c r="P140" s="7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7"/>
      <c r="AD140" s="7"/>
      <c r="AE140" s="5"/>
    </row>
    <row r="141" spans="2:44" ht="18.75" customHeight="1">
      <c r="B141" s="7">
        <v>440002</v>
      </c>
      <c r="C141" s="7" t="s">
        <v>1611</v>
      </c>
      <c r="D141" s="10" t="s">
        <v>590</v>
      </c>
      <c r="E141" s="7">
        <v>2</v>
      </c>
      <c r="F141" s="7">
        <v>1</v>
      </c>
      <c r="G141" s="7">
        <v>2</v>
      </c>
      <c r="H141" s="6">
        <v>100</v>
      </c>
      <c r="I141" s="7">
        <v>3</v>
      </c>
      <c r="J141" s="7">
        <v>2</v>
      </c>
      <c r="K141" s="7">
        <v>95</v>
      </c>
      <c r="L141" s="6" t="b">
        <v>0</v>
      </c>
      <c r="M141" s="6">
        <v>0</v>
      </c>
      <c r="N141" s="6">
        <v>0</v>
      </c>
      <c r="O141" s="7">
        <v>1</v>
      </c>
      <c r="P141" s="7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7"/>
      <c r="AD141" s="7"/>
      <c r="AE141" s="5"/>
    </row>
    <row r="142" spans="2:44" ht="18.75" customHeight="1">
      <c r="B142" s="7">
        <v>440003</v>
      </c>
      <c r="C142" s="7" t="s">
        <v>1681</v>
      </c>
      <c r="D142" s="10" t="s">
        <v>590</v>
      </c>
      <c r="E142" s="7">
        <v>2</v>
      </c>
      <c r="F142" s="7">
        <v>1</v>
      </c>
      <c r="G142" s="7">
        <v>2</v>
      </c>
      <c r="H142" s="6">
        <v>100</v>
      </c>
      <c r="I142" s="7">
        <v>3</v>
      </c>
      <c r="J142" s="7">
        <v>2</v>
      </c>
      <c r="K142" s="7">
        <v>95</v>
      </c>
      <c r="L142" s="6" t="b">
        <v>0</v>
      </c>
      <c r="M142" s="6">
        <v>0</v>
      </c>
      <c r="N142" s="6">
        <v>0</v>
      </c>
      <c r="O142" s="7">
        <v>1</v>
      </c>
      <c r="P142" s="7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7"/>
      <c r="AD142" s="7"/>
      <c r="AE142" s="5"/>
    </row>
    <row r="143" spans="2:44" ht="18.75" customHeight="1">
      <c r="B143" s="5">
        <v>450001</v>
      </c>
      <c r="C143" s="7" t="s">
        <v>471</v>
      </c>
      <c r="D143" s="10" t="s">
        <v>591</v>
      </c>
      <c r="E143" s="7">
        <v>2</v>
      </c>
      <c r="F143" s="7">
        <v>1</v>
      </c>
      <c r="G143" s="7">
        <v>2</v>
      </c>
      <c r="H143" s="6">
        <v>100</v>
      </c>
      <c r="I143" s="7">
        <v>12</v>
      </c>
      <c r="J143" s="7">
        <v>2</v>
      </c>
      <c r="K143" s="7">
        <v>182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7"/>
      <c r="T143" s="7"/>
      <c r="U143" s="6"/>
      <c r="V143" s="7"/>
      <c r="W143" s="7"/>
      <c r="X143" s="7"/>
      <c r="Y143" s="6"/>
      <c r="Z143" s="6"/>
      <c r="AA143" s="6"/>
      <c r="AB143" s="7"/>
      <c r="AC143" s="7"/>
      <c r="AD143" s="7"/>
      <c r="AE143" s="5"/>
    </row>
    <row r="144" spans="2:44" ht="18.75" customHeight="1">
      <c r="B144" s="5">
        <v>450002</v>
      </c>
      <c r="C144" s="7" t="s">
        <v>1612</v>
      </c>
      <c r="D144" s="10" t="s">
        <v>591</v>
      </c>
      <c r="E144" s="7">
        <v>2</v>
      </c>
      <c r="F144" s="7">
        <v>1</v>
      </c>
      <c r="G144" s="7">
        <v>2</v>
      </c>
      <c r="H144" s="6">
        <v>100</v>
      </c>
      <c r="I144" s="7">
        <v>12</v>
      </c>
      <c r="J144" s="7">
        <v>2</v>
      </c>
      <c r="K144" s="7">
        <v>182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7"/>
      <c r="T144" s="7"/>
      <c r="U144" s="6"/>
      <c r="V144" s="7"/>
      <c r="W144" s="7"/>
      <c r="X144" s="7"/>
      <c r="Y144" s="6"/>
      <c r="Z144" s="6"/>
      <c r="AA144" s="6"/>
      <c r="AB144" s="7"/>
      <c r="AC144" s="7"/>
      <c r="AD144" s="7"/>
      <c r="AE144" s="5"/>
    </row>
    <row r="145" spans="1:52" ht="18.75" customHeight="1">
      <c r="B145" s="5">
        <v>450003</v>
      </c>
      <c r="C145" s="7" t="s">
        <v>1682</v>
      </c>
      <c r="D145" s="10" t="s">
        <v>591</v>
      </c>
      <c r="E145" s="7">
        <v>2</v>
      </c>
      <c r="F145" s="7">
        <v>1</v>
      </c>
      <c r="G145" s="7">
        <v>2</v>
      </c>
      <c r="H145" s="6">
        <v>100</v>
      </c>
      <c r="I145" s="7">
        <v>12</v>
      </c>
      <c r="J145" s="7">
        <v>2</v>
      </c>
      <c r="K145" s="7">
        <v>182</v>
      </c>
      <c r="L145" s="6" t="b">
        <v>0</v>
      </c>
      <c r="M145" s="6">
        <v>0</v>
      </c>
      <c r="N145" s="6">
        <v>0</v>
      </c>
      <c r="O145" s="7">
        <v>1</v>
      </c>
      <c r="P145" s="5">
        <v>0</v>
      </c>
      <c r="Q145" s="7">
        <v>0</v>
      </c>
      <c r="R145" s="5" t="b">
        <v>1</v>
      </c>
      <c r="S145" s="7"/>
      <c r="T145" s="7"/>
      <c r="U145" s="6"/>
      <c r="V145" s="7"/>
      <c r="W145" s="7"/>
      <c r="X145" s="7"/>
      <c r="Y145" s="6"/>
      <c r="Z145" s="6"/>
      <c r="AA145" s="6"/>
      <c r="AB145" s="7"/>
      <c r="AC145" s="7"/>
      <c r="AD145" s="7"/>
      <c r="AE145" s="5"/>
    </row>
    <row r="146" spans="1:52" ht="18.75" customHeight="1">
      <c r="B146" s="7">
        <v>460001</v>
      </c>
      <c r="C146" s="7" t="s">
        <v>472</v>
      </c>
      <c r="D146" s="10" t="s">
        <v>592</v>
      </c>
      <c r="E146" s="6">
        <v>2</v>
      </c>
      <c r="F146" s="6">
        <v>1</v>
      </c>
      <c r="G146" s="6">
        <v>2</v>
      </c>
      <c r="H146" s="6">
        <v>100</v>
      </c>
      <c r="I146" s="6">
        <v>19</v>
      </c>
      <c r="J146" s="6">
        <v>2</v>
      </c>
      <c r="K146" s="6">
        <v>200</v>
      </c>
      <c r="L146" s="6" t="b">
        <v>0</v>
      </c>
      <c r="M146" s="6">
        <v>0</v>
      </c>
      <c r="N146" s="6">
        <v>0</v>
      </c>
      <c r="O146" s="5">
        <v>1</v>
      </c>
      <c r="P146" s="7">
        <v>0</v>
      </c>
      <c r="Q146" s="5">
        <v>0</v>
      </c>
      <c r="R146" s="5" t="b">
        <v>1</v>
      </c>
      <c r="S146" s="6"/>
      <c r="T146" s="6"/>
      <c r="U146" s="6"/>
      <c r="V146" s="5"/>
      <c r="W146" s="5"/>
      <c r="X146" s="5"/>
      <c r="Y146" s="6"/>
      <c r="Z146" s="6"/>
      <c r="AA146" s="6"/>
      <c r="AB146" s="5"/>
      <c r="AC146" s="5"/>
      <c r="AD146" s="5"/>
      <c r="AE146" s="5"/>
    </row>
    <row r="147" spans="1:52" ht="18.75" customHeight="1">
      <c r="B147" s="7">
        <v>460002</v>
      </c>
      <c r="C147" s="7" t="s">
        <v>1613</v>
      </c>
      <c r="D147" s="10" t="s">
        <v>592</v>
      </c>
      <c r="E147" s="6">
        <v>2</v>
      </c>
      <c r="F147" s="6">
        <v>1</v>
      </c>
      <c r="G147" s="6">
        <v>2</v>
      </c>
      <c r="H147" s="6">
        <v>100</v>
      </c>
      <c r="I147" s="6">
        <v>19</v>
      </c>
      <c r="J147" s="6">
        <v>2</v>
      </c>
      <c r="K147" s="6">
        <v>200</v>
      </c>
      <c r="L147" s="6" t="b">
        <v>0</v>
      </c>
      <c r="M147" s="6">
        <v>0</v>
      </c>
      <c r="N147" s="6">
        <v>0</v>
      </c>
      <c r="O147" s="5">
        <v>1</v>
      </c>
      <c r="P147" s="7">
        <v>0</v>
      </c>
      <c r="Q147" s="5">
        <v>0</v>
      </c>
      <c r="R147" s="5" t="b">
        <v>1</v>
      </c>
      <c r="S147" s="6"/>
      <c r="T147" s="6"/>
      <c r="U147" s="6"/>
      <c r="V147" s="5"/>
      <c r="W147" s="5"/>
      <c r="X147" s="5"/>
      <c r="Y147" s="6"/>
      <c r="Z147" s="6"/>
      <c r="AA147" s="6"/>
      <c r="AB147" s="5"/>
      <c r="AC147" s="5"/>
      <c r="AD147" s="5"/>
      <c r="AE147" s="5"/>
    </row>
    <row r="148" spans="1:52" ht="18.75" customHeight="1">
      <c r="B148" s="7">
        <v>460003</v>
      </c>
      <c r="C148" s="7" t="s">
        <v>1683</v>
      </c>
      <c r="D148" s="10" t="s">
        <v>592</v>
      </c>
      <c r="E148" s="6">
        <v>2</v>
      </c>
      <c r="F148" s="6">
        <v>1</v>
      </c>
      <c r="G148" s="6">
        <v>2</v>
      </c>
      <c r="H148" s="6">
        <v>100</v>
      </c>
      <c r="I148" s="6">
        <v>19</v>
      </c>
      <c r="J148" s="6">
        <v>2</v>
      </c>
      <c r="K148" s="6">
        <v>200</v>
      </c>
      <c r="L148" s="6" t="b">
        <v>0</v>
      </c>
      <c r="M148" s="6">
        <v>0</v>
      </c>
      <c r="N148" s="6">
        <v>0</v>
      </c>
      <c r="O148" s="5">
        <v>1</v>
      </c>
      <c r="P148" s="7">
        <v>0</v>
      </c>
      <c r="Q148" s="5">
        <v>0</v>
      </c>
      <c r="R148" s="5" t="b">
        <v>1</v>
      </c>
      <c r="S148" s="6"/>
      <c r="T148" s="6"/>
      <c r="U148" s="6"/>
      <c r="V148" s="5"/>
      <c r="W148" s="5"/>
      <c r="X148" s="5"/>
      <c r="Y148" s="6"/>
      <c r="Z148" s="6"/>
      <c r="AA148" s="6"/>
      <c r="AB148" s="5"/>
      <c r="AC148" s="5"/>
      <c r="AD148" s="5"/>
      <c r="AE148" s="5"/>
    </row>
    <row r="149" spans="1:52" ht="18.75" customHeight="1">
      <c r="B149" s="5">
        <v>470001</v>
      </c>
      <c r="C149" s="7" t="s">
        <v>473</v>
      </c>
      <c r="D149" s="10" t="s">
        <v>593</v>
      </c>
      <c r="E149" s="7">
        <v>2</v>
      </c>
      <c r="F149" s="7">
        <v>1</v>
      </c>
      <c r="G149" s="7">
        <v>2</v>
      </c>
      <c r="H149" s="6">
        <v>100</v>
      </c>
      <c r="I149" s="7">
        <v>11</v>
      </c>
      <c r="J149" s="7">
        <v>2</v>
      </c>
      <c r="K149" s="7">
        <v>200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7"/>
      <c r="AD149" s="7"/>
      <c r="AE149" s="5"/>
    </row>
    <row r="150" spans="1:52" ht="18.75" customHeight="1">
      <c r="B150" s="5">
        <v>470002</v>
      </c>
      <c r="C150" s="7" t="s">
        <v>1614</v>
      </c>
      <c r="D150" s="10" t="s">
        <v>593</v>
      </c>
      <c r="E150" s="7">
        <v>2</v>
      </c>
      <c r="F150" s="7">
        <v>1</v>
      </c>
      <c r="G150" s="7">
        <v>2</v>
      </c>
      <c r="H150" s="6">
        <v>100</v>
      </c>
      <c r="I150" s="7">
        <v>11</v>
      </c>
      <c r="J150" s="7">
        <v>2</v>
      </c>
      <c r="K150" s="7">
        <v>200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7"/>
      <c r="AD150" s="7"/>
      <c r="AE150" s="5"/>
    </row>
    <row r="151" spans="1:52" ht="20.100000000000001" customHeight="1">
      <c r="A151" s="56" t="s">
        <v>107</v>
      </c>
      <c r="B151" s="5">
        <v>470003</v>
      </c>
      <c r="C151" s="7" t="s">
        <v>1684</v>
      </c>
      <c r="D151" s="10" t="s">
        <v>593</v>
      </c>
      <c r="E151" s="7">
        <v>2</v>
      </c>
      <c r="F151" s="7">
        <v>1</v>
      </c>
      <c r="G151" s="7">
        <v>2</v>
      </c>
      <c r="H151" s="6">
        <v>100</v>
      </c>
      <c r="I151" s="7">
        <v>11</v>
      </c>
      <c r="J151" s="7">
        <v>2</v>
      </c>
      <c r="K151" s="7">
        <v>200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7"/>
      <c r="AD151" s="7"/>
      <c r="AE151" s="5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6"/>
      <c r="AT151" s="6"/>
      <c r="AU151" s="6"/>
      <c r="AV151" s="6"/>
      <c r="AW151" s="6"/>
      <c r="AX151" s="6"/>
      <c r="AY151" s="6"/>
      <c r="AZ151" s="6"/>
    </row>
    <row r="152" spans="1:52" ht="18.75" customHeight="1">
      <c r="A152" s="56"/>
      <c r="B152" s="7">
        <v>480001</v>
      </c>
      <c r="C152" s="7" t="s">
        <v>474</v>
      </c>
      <c r="D152" s="10" t="s">
        <v>594</v>
      </c>
      <c r="E152" s="7">
        <v>2</v>
      </c>
      <c r="F152" s="7">
        <v>1</v>
      </c>
      <c r="G152" s="7">
        <v>2</v>
      </c>
      <c r="H152" s="6">
        <v>100</v>
      </c>
      <c r="I152" s="7">
        <v>12</v>
      </c>
      <c r="J152" s="7">
        <v>2</v>
      </c>
      <c r="K152" s="7">
        <v>272</v>
      </c>
      <c r="L152" s="6" t="b">
        <v>0</v>
      </c>
      <c r="M152" s="6">
        <v>0</v>
      </c>
      <c r="N152" s="6">
        <v>0</v>
      </c>
      <c r="O152" s="7">
        <v>1</v>
      </c>
      <c r="P152" s="7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7"/>
      <c r="AD152" s="7"/>
      <c r="AE152" s="5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480002</v>
      </c>
      <c r="C153" s="7" t="s">
        <v>1615</v>
      </c>
      <c r="D153" s="10" t="s">
        <v>594</v>
      </c>
      <c r="E153" s="7">
        <v>2</v>
      </c>
      <c r="F153" s="7">
        <v>1</v>
      </c>
      <c r="G153" s="7">
        <v>2</v>
      </c>
      <c r="H153" s="6">
        <v>100</v>
      </c>
      <c r="I153" s="7">
        <v>12</v>
      </c>
      <c r="J153" s="7">
        <v>2</v>
      </c>
      <c r="K153" s="7">
        <v>272</v>
      </c>
      <c r="L153" s="6" t="b">
        <v>0</v>
      </c>
      <c r="M153" s="6">
        <v>0</v>
      </c>
      <c r="N153" s="6">
        <v>0</v>
      </c>
      <c r="O153" s="7">
        <v>1</v>
      </c>
      <c r="P153" s="7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7"/>
      <c r="AD153" s="7"/>
      <c r="AE153" s="5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7">
        <v>480003</v>
      </c>
      <c r="C154" s="7" t="s">
        <v>1685</v>
      </c>
      <c r="D154" s="10" t="s">
        <v>594</v>
      </c>
      <c r="E154" s="7">
        <v>2</v>
      </c>
      <c r="F154" s="7">
        <v>1</v>
      </c>
      <c r="G154" s="7">
        <v>2</v>
      </c>
      <c r="H154" s="6">
        <v>100</v>
      </c>
      <c r="I154" s="7">
        <v>12</v>
      </c>
      <c r="J154" s="7">
        <v>2</v>
      </c>
      <c r="K154" s="7">
        <v>272</v>
      </c>
      <c r="L154" s="6" t="b">
        <v>0</v>
      </c>
      <c r="M154" s="6">
        <v>0</v>
      </c>
      <c r="N154" s="6">
        <v>0</v>
      </c>
      <c r="O154" s="7">
        <v>1</v>
      </c>
      <c r="P154" s="7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7"/>
      <c r="AD154" s="7"/>
      <c r="AE154" s="5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490001</v>
      </c>
      <c r="C155" s="7" t="s">
        <v>475</v>
      </c>
      <c r="D155" s="10" t="s">
        <v>595</v>
      </c>
      <c r="E155" s="7">
        <v>2</v>
      </c>
      <c r="F155" s="7">
        <v>1</v>
      </c>
      <c r="G155" s="7">
        <v>2</v>
      </c>
      <c r="H155" s="6">
        <v>100</v>
      </c>
      <c r="I155" s="7">
        <v>3</v>
      </c>
      <c r="J155" s="7">
        <v>2</v>
      </c>
      <c r="K155" s="7">
        <v>95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7"/>
      <c r="T155" s="7"/>
      <c r="U155" s="6"/>
      <c r="V155" s="7"/>
      <c r="W155" s="7"/>
      <c r="X155" s="7"/>
      <c r="Y155" s="6"/>
      <c r="Z155" s="6"/>
      <c r="AA155" s="6"/>
      <c r="AB155" s="7"/>
      <c r="AC155" s="7"/>
      <c r="AD155" s="7"/>
      <c r="AE155" s="5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490002</v>
      </c>
      <c r="C156" s="7" t="s">
        <v>1616</v>
      </c>
      <c r="D156" s="10" t="s">
        <v>595</v>
      </c>
      <c r="E156" s="7">
        <v>2</v>
      </c>
      <c r="F156" s="7">
        <v>1</v>
      </c>
      <c r="G156" s="7">
        <v>2</v>
      </c>
      <c r="H156" s="6">
        <v>100</v>
      </c>
      <c r="I156" s="7">
        <v>3</v>
      </c>
      <c r="J156" s="7">
        <v>2</v>
      </c>
      <c r="K156" s="7">
        <v>95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7"/>
      <c r="T156" s="7"/>
      <c r="U156" s="6"/>
      <c r="V156" s="7"/>
      <c r="W156" s="7"/>
      <c r="X156" s="7"/>
      <c r="Y156" s="6"/>
      <c r="Z156" s="6"/>
      <c r="AA156" s="6"/>
      <c r="AB156" s="7"/>
      <c r="AC156" s="7"/>
      <c r="AD156" s="7"/>
      <c r="AE156" s="5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5">
        <v>490003</v>
      </c>
      <c r="C157" s="7" t="s">
        <v>1686</v>
      </c>
      <c r="D157" s="10" t="s">
        <v>595</v>
      </c>
      <c r="E157" s="7">
        <v>2</v>
      </c>
      <c r="F157" s="7">
        <v>1</v>
      </c>
      <c r="G157" s="7">
        <v>2</v>
      </c>
      <c r="H157" s="6">
        <v>100</v>
      </c>
      <c r="I157" s="7">
        <v>3</v>
      </c>
      <c r="J157" s="7">
        <v>2</v>
      </c>
      <c r="K157" s="7">
        <v>95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7"/>
      <c r="T157" s="7"/>
      <c r="U157" s="6"/>
      <c r="V157" s="7"/>
      <c r="W157" s="7"/>
      <c r="X157" s="7"/>
      <c r="Y157" s="6"/>
      <c r="Z157" s="6"/>
      <c r="AA157" s="6"/>
      <c r="AB157" s="7"/>
      <c r="AC157" s="7"/>
      <c r="AD157" s="7"/>
      <c r="AE157" s="5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500001</v>
      </c>
      <c r="C158" s="7" t="s">
        <v>476</v>
      </c>
      <c r="D158" s="10" t="s">
        <v>596</v>
      </c>
      <c r="E158" s="7">
        <v>2</v>
      </c>
      <c r="F158" s="7">
        <v>1</v>
      </c>
      <c r="G158" s="7">
        <v>2</v>
      </c>
      <c r="H158" s="6">
        <v>100</v>
      </c>
      <c r="I158" s="7">
        <v>12</v>
      </c>
      <c r="J158" s="7">
        <v>2</v>
      </c>
      <c r="K158" s="7">
        <v>182</v>
      </c>
      <c r="L158" s="6" t="b">
        <v>0</v>
      </c>
      <c r="M158" s="6">
        <v>0</v>
      </c>
      <c r="N158" s="6">
        <v>0</v>
      </c>
      <c r="O158" s="7">
        <v>1</v>
      </c>
      <c r="P158" s="7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7"/>
      <c r="AD158" s="7"/>
      <c r="AE158" s="5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500002</v>
      </c>
      <c r="C159" s="7" t="s">
        <v>1617</v>
      </c>
      <c r="D159" s="10" t="s">
        <v>596</v>
      </c>
      <c r="E159" s="7">
        <v>2</v>
      </c>
      <c r="F159" s="7">
        <v>1</v>
      </c>
      <c r="G159" s="7">
        <v>2</v>
      </c>
      <c r="H159" s="6">
        <v>100</v>
      </c>
      <c r="I159" s="7">
        <v>12</v>
      </c>
      <c r="J159" s="7">
        <v>2</v>
      </c>
      <c r="K159" s="7">
        <v>182</v>
      </c>
      <c r="L159" s="6" t="b">
        <v>0</v>
      </c>
      <c r="M159" s="6">
        <v>0</v>
      </c>
      <c r="N159" s="6">
        <v>0</v>
      </c>
      <c r="O159" s="7">
        <v>1</v>
      </c>
      <c r="P159" s="7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7"/>
      <c r="AD159" s="7"/>
      <c r="AE159" s="5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7">
        <v>500003</v>
      </c>
      <c r="C160" s="7" t="s">
        <v>1687</v>
      </c>
      <c r="D160" s="10" t="s">
        <v>596</v>
      </c>
      <c r="E160" s="7">
        <v>2</v>
      </c>
      <c r="F160" s="7">
        <v>1</v>
      </c>
      <c r="G160" s="7">
        <v>2</v>
      </c>
      <c r="H160" s="6">
        <v>100</v>
      </c>
      <c r="I160" s="7">
        <v>12</v>
      </c>
      <c r="J160" s="7">
        <v>2</v>
      </c>
      <c r="K160" s="7">
        <v>182</v>
      </c>
      <c r="L160" s="6" t="b">
        <v>0</v>
      </c>
      <c r="M160" s="6">
        <v>0</v>
      </c>
      <c r="N160" s="6">
        <v>0</v>
      </c>
      <c r="O160" s="7">
        <v>1</v>
      </c>
      <c r="P160" s="7">
        <v>0</v>
      </c>
      <c r="Q160" s="7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7"/>
      <c r="AD160" s="7"/>
      <c r="AE160" s="5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510001</v>
      </c>
      <c r="C161" s="7" t="s">
        <v>477</v>
      </c>
      <c r="D161" s="10" t="s">
        <v>597</v>
      </c>
      <c r="E161" s="6">
        <v>2</v>
      </c>
      <c r="F161" s="6">
        <v>1</v>
      </c>
      <c r="G161" s="6">
        <v>2</v>
      </c>
      <c r="H161" s="6">
        <v>100</v>
      </c>
      <c r="I161" s="6">
        <v>19</v>
      </c>
      <c r="J161" s="6">
        <v>2</v>
      </c>
      <c r="K161" s="6">
        <v>200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6"/>
      <c r="T161" s="6"/>
      <c r="U161" s="6"/>
      <c r="V161" s="5"/>
      <c r="W161" s="5"/>
      <c r="X161" s="5"/>
      <c r="Y161" s="6"/>
      <c r="Z161" s="6"/>
      <c r="AA161" s="6"/>
      <c r="AB161" s="5"/>
      <c r="AC161" s="5"/>
      <c r="AD161" s="5"/>
      <c r="AE161" s="5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510002</v>
      </c>
      <c r="C162" s="7" t="s">
        <v>1618</v>
      </c>
      <c r="D162" s="10" t="s">
        <v>597</v>
      </c>
      <c r="E162" s="6">
        <v>2</v>
      </c>
      <c r="F162" s="6">
        <v>1</v>
      </c>
      <c r="G162" s="6">
        <v>2</v>
      </c>
      <c r="H162" s="6">
        <v>100</v>
      </c>
      <c r="I162" s="6">
        <v>19</v>
      </c>
      <c r="J162" s="6">
        <v>2</v>
      </c>
      <c r="K162" s="6">
        <v>200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6"/>
      <c r="T162" s="6"/>
      <c r="U162" s="6"/>
      <c r="V162" s="5"/>
      <c r="W162" s="5"/>
      <c r="X162" s="5"/>
      <c r="Y162" s="6"/>
      <c r="Z162" s="6"/>
      <c r="AA162" s="6"/>
      <c r="AB162" s="5"/>
      <c r="AC162" s="5"/>
      <c r="AD162" s="5"/>
      <c r="AE162" s="5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5">
        <v>510003</v>
      </c>
      <c r="C163" s="7" t="s">
        <v>1688</v>
      </c>
      <c r="D163" s="10" t="s">
        <v>597</v>
      </c>
      <c r="E163" s="6">
        <v>2</v>
      </c>
      <c r="F163" s="6">
        <v>1</v>
      </c>
      <c r="G163" s="6">
        <v>2</v>
      </c>
      <c r="H163" s="6">
        <v>100</v>
      </c>
      <c r="I163" s="6">
        <v>19</v>
      </c>
      <c r="J163" s="6">
        <v>2</v>
      </c>
      <c r="K163" s="6">
        <v>200</v>
      </c>
      <c r="L163" s="6" t="b">
        <v>0</v>
      </c>
      <c r="M163" s="6">
        <v>0</v>
      </c>
      <c r="N163" s="6">
        <v>0</v>
      </c>
      <c r="O163" s="5">
        <v>1</v>
      </c>
      <c r="P163" s="5">
        <v>0</v>
      </c>
      <c r="Q163" s="5">
        <v>0</v>
      </c>
      <c r="R163" s="5" t="b">
        <v>1</v>
      </c>
      <c r="S163" s="6"/>
      <c r="T163" s="6"/>
      <c r="U163" s="6"/>
      <c r="V163" s="5"/>
      <c r="W163" s="5"/>
      <c r="X163" s="5"/>
      <c r="Y163" s="6"/>
      <c r="Z163" s="6"/>
      <c r="AA163" s="6"/>
      <c r="AB163" s="5"/>
      <c r="AC163" s="5"/>
      <c r="AD163" s="5"/>
      <c r="AE163" s="5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520001</v>
      </c>
      <c r="C164" s="7" t="s">
        <v>478</v>
      </c>
      <c r="D164" s="10" t="s">
        <v>598</v>
      </c>
      <c r="E164" s="7">
        <v>2</v>
      </c>
      <c r="F164" s="7">
        <v>1</v>
      </c>
      <c r="G164" s="7">
        <v>2</v>
      </c>
      <c r="H164" s="6">
        <v>100</v>
      </c>
      <c r="I164" s="7">
        <v>11</v>
      </c>
      <c r="J164" s="7">
        <v>2</v>
      </c>
      <c r="K164" s="7">
        <v>200</v>
      </c>
      <c r="L164" s="6" t="b">
        <v>0</v>
      </c>
      <c r="M164" s="6">
        <v>0</v>
      </c>
      <c r="N164" s="6">
        <v>0</v>
      </c>
      <c r="O164" s="7">
        <v>1</v>
      </c>
      <c r="P164" s="7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7"/>
      <c r="AD164" s="7"/>
      <c r="AE164" s="5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7"/>
      <c r="AT164" s="7"/>
      <c r="AU164" s="7"/>
      <c r="AV164" s="7"/>
      <c r="AW164" s="7"/>
      <c r="AX164" s="7"/>
      <c r="AY164" s="7"/>
      <c r="AZ164" s="7"/>
    </row>
    <row r="165" spans="1:52" ht="18.75" customHeight="1">
      <c r="A165" s="8"/>
      <c r="B165" s="7">
        <v>520002</v>
      </c>
      <c r="C165" s="7" t="s">
        <v>1619</v>
      </c>
      <c r="D165" s="10" t="s">
        <v>598</v>
      </c>
      <c r="E165" s="7">
        <v>2</v>
      </c>
      <c r="F165" s="7">
        <v>1</v>
      </c>
      <c r="G165" s="7">
        <v>2</v>
      </c>
      <c r="H165" s="6">
        <v>100</v>
      </c>
      <c r="I165" s="7">
        <v>11</v>
      </c>
      <c r="J165" s="7">
        <v>2</v>
      </c>
      <c r="K165" s="7">
        <v>200</v>
      </c>
      <c r="L165" s="6" t="b">
        <v>0</v>
      </c>
      <c r="M165" s="6">
        <v>0</v>
      </c>
      <c r="N165" s="6">
        <v>0</v>
      </c>
      <c r="O165" s="7">
        <v>1</v>
      </c>
      <c r="P165" s="7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7"/>
      <c r="AD165" s="7"/>
      <c r="AE165" s="5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7"/>
      <c r="AT165" s="7"/>
      <c r="AU165" s="7"/>
      <c r="AV165" s="7"/>
      <c r="AW165" s="7"/>
      <c r="AX165" s="7"/>
      <c r="AY165" s="7"/>
      <c r="AZ165" s="7"/>
    </row>
    <row r="166" spans="1:52" ht="36" customHeight="1">
      <c r="A166" s="8"/>
      <c r="B166" s="7">
        <v>520003</v>
      </c>
      <c r="C166" s="7" t="s">
        <v>1689</v>
      </c>
      <c r="D166" s="10" t="s">
        <v>598</v>
      </c>
      <c r="E166" s="7">
        <v>2</v>
      </c>
      <c r="F166" s="7">
        <v>1</v>
      </c>
      <c r="G166" s="7">
        <v>2</v>
      </c>
      <c r="H166" s="6">
        <v>100</v>
      </c>
      <c r="I166" s="7">
        <v>11</v>
      </c>
      <c r="J166" s="7">
        <v>2</v>
      </c>
      <c r="K166" s="7">
        <v>200</v>
      </c>
      <c r="L166" s="6" t="b">
        <v>0</v>
      </c>
      <c r="M166" s="6">
        <v>0</v>
      </c>
      <c r="N166" s="6">
        <v>0</v>
      </c>
      <c r="O166" s="7">
        <v>1</v>
      </c>
      <c r="P166" s="7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7"/>
      <c r="AD166" s="7"/>
      <c r="AE166" s="5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530001</v>
      </c>
      <c r="C167" s="7" t="s">
        <v>479</v>
      </c>
      <c r="D167" s="10" t="s">
        <v>599</v>
      </c>
      <c r="E167" s="7">
        <v>2</v>
      </c>
      <c r="F167" s="7">
        <v>1</v>
      </c>
      <c r="G167" s="7">
        <v>2</v>
      </c>
      <c r="H167" s="6">
        <v>100</v>
      </c>
      <c r="I167" s="7">
        <v>12</v>
      </c>
      <c r="J167" s="7">
        <v>2</v>
      </c>
      <c r="K167" s="7">
        <v>272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7"/>
      <c r="T167" s="7"/>
      <c r="U167" s="6"/>
      <c r="V167" s="7"/>
      <c r="W167" s="7"/>
      <c r="X167" s="7"/>
      <c r="Y167" s="6"/>
      <c r="Z167" s="6"/>
      <c r="AA167" s="6"/>
      <c r="AB167" s="7"/>
      <c r="AC167" s="7"/>
      <c r="AD167" s="7"/>
      <c r="AE167" s="5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530002</v>
      </c>
      <c r="C168" s="7" t="s">
        <v>1620</v>
      </c>
      <c r="D168" s="10" t="s">
        <v>599</v>
      </c>
      <c r="E168" s="7">
        <v>2</v>
      </c>
      <c r="F168" s="7">
        <v>1</v>
      </c>
      <c r="G168" s="7">
        <v>2</v>
      </c>
      <c r="H168" s="6">
        <v>100</v>
      </c>
      <c r="I168" s="7">
        <v>12</v>
      </c>
      <c r="J168" s="7">
        <v>2</v>
      </c>
      <c r="K168" s="7">
        <v>272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7"/>
      <c r="T168" s="7"/>
      <c r="U168" s="6"/>
      <c r="V168" s="7"/>
      <c r="W168" s="7"/>
      <c r="X168" s="7"/>
      <c r="Y168" s="6"/>
      <c r="Z168" s="6"/>
      <c r="AA168" s="6"/>
      <c r="AB168" s="7"/>
      <c r="AC168" s="7"/>
      <c r="AD168" s="7"/>
      <c r="AE168" s="5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7"/>
      <c r="AT168" s="7"/>
      <c r="AU168" s="7"/>
      <c r="AV168" s="7"/>
      <c r="AW168" s="7"/>
      <c r="AX168" s="7"/>
      <c r="AY168" s="7"/>
      <c r="AZ168" s="7"/>
    </row>
    <row r="169" spans="1:52" ht="18.75" customHeight="1">
      <c r="A169" s="8"/>
      <c r="B169" s="5">
        <v>530003</v>
      </c>
      <c r="C169" s="7" t="s">
        <v>1690</v>
      </c>
      <c r="D169" s="10" t="s">
        <v>599</v>
      </c>
      <c r="E169" s="7">
        <v>2</v>
      </c>
      <c r="F169" s="7">
        <v>1</v>
      </c>
      <c r="G169" s="7">
        <v>2</v>
      </c>
      <c r="H169" s="6">
        <v>100</v>
      </c>
      <c r="I169" s="7">
        <v>12</v>
      </c>
      <c r="J169" s="7">
        <v>2</v>
      </c>
      <c r="K169" s="7">
        <v>272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7"/>
      <c r="T169" s="7"/>
      <c r="U169" s="6"/>
      <c r="V169" s="7"/>
      <c r="W169" s="7"/>
      <c r="X169" s="7"/>
      <c r="Y169" s="6"/>
      <c r="Z169" s="6"/>
      <c r="AA169" s="6"/>
      <c r="AB169" s="7"/>
      <c r="AC169" s="7"/>
      <c r="AD169" s="7"/>
      <c r="AE169" s="5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7"/>
      <c r="AT169" s="7"/>
      <c r="AU169" s="7"/>
      <c r="AV169" s="7"/>
      <c r="AW169" s="7"/>
      <c r="AX169" s="7"/>
      <c r="AY169" s="7"/>
      <c r="AZ169" s="7"/>
    </row>
    <row r="170" spans="1:52" ht="18.75" customHeight="1">
      <c r="A170" s="8"/>
      <c r="B170" s="7">
        <v>540001</v>
      </c>
      <c r="C170" s="7" t="s">
        <v>480</v>
      </c>
      <c r="D170" s="10" t="s">
        <v>600</v>
      </c>
      <c r="E170" s="7">
        <v>2</v>
      </c>
      <c r="F170" s="7">
        <v>1</v>
      </c>
      <c r="G170" s="7">
        <v>2</v>
      </c>
      <c r="H170" s="6">
        <v>100</v>
      </c>
      <c r="I170" s="7">
        <v>3</v>
      </c>
      <c r="J170" s="7">
        <v>2</v>
      </c>
      <c r="K170" s="7">
        <v>95</v>
      </c>
      <c r="L170" s="6" t="b">
        <v>0</v>
      </c>
      <c r="M170" s="6">
        <v>0</v>
      </c>
      <c r="N170" s="6">
        <v>0</v>
      </c>
      <c r="O170" s="7">
        <v>1</v>
      </c>
      <c r="P170" s="7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7"/>
      <c r="AD170" s="7"/>
      <c r="AE170" s="5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7"/>
      <c r="AT170" s="7"/>
      <c r="AU170" s="7"/>
      <c r="AV170" s="7"/>
      <c r="AW170" s="7"/>
      <c r="AX170" s="7"/>
      <c r="AY170" s="7"/>
      <c r="AZ170" s="7"/>
    </row>
    <row r="171" spans="1:52" ht="18.75" customHeight="1">
      <c r="A171" s="8"/>
      <c r="B171" s="7">
        <v>540002</v>
      </c>
      <c r="C171" s="7" t="s">
        <v>1621</v>
      </c>
      <c r="D171" s="10" t="s">
        <v>600</v>
      </c>
      <c r="E171" s="7">
        <v>2</v>
      </c>
      <c r="F171" s="7">
        <v>1</v>
      </c>
      <c r="G171" s="7">
        <v>2</v>
      </c>
      <c r="H171" s="6">
        <v>100</v>
      </c>
      <c r="I171" s="7">
        <v>3</v>
      </c>
      <c r="J171" s="7">
        <v>2</v>
      </c>
      <c r="K171" s="7">
        <v>95</v>
      </c>
      <c r="L171" s="6" t="b">
        <v>0</v>
      </c>
      <c r="M171" s="6">
        <v>0</v>
      </c>
      <c r="N171" s="6">
        <v>0</v>
      </c>
      <c r="O171" s="7">
        <v>1</v>
      </c>
      <c r="P171" s="7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7"/>
      <c r="AD171" s="7"/>
      <c r="AE171" s="5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7"/>
      <c r="AT171" s="7"/>
      <c r="AU171" s="7"/>
      <c r="AV171" s="7"/>
      <c r="AW171" s="7"/>
      <c r="AX171" s="7"/>
      <c r="AY171" s="7"/>
      <c r="AZ171" s="7"/>
    </row>
    <row r="172" spans="1:52" ht="18.75" customHeight="1">
      <c r="A172" s="8"/>
      <c r="B172" s="7">
        <v>540003</v>
      </c>
      <c r="C172" s="7" t="s">
        <v>1691</v>
      </c>
      <c r="D172" s="10" t="s">
        <v>600</v>
      </c>
      <c r="E172" s="7">
        <v>2</v>
      </c>
      <c r="F172" s="7">
        <v>1</v>
      </c>
      <c r="G172" s="7">
        <v>2</v>
      </c>
      <c r="H172" s="6">
        <v>100</v>
      </c>
      <c r="I172" s="7">
        <v>3</v>
      </c>
      <c r="J172" s="7">
        <v>2</v>
      </c>
      <c r="K172" s="7">
        <v>95</v>
      </c>
      <c r="L172" s="6" t="b">
        <v>0</v>
      </c>
      <c r="M172" s="6">
        <v>0</v>
      </c>
      <c r="N172" s="6">
        <v>0</v>
      </c>
      <c r="O172" s="7">
        <v>1</v>
      </c>
      <c r="P172" s="7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7"/>
      <c r="AD172" s="7"/>
      <c r="AE172" s="5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7"/>
      <c r="AT172" s="7"/>
      <c r="AU172" s="7"/>
      <c r="AV172" s="7"/>
      <c r="AW172" s="7"/>
      <c r="AX172" s="7"/>
      <c r="AY172" s="7"/>
      <c r="AZ172" s="7"/>
    </row>
    <row r="173" spans="1:52" ht="18.75" customHeight="1">
      <c r="A173" s="8"/>
      <c r="B173" s="5">
        <v>550001</v>
      </c>
      <c r="C173" s="7" t="s">
        <v>481</v>
      </c>
      <c r="D173" s="10" t="s">
        <v>601</v>
      </c>
      <c r="E173" s="7">
        <v>2</v>
      </c>
      <c r="F173" s="7">
        <v>1</v>
      </c>
      <c r="G173" s="7">
        <v>2</v>
      </c>
      <c r="H173" s="6">
        <v>100</v>
      </c>
      <c r="I173" s="7">
        <v>12</v>
      </c>
      <c r="J173" s="7">
        <v>2</v>
      </c>
      <c r="K173" s="7">
        <v>182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7"/>
      <c r="AD173" s="7"/>
      <c r="AE173" s="5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7"/>
      <c r="AT173" s="7"/>
      <c r="AU173" s="7"/>
      <c r="AV173" s="7"/>
      <c r="AW173" s="7"/>
      <c r="AX173" s="7"/>
      <c r="AY173" s="7"/>
      <c r="AZ173" s="7"/>
    </row>
    <row r="174" spans="1:52" ht="18.75" customHeight="1">
      <c r="A174" s="8"/>
      <c r="B174" s="5">
        <v>550002</v>
      </c>
      <c r="C174" s="7" t="s">
        <v>1622</v>
      </c>
      <c r="D174" s="10" t="s">
        <v>601</v>
      </c>
      <c r="E174" s="7">
        <v>2</v>
      </c>
      <c r="F174" s="7">
        <v>1</v>
      </c>
      <c r="G174" s="7">
        <v>2</v>
      </c>
      <c r="H174" s="6">
        <v>100</v>
      </c>
      <c r="I174" s="7">
        <v>12</v>
      </c>
      <c r="J174" s="7">
        <v>2</v>
      </c>
      <c r="K174" s="7">
        <v>182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7"/>
      <c r="AD174" s="7"/>
      <c r="AE174" s="5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7"/>
      <c r="AT174" s="7"/>
      <c r="AU174" s="7"/>
      <c r="AV174" s="7"/>
      <c r="AW174" s="7"/>
      <c r="AX174" s="7"/>
      <c r="AY174" s="7"/>
      <c r="AZ174" s="7"/>
    </row>
    <row r="175" spans="1:52" ht="18.75" customHeight="1">
      <c r="A175" s="8"/>
      <c r="B175" s="5">
        <v>550003</v>
      </c>
      <c r="C175" s="7" t="s">
        <v>1692</v>
      </c>
      <c r="D175" s="10" t="s">
        <v>601</v>
      </c>
      <c r="E175" s="7">
        <v>2</v>
      </c>
      <c r="F175" s="7">
        <v>1</v>
      </c>
      <c r="G175" s="7">
        <v>2</v>
      </c>
      <c r="H175" s="6">
        <v>100</v>
      </c>
      <c r="I175" s="7">
        <v>12</v>
      </c>
      <c r="J175" s="7">
        <v>2</v>
      </c>
      <c r="K175" s="7">
        <v>182</v>
      </c>
      <c r="L175" s="6" t="b">
        <v>0</v>
      </c>
      <c r="M175" s="6">
        <v>0</v>
      </c>
      <c r="N175" s="6">
        <v>0</v>
      </c>
      <c r="O175" s="7">
        <v>1</v>
      </c>
      <c r="P175" s="5">
        <v>0</v>
      </c>
      <c r="Q175" s="7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7"/>
      <c r="AD175" s="7"/>
      <c r="AE175" s="5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560001</v>
      </c>
      <c r="C176" s="7" t="s">
        <v>482</v>
      </c>
      <c r="D176" s="10" t="s">
        <v>602</v>
      </c>
      <c r="E176" s="6">
        <v>2</v>
      </c>
      <c r="F176" s="6">
        <v>1</v>
      </c>
      <c r="G176" s="6">
        <v>2</v>
      </c>
      <c r="H176" s="6">
        <v>100</v>
      </c>
      <c r="I176" s="6">
        <v>19</v>
      </c>
      <c r="J176" s="6">
        <v>2</v>
      </c>
      <c r="K176" s="6">
        <v>200</v>
      </c>
      <c r="L176" s="6" t="b">
        <v>0</v>
      </c>
      <c r="M176" s="6">
        <v>0</v>
      </c>
      <c r="N176" s="6">
        <v>0</v>
      </c>
      <c r="O176" s="5">
        <v>1</v>
      </c>
      <c r="P176" s="7">
        <v>0</v>
      </c>
      <c r="Q176" s="5">
        <v>0</v>
      </c>
      <c r="R176" s="5" t="b">
        <v>1</v>
      </c>
      <c r="S176" s="6"/>
      <c r="T176" s="6"/>
      <c r="U176" s="6"/>
      <c r="V176" s="5"/>
      <c r="W176" s="5"/>
      <c r="X176" s="5"/>
      <c r="Y176" s="6"/>
      <c r="Z176" s="6"/>
      <c r="AA176" s="6"/>
      <c r="AB176" s="5"/>
      <c r="AC176" s="5"/>
      <c r="AD176" s="5"/>
      <c r="AE176" s="5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560002</v>
      </c>
      <c r="C177" s="7" t="s">
        <v>1623</v>
      </c>
      <c r="D177" s="10" t="s">
        <v>602</v>
      </c>
      <c r="E177" s="6">
        <v>2</v>
      </c>
      <c r="F177" s="6">
        <v>1</v>
      </c>
      <c r="G177" s="6">
        <v>2</v>
      </c>
      <c r="H177" s="6">
        <v>100</v>
      </c>
      <c r="I177" s="6">
        <v>19</v>
      </c>
      <c r="J177" s="6">
        <v>2</v>
      </c>
      <c r="K177" s="6">
        <v>200</v>
      </c>
      <c r="L177" s="6" t="b">
        <v>0</v>
      </c>
      <c r="M177" s="6">
        <v>0</v>
      </c>
      <c r="N177" s="6">
        <v>0</v>
      </c>
      <c r="O177" s="5">
        <v>1</v>
      </c>
      <c r="P177" s="7">
        <v>0</v>
      </c>
      <c r="Q177" s="5">
        <v>0</v>
      </c>
      <c r="R177" s="5" t="b">
        <v>1</v>
      </c>
      <c r="S177" s="6"/>
      <c r="T177" s="6"/>
      <c r="U177" s="6"/>
      <c r="V177" s="5"/>
      <c r="W177" s="5"/>
      <c r="X177" s="5"/>
      <c r="Y177" s="6"/>
      <c r="Z177" s="6"/>
      <c r="AA177" s="6"/>
      <c r="AB177" s="5"/>
      <c r="AC177" s="5"/>
      <c r="AD177" s="5"/>
      <c r="AE177" s="5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7"/>
      <c r="AT177" s="7"/>
      <c r="AU177" s="7"/>
      <c r="AV177" s="7"/>
      <c r="AW177" s="7"/>
      <c r="AX177" s="7"/>
      <c r="AY177" s="7"/>
      <c r="AZ177" s="7"/>
    </row>
    <row r="178" spans="1:52" ht="18.75" customHeight="1">
      <c r="A178" s="8"/>
      <c r="B178" s="7">
        <v>560003</v>
      </c>
      <c r="C178" s="7" t="s">
        <v>1693</v>
      </c>
      <c r="D178" s="10" t="s">
        <v>602</v>
      </c>
      <c r="E178" s="6">
        <v>2</v>
      </c>
      <c r="F178" s="6">
        <v>1</v>
      </c>
      <c r="G178" s="6">
        <v>2</v>
      </c>
      <c r="H178" s="6">
        <v>100</v>
      </c>
      <c r="I178" s="6">
        <v>19</v>
      </c>
      <c r="J178" s="6">
        <v>2</v>
      </c>
      <c r="K178" s="6">
        <v>200</v>
      </c>
      <c r="L178" s="6" t="b">
        <v>0</v>
      </c>
      <c r="M178" s="6">
        <v>0</v>
      </c>
      <c r="N178" s="6">
        <v>0</v>
      </c>
      <c r="O178" s="5">
        <v>1</v>
      </c>
      <c r="P178" s="7">
        <v>0</v>
      </c>
      <c r="Q178" s="5">
        <v>0</v>
      </c>
      <c r="R178" s="5" t="b">
        <v>1</v>
      </c>
      <c r="S178" s="6"/>
      <c r="T178" s="6"/>
      <c r="U178" s="6"/>
      <c r="V178" s="5"/>
      <c r="W178" s="5"/>
      <c r="X178" s="5"/>
      <c r="Y178" s="6"/>
      <c r="Z178" s="6"/>
      <c r="AA178" s="6"/>
      <c r="AB178" s="5"/>
      <c r="AC178" s="5"/>
      <c r="AD178" s="5"/>
      <c r="AE178" s="5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7"/>
      <c r="AT178" s="7"/>
      <c r="AU178" s="7"/>
      <c r="AV178" s="7"/>
      <c r="AW178" s="7"/>
      <c r="AX178" s="7"/>
      <c r="AY178" s="7"/>
      <c r="AZ178" s="7"/>
    </row>
    <row r="179" spans="1:52" ht="18.75" customHeight="1">
      <c r="A179" s="8"/>
      <c r="B179" s="5">
        <v>570001</v>
      </c>
      <c r="C179" s="7" t="s">
        <v>483</v>
      </c>
      <c r="D179" s="10" t="s">
        <v>603</v>
      </c>
      <c r="E179" s="7">
        <v>2</v>
      </c>
      <c r="F179" s="7">
        <v>1</v>
      </c>
      <c r="G179" s="7">
        <v>2</v>
      </c>
      <c r="H179" s="6">
        <v>100</v>
      </c>
      <c r="I179" s="7">
        <v>11</v>
      </c>
      <c r="J179" s="7">
        <v>2</v>
      </c>
      <c r="K179" s="7">
        <v>200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7"/>
      <c r="T179" s="7"/>
      <c r="U179" s="6"/>
      <c r="V179" s="7"/>
      <c r="W179" s="7"/>
      <c r="X179" s="7"/>
      <c r="Y179" s="6"/>
      <c r="Z179" s="6"/>
      <c r="AA179" s="6"/>
      <c r="AB179" s="7"/>
      <c r="AC179" s="7"/>
      <c r="AD179" s="7"/>
      <c r="AE179" s="5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7"/>
      <c r="AT179" s="7"/>
      <c r="AU179" s="7"/>
      <c r="AV179" s="7"/>
      <c r="AW179" s="7"/>
      <c r="AX179" s="7"/>
      <c r="AY179" s="7"/>
      <c r="AZ179" s="7"/>
    </row>
    <row r="180" spans="1:52" ht="18.75" customHeight="1">
      <c r="A180" s="8"/>
      <c r="B180" s="5">
        <v>570002</v>
      </c>
      <c r="C180" s="7" t="s">
        <v>1624</v>
      </c>
      <c r="D180" s="10" t="s">
        <v>603</v>
      </c>
      <c r="E180" s="7">
        <v>2</v>
      </c>
      <c r="F180" s="7">
        <v>1</v>
      </c>
      <c r="G180" s="7">
        <v>2</v>
      </c>
      <c r="H180" s="6">
        <v>100</v>
      </c>
      <c r="I180" s="7">
        <v>11</v>
      </c>
      <c r="J180" s="7">
        <v>2</v>
      </c>
      <c r="K180" s="7">
        <v>200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7"/>
      <c r="T180" s="7"/>
      <c r="U180" s="6"/>
      <c r="V180" s="7"/>
      <c r="W180" s="7"/>
      <c r="X180" s="7"/>
      <c r="Y180" s="6"/>
      <c r="Z180" s="6"/>
      <c r="AA180" s="6"/>
      <c r="AB180" s="7"/>
      <c r="AC180" s="7"/>
      <c r="AD180" s="7"/>
      <c r="AE180" s="5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7"/>
      <c r="AT180" s="7"/>
      <c r="AU180" s="7"/>
      <c r="AV180" s="7"/>
      <c r="AW180" s="7"/>
      <c r="AX180" s="7"/>
      <c r="AY180" s="7"/>
      <c r="AZ180" s="7"/>
    </row>
    <row r="181" spans="1:52" ht="37.5" customHeight="1">
      <c r="A181" s="8"/>
      <c r="B181" s="5">
        <v>570003</v>
      </c>
      <c r="C181" s="7" t="s">
        <v>1694</v>
      </c>
      <c r="D181" s="10" t="s">
        <v>603</v>
      </c>
      <c r="E181" s="7">
        <v>2</v>
      </c>
      <c r="F181" s="7">
        <v>1</v>
      </c>
      <c r="G181" s="7">
        <v>2</v>
      </c>
      <c r="H181" s="6">
        <v>100</v>
      </c>
      <c r="I181" s="7">
        <v>11</v>
      </c>
      <c r="J181" s="7">
        <v>2</v>
      </c>
      <c r="K181" s="7">
        <v>200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7"/>
      <c r="T181" s="7"/>
      <c r="U181" s="6"/>
      <c r="V181" s="7"/>
      <c r="W181" s="7"/>
      <c r="X181" s="7"/>
      <c r="Y181" s="6"/>
      <c r="Z181" s="6"/>
      <c r="AA181" s="6"/>
      <c r="AB181" s="7"/>
      <c r="AC181" s="7"/>
      <c r="AD181" s="7"/>
      <c r="AE181" s="5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7"/>
      <c r="AT181" s="7"/>
      <c r="AU181" s="7"/>
      <c r="AV181" s="7"/>
      <c r="AW181" s="7"/>
      <c r="AX181" s="7"/>
      <c r="AY181" s="7"/>
      <c r="AZ181" s="7"/>
    </row>
    <row r="182" spans="1:52" ht="18.75" customHeight="1">
      <c r="A182" s="8"/>
      <c r="B182" s="7">
        <v>580001</v>
      </c>
      <c r="C182" s="7" t="s">
        <v>484</v>
      </c>
      <c r="D182" s="10" t="s">
        <v>604</v>
      </c>
      <c r="E182" s="7">
        <v>2</v>
      </c>
      <c r="F182" s="7">
        <v>1</v>
      </c>
      <c r="G182" s="7">
        <v>2</v>
      </c>
      <c r="H182" s="6">
        <v>100</v>
      </c>
      <c r="I182" s="7">
        <v>12</v>
      </c>
      <c r="J182" s="7">
        <v>2</v>
      </c>
      <c r="K182" s="7">
        <v>272</v>
      </c>
      <c r="L182" s="6" t="b">
        <v>0</v>
      </c>
      <c r="M182" s="6">
        <v>0</v>
      </c>
      <c r="N182" s="6">
        <v>0</v>
      </c>
      <c r="O182" s="7">
        <v>1</v>
      </c>
      <c r="P182" s="7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7"/>
      <c r="AD182" s="7"/>
      <c r="AE182" s="5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7"/>
      <c r="AT182" s="7"/>
      <c r="AU182" s="7"/>
      <c r="AV182" s="7"/>
      <c r="AW182" s="7"/>
      <c r="AX182" s="7"/>
      <c r="AY182" s="7"/>
      <c r="AZ182" s="7"/>
    </row>
    <row r="183" spans="1:52" ht="18.75" customHeight="1">
      <c r="A183" s="8"/>
      <c r="B183" s="7">
        <v>580002</v>
      </c>
      <c r="C183" s="7" t="s">
        <v>1625</v>
      </c>
      <c r="D183" s="10" t="s">
        <v>604</v>
      </c>
      <c r="E183" s="7">
        <v>2</v>
      </c>
      <c r="F183" s="7">
        <v>1</v>
      </c>
      <c r="G183" s="7">
        <v>2</v>
      </c>
      <c r="H183" s="6">
        <v>100</v>
      </c>
      <c r="I183" s="7">
        <v>12</v>
      </c>
      <c r="J183" s="7">
        <v>2</v>
      </c>
      <c r="K183" s="7">
        <v>272</v>
      </c>
      <c r="L183" s="6" t="b">
        <v>0</v>
      </c>
      <c r="M183" s="6">
        <v>0</v>
      </c>
      <c r="N183" s="6">
        <v>0</v>
      </c>
      <c r="O183" s="7">
        <v>1</v>
      </c>
      <c r="P183" s="7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7"/>
      <c r="AD183" s="7"/>
      <c r="AE183" s="5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7"/>
      <c r="AT183" s="7"/>
      <c r="AU183" s="7"/>
      <c r="AV183" s="7"/>
      <c r="AW183" s="7"/>
      <c r="AX183" s="7"/>
      <c r="AY183" s="7"/>
      <c r="AZ183" s="7"/>
    </row>
    <row r="184" spans="1:52" ht="39" customHeight="1">
      <c r="A184" s="8"/>
      <c r="B184" s="7">
        <v>580003</v>
      </c>
      <c r="C184" s="7" t="s">
        <v>1695</v>
      </c>
      <c r="D184" s="10" t="s">
        <v>604</v>
      </c>
      <c r="E184" s="7">
        <v>2</v>
      </c>
      <c r="F184" s="7">
        <v>1</v>
      </c>
      <c r="G184" s="7">
        <v>2</v>
      </c>
      <c r="H184" s="6">
        <v>100</v>
      </c>
      <c r="I184" s="7">
        <v>12</v>
      </c>
      <c r="J184" s="7">
        <v>2</v>
      </c>
      <c r="K184" s="7">
        <v>272</v>
      </c>
      <c r="L184" s="6" t="b">
        <v>0</v>
      </c>
      <c r="M184" s="6">
        <v>0</v>
      </c>
      <c r="N184" s="6">
        <v>0</v>
      </c>
      <c r="O184" s="7">
        <v>1</v>
      </c>
      <c r="P184" s="7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7"/>
      <c r="AD184" s="7"/>
      <c r="AE184" s="5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7"/>
      <c r="AT184" s="7"/>
      <c r="AU184" s="7"/>
      <c r="AV184" s="7"/>
      <c r="AW184" s="7"/>
      <c r="AX184" s="7"/>
      <c r="AY184" s="7"/>
      <c r="AZ184" s="7"/>
    </row>
    <row r="185" spans="1:52" ht="18.75" customHeight="1">
      <c r="A185" s="8"/>
      <c r="B185" s="5">
        <v>590001</v>
      </c>
      <c r="C185" s="7" t="s">
        <v>485</v>
      </c>
      <c r="D185" s="10" t="s">
        <v>605</v>
      </c>
      <c r="E185" s="7">
        <v>2</v>
      </c>
      <c r="F185" s="7">
        <v>1</v>
      </c>
      <c r="G185" s="7">
        <v>2</v>
      </c>
      <c r="H185" s="6">
        <v>100</v>
      </c>
      <c r="I185" s="7">
        <v>3</v>
      </c>
      <c r="J185" s="7">
        <v>2</v>
      </c>
      <c r="K185" s="7">
        <v>95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7"/>
      <c r="AD185" s="7"/>
      <c r="AE185" s="5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7"/>
      <c r="AT185" s="7"/>
      <c r="AU185" s="7"/>
      <c r="AV185" s="7"/>
      <c r="AW185" s="7"/>
      <c r="AX185" s="7"/>
      <c r="AY185" s="7"/>
      <c r="AZ185" s="7"/>
    </row>
    <row r="186" spans="1:52" ht="35.25" customHeight="1">
      <c r="A186" s="8"/>
      <c r="B186" s="5">
        <v>590002</v>
      </c>
      <c r="C186" s="7" t="s">
        <v>1626</v>
      </c>
      <c r="D186" s="10" t="s">
        <v>605</v>
      </c>
      <c r="E186" s="7">
        <v>2</v>
      </c>
      <c r="F186" s="7">
        <v>1</v>
      </c>
      <c r="G186" s="7">
        <v>2</v>
      </c>
      <c r="H186" s="6">
        <v>100</v>
      </c>
      <c r="I186" s="7">
        <v>3</v>
      </c>
      <c r="J186" s="7">
        <v>2</v>
      </c>
      <c r="K186" s="7">
        <v>95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7"/>
      <c r="AD186" s="7"/>
      <c r="AE186" s="5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7"/>
      <c r="AT186" s="7"/>
      <c r="AU186" s="7"/>
      <c r="AV186" s="7"/>
      <c r="AW186" s="7"/>
      <c r="AX186" s="7"/>
      <c r="AY186" s="7"/>
      <c r="AZ186" s="7"/>
    </row>
    <row r="187" spans="1:52" ht="35.25" customHeight="1">
      <c r="A187" s="8"/>
      <c r="B187" s="5">
        <v>590003</v>
      </c>
      <c r="C187" s="7" t="s">
        <v>1696</v>
      </c>
      <c r="D187" s="10" t="s">
        <v>605</v>
      </c>
      <c r="E187" s="7">
        <v>2</v>
      </c>
      <c r="F187" s="7">
        <v>1</v>
      </c>
      <c r="G187" s="7">
        <v>2</v>
      </c>
      <c r="H187" s="6">
        <v>100</v>
      </c>
      <c r="I187" s="7">
        <v>3</v>
      </c>
      <c r="J187" s="7">
        <v>2</v>
      </c>
      <c r="K187" s="7">
        <v>95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7"/>
      <c r="AD187" s="7"/>
      <c r="AE187" s="5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600001</v>
      </c>
      <c r="C188" s="7" t="s">
        <v>486</v>
      </c>
      <c r="D188" s="10" t="s">
        <v>606</v>
      </c>
      <c r="E188" s="7">
        <v>2</v>
      </c>
      <c r="F188" s="7">
        <v>1</v>
      </c>
      <c r="G188" s="7">
        <v>2</v>
      </c>
      <c r="H188" s="6">
        <v>100</v>
      </c>
      <c r="I188" s="7">
        <v>12</v>
      </c>
      <c r="J188" s="7">
        <v>2</v>
      </c>
      <c r="K188" s="7">
        <v>182</v>
      </c>
      <c r="L188" s="6" t="b">
        <v>0</v>
      </c>
      <c r="M188" s="6">
        <v>0</v>
      </c>
      <c r="N188" s="6">
        <v>0</v>
      </c>
      <c r="O188" s="7">
        <v>1</v>
      </c>
      <c r="P188" s="7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7"/>
      <c r="AD188" s="7"/>
      <c r="AE188" s="5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600002</v>
      </c>
      <c r="C189" s="7" t="s">
        <v>1627</v>
      </c>
      <c r="D189" s="10" t="s">
        <v>606</v>
      </c>
      <c r="E189" s="7">
        <v>2</v>
      </c>
      <c r="F189" s="7">
        <v>1</v>
      </c>
      <c r="G189" s="7">
        <v>2</v>
      </c>
      <c r="H189" s="6">
        <v>100</v>
      </c>
      <c r="I189" s="7">
        <v>12</v>
      </c>
      <c r="J189" s="7">
        <v>2</v>
      </c>
      <c r="K189" s="7">
        <v>182</v>
      </c>
      <c r="L189" s="6" t="b">
        <v>0</v>
      </c>
      <c r="M189" s="6">
        <v>0</v>
      </c>
      <c r="N189" s="6">
        <v>0</v>
      </c>
      <c r="O189" s="7">
        <v>1</v>
      </c>
      <c r="P189" s="7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7"/>
      <c r="AD189" s="7"/>
      <c r="AE189" s="5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A190" s="8"/>
      <c r="B190" s="7">
        <v>600003</v>
      </c>
      <c r="C190" s="7" t="s">
        <v>1697</v>
      </c>
      <c r="D190" s="10" t="s">
        <v>606</v>
      </c>
      <c r="E190" s="7">
        <v>2</v>
      </c>
      <c r="F190" s="7">
        <v>1</v>
      </c>
      <c r="G190" s="7">
        <v>2</v>
      </c>
      <c r="H190" s="6">
        <v>100</v>
      </c>
      <c r="I190" s="7">
        <v>12</v>
      </c>
      <c r="J190" s="7">
        <v>2</v>
      </c>
      <c r="K190" s="7">
        <v>182</v>
      </c>
      <c r="L190" s="6" t="b">
        <v>0</v>
      </c>
      <c r="M190" s="6">
        <v>0</v>
      </c>
      <c r="N190" s="6">
        <v>0</v>
      </c>
      <c r="O190" s="7">
        <v>1</v>
      </c>
      <c r="P190" s="7">
        <v>0</v>
      </c>
      <c r="Q190" s="7">
        <v>0</v>
      </c>
      <c r="R190" s="5" t="b">
        <v>1</v>
      </c>
      <c r="S190" s="7"/>
      <c r="T190" s="7"/>
      <c r="U190" s="6"/>
      <c r="V190" s="7"/>
      <c r="W190" s="7"/>
      <c r="X190" s="7"/>
      <c r="Y190" s="6"/>
      <c r="Z190" s="6"/>
      <c r="AA190" s="6"/>
      <c r="AB190" s="7"/>
      <c r="AC190" s="7"/>
      <c r="AD190" s="7"/>
      <c r="AE190" s="5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7"/>
      <c r="AT190" s="7"/>
      <c r="AU190" s="7"/>
      <c r="AV190" s="7"/>
      <c r="AW190" s="7"/>
      <c r="AX190" s="7"/>
      <c r="AY190" s="7"/>
      <c r="AZ190" s="7"/>
    </row>
    <row r="191" spans="1:52" ht="18.75" customHeight="1">
      <c r="B191" s="5">
        <v>610001</v>
      </c>
      <c r="C191" s="7" t="s">
        <v>487</v>
      </c>
      <c r="D191" s="10" t="s">
        <v>607</v>
      </c>
      <c r="E191" s="6">
        <v>2</v>
      </c>
      <c r="F191" s="6">
        <v>1</v>
      </c>
      <c r="G191" s="6">
        <v>2</v>
      </c>
      <c r="H191" s="6">
        <v>100</v>
      </c>
      <c r="I191" s="6">
        <v>19</v>
      </c>
      <c r="J191" s="6">
        <v>2</v>
      </c>
      <c r="K191" s="6">
        <v>200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610002</v>
      </c>
      <c r="C192" s="7" t="s">
        <v>1628</v>
      </c>
      <c r="D192" s="10" t="s">
        <v>607</v>
      </c>
      <c r="E192" s="6">
        <v>2</v>
      </c>
      <c r="F192" s="6">
        <v>1</v>
      </c>
      <c r="G192" s="6">
        <v>2</v>
      </c>
      <c r="H192" s="6">
        <v>100</v>
      </c>
      <c r="I192" s="6">
        <v>19</v>
      </c>
      <c r="J192" s="6">
        <v>2</v>
      </c>
      <c r="K192" s="6">
        <v>200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5">
        <v>610003</v>
      </c>
      <c r="C193" s="7" t="s">
        <v>1698</v>
      </c>
      <c r="D193" s="10" t="s">
        <v>607</v>
      </c>
      <c r="E193" s="6">
        <v>2</v>
      </c>
      <c r="F193" s="6">
        <v>1</v>
      </c>
      <c r="G193" s="6">
        <v>2</v>
      </c>
      <c r="H193" s="6">
        <v>100</v>
      </c>
      <c r="I193" s="6">
        <v>19</v>
      </c>
      <c r="J193" s="6">
        <v>2</v>
      </c>
      <c r="K193" s="6">
        <v>200</v>
      </c>
      <c r="L193" s="6" t="b">
        <v>0</v>
      </c>
      <c r="M193" s="6">
        <v>0</v>
      </c>
      <c r="N193" s="6">
        <v>0</v>
      </c>
      <c r="O193" s="5">
        <v>1</v>
      </c>
      <c r="P193" s="5">
        <v>0</v>
      </c>
      <c r="Q193" s="5">
        <v>0</v>
      </c>
      <c r="R193" s="5" t="b">
        <v>1</v>
      </c>
      <c r="S193" s="6"/>
      <c r="T193" s="6"/>
      <c r="U193" s="6"/>
      <c r="V193" s="5"/>
      <c r="W193" s="5"/>
      <c r="X193" s="5"/>
      <c r="Y193" s="6"/>
      <c r="Z193" s="6"/>
      <c r="AA193" s="6"/>
      <c r="AB193" s="5"/>
      <c r="AC193" s="5"/>
      <c r="AD193" s="5"/>
      <c r="AE193" s="5"/>
    </row>
    <row r="194" spans="2:31" ht="18.75" customHeight="1">
      <c r="B194" s="7">
        <v>620001</v>
      </c>
      <c r="C194" s="7" t="s">
        <v>488</v>
      </c>
      <c r="D194" s="10" t="s">
        <v>608</v>
      </c>
      <c r="E194" s="7">
        <v>2</v>
      </c>
      <c r="F194" s="7">
        <v>1</v>
      </c>
      <c r="G194" s="7">
        <v>2</v>
      </c>
      <c r="H194" s="6">
        <v>100</v>
      </c>
      <c r="I194" s="7">
        <v>11</v>
      </c>
      <c r="J194" s="7">
        <v>2</v>
      </c>
      <c r="K194" s="7">
        <v>200</v>
      </c>
      <c r="L194" s="6" t="b">
        <v>0</v>
      </c>
      <c r="M194" s="6">
        <v>0</v>
      </c>
      <c r="N194" s="6">
        <v>0</v>
      </c>
      <c r="O194" s="7">
        <v>1</v>
      </c>
      <c r="P194" s="7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7"/>
      <c r="AD194" s="7"/>
      <c r="AE194" s="5"/>
    </row>
    <row r="195" spans="2:31" ht="18.75" customHeight="1">
      <c r="B195" s="7">
        <v>620002</v>
      </c>
      <c r="C195" s="7" t="s">
        <v>1629</v>
      </c>
      <c r="D195" s="10" t="s">
        <v>608</v>
      </c>
      <c r="E195" s="7">
        <v>2</v>
      </c>
      <c r="F195" s="7">
        <v>1</v>
      </c>
      <c r="G195" s="7">
        <v>2</v>
      </c>
      <c r="H195" s="6">
        <v>100</v>
      </c>
      <c r="I195" s="7">
        <v>11</v>
      </c>
      <c r="J195" s="7">
        <v>2</v>
      </c>
      <c r="K195" s="7">
        <v>200</v>
      </c>
      <c r="L195" s="6" t="b">
        <v>0</v>
      </c>
      <c r="M195" s="6">
        <v>0</v>
      </c>
      <c r="N195" s="6">
        <v>0</v>
      </c>
      <c r="O195" s="7">
        <v>1</v>
      </c>
      <c r="P195" s="7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7"/>
      <c r="AD195" s="7"/>
      <c r="AE195" s="5"/>
    </row>
    <row r="196" spans="2:31" ht="18.75" customHeight="1">
      <c r="B196" s="7">
        <v>620003</v>
      </c>
      <c r="C196" s="7" t="s">
        <v>1699</v>
      </c>
      <c r="D196" s="10" t="s">
        <v>608</v>
      </c>
      <c r="E196" s="7">
        <v>2</v>
      </c>
      <c r="F196" s="7">
        <v>1</v>
      </c>
      <c r="G196" s="7">
        <v>2</v>
      </c>
      <c r="H196" s="6">
        <v>100</v>
      </c>
      <c r="I196" s="7">
        <v>11</v>
      </c>
      <c r="J196" s="7">
        <v>2</v>
      </c>
      <c r="K196" s="7">
        <v>200</v>
      </c>
      <c r="L196" s="6" t="b">
        <v>0</v>
      </c>
      <c r="M196" s="6">
        <v>0</v>
      </c>
      <c r="N196" s="6">
        <v>0</v>
      </c>
      <c r="O196" s="7">
        <v>1</v>
      </c>
      <c r="P196" s="7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7"/>
      <c r="AD196" s="7"/>
      <c r="AE196" s="5"/>
    </row>
    <row r="197" spans="2:31" ht="18.75" customHeight="1">
      <c r="B197" s="5">
        <v>630001</v>
      </c>
      <c r="C197" s="7" t="s">
        <v>489</v>
      </c>
      <c r="D197" s="10" t="s">
        <v>609</v>
      </c>
      <c r="E197" s="7">
        <v>2</v>
      </c>
      <c r="F197" s="7">
        <v>1</v>
      </c>
      <c r="G197" s="7">
        <v>2</v>
      </c>
      <c r="H197" s="6">
        <v>100</v>
      </c>
      <c r="I197" s="7">
        <v>12</v>
      </c>
      <c r="J197" s="7">
        <v>2</v>
      </c>
      <c r="K197" s="7">
        <v>272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7"/>
      <c r="AD197" s="7"/>
      <c r="AE197" s="5"/>
    </row>
    <row r="198" spans="2:31" ht="18.75" customHeight="1">
      <c r="B198" s="5">
        <v>630002</v>
      </c>
      <c r="C198" s="7" t="s">
        <v>1630</v>
      </c>
      <c r="D198" s="10" t="s">
        <v>609</v>
      </c>
      <c r="E198" s="7">
        <v>2</v>
      </c>
      <c r="F198" s="7">
        <v>1</v>
      </c>
      <c r="G198" s="7">
        <v>2</v>
      </c>
      <c r="H198" s="6">
        <v>100</v>
      </c>
      <c r="I198" s="7">
        <v>12</v>
      </c>
      <c r="J198" s="7">
        <v>2</v>
      </c>
      <c r="K198" s="7">
        <v>272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7"/>
      <c r="AD198" s="7"/>
      <c r="AE198" s="5"/>
    </row>
    <row r="199" spans="2:31" ht="18.75" customHeight="1">
      <c r="B199" s="5">
        <v>630003</v>
      </c>
      <c r="C199" s="7" t="s">
        <v>1700</v>
      </c>
      <c r="D199" s="10" t="s">
        <v>609</v>
      </c>
      <c r="E199" s="7">
        <v>2</v>
      </c>
      <c r="F199" s="7">
        <v>1</v>
      </c>
      <c r="G199" s="7">
        <v>2</v>
      </c>
      <c r="H199" s="6">
        <v>100</v>
      </c>
      <c r="I199" s="7">
        <v>12</v>
      </c>
      <c r="J199" s="7">
        <v>2</v>
      </c>
      <c r="K199" s="7">
        <v>272</v>
      </c>
      <c r="L199" s="6" t="b">
        <v>0</v>
      </c>
      <c r="M199" s="6">
        <v>0</v>
      </c>
      <c r="N199" s="6">
        <v>0</v>
      </c>
      <c r="O199" s="7">
        <v>1</v>
      </c>
      <c r="P199" s="5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7"/>
      <c r="AD199" s="7"/>
      <c r="AE199" s="5"/>
    </row>
    <row r="200" spans="2:31" ht="18.75" customHeight="1">
      <c r="B200" s="7">
        <v>640001</v>
      </c>
      <c r="C200" s="7" t="s">
        <v>490</v>
      </c>
      <c r="D200" s="10" t="s">
        <v>610</v>
      </c>
      <c r="E200" s="7">
        <v>2</v>
      </c>
      <c r="F200" s="7">
        <v>1</v>
      </c>
      <c r="G200" s="7">
        <v>2</v>
      </c>
      <c r="H200" s="6">
        <v>100</v>
      </c>
      <c r="I200" s="7">
        <v>3</v>
      </c>
      <c r="J200" s="7">
        <v>2</v>
      </c>
      <c r="K200" s="7">
        <v>95</v>
      </c>
      <c r="L200" s="6" t="b">
        <v>0</v>
      </c>
      <c r="M200" s="6">
        <v>0</v>
      </c>
      <c r="N200" s="6">
        <v>0</v>
      </c>
      <c r="O200" s="7">
        <v>1</v>
      </c>
      <c r="P200" s="7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7"/>
      <c r="AD200" s="7"/>
      <c r="AE200" s="5"/>
    </row>
    <row r="201" spans="2:31" ht="18.75" customHeight="1">
      <c r="B201" s="7">
        <v>640002</v>
      </c>
      <c r="C201" s="7" t="s">
        <v>1631</v>
      </c>
      <c r="D201" s="10" t="s">
        <v>610</v>
      </c>
      <c r="E201" s="7">
        <v>2</v>
      </c>
      <c r="F201" s="7">
        <v>1</v>
      </c>
      <c r="G201" s="7">
        <v>2</v>
      </c>
      <c r="H201" s="6">
        <v>100</v>
      </c>
      <c r="I201" s="7">
        <v>3</v>
      </c>
      <c r="J201" s="7">
        <v>2</v>
      </c>
      <c r="K201" s="7">
        <v>95</v>
      </c>
      <c r="L201" s="6" t="b">
        <v>0</v>
      </c>
      <c r="M201" s="6">
        <v>0</v>
      </c>
      <c r="N201" s="6">
        <v>0</v>
      </c>
      <c r="O201" s="7">
        <v>1</v>
      </c>
      <c r="P201" s="7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7"/>
      <c r="AD201" s="7"/>
      <c r="AE201" s="5"/>
    </row>
    <row r="202" spans="2:31" ht="18.75" customHeight="1">
      <c r="B202" s="7">
        <v>640003</v>
      </c>
      <c r="C202" s="7" t="s">
        <v>1701</v>
      </c>
      <c r="D202" s="10" t="s">
        <v>610</v>
      </c>
      <c r="E202" s="7">
        <v>2</v>
      </c>
      <c r="F202" s="7">
        <v>1</v>
      </c>
      <c r="G202" s="7">
        <v>2</v>
      </c>
      <c r="H202" s="6">
        <v>100</v>
      </c>
      <c r="I202" s="7">
        <v>3</v>
      </c>
      <c r="J202" s="7">
        <v>2</v>
      </c>
      <c r="K202" s="7">
        <v>95</v>
      </c>
      <c r="L202" s="6" t="b">
        <v>0</v>
      </c>
      <c r="M202" s="6">
        <v>0</v>
      </c>
      <c r="N202" s="6">
        <v>0</v>
      </c>
      <c r="O202" s="7">
        <v>1</v>
      </c>
      <c r="P202" s="7">
        <v>0</v>
      </c>
      <c r="Q202" s="7">
        <v>0</v>
      </c>
      <c r="R202" s="5" t="b">
        <v>1</v>
      </c>
      <c r="S202" s="7"/>
      <c r="T202" s="7"/>
      <c r="U202" s="6"/>
      <c r="V202" s="7"/>
      <c r="W202" s="7"/>
      <c r="X202" s="7"/>
      <c r="Y202" s="6"/>
      <c r="Z202" s="6"/>
      <c r="AA202" s="6"/>
      <c r="AB202" s="7"/>
      <c r="AC202" s="7"/>
      <c r="AD202" s="7"/>
      <c r="AE202" s="5"/>
    </row>
    <row r="203" spans="2:31" ht="18.75" customHeight="1">
      <c r="B203" s="5">
        <v>650001</v>
      </c>
      <c r="C203" s="7" t="s">
        <v>491</v>
      </c>
      <c r="D203" s="10" t="s">
        <v>611</v>
      </c>
      <c r="E203" s="7">
        <v>2</v>
      </c>
      <c r="F203" s="7">
        <v>1</v>
      </c>
      <c r="G203" s="7">
        <v>2</v>
      </c>
      <c r="H203" s="6">
        <v>100</v>
      </c>
      <c r="I203" s="7">
        <v>12</v>
      </c>
      <c r="J203" s="7">
        <v>2</v>
      </c>
      <c r="K203" s="7">
        <v>182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7"/>
      <c r="T203" s="7"/>
      <c r="U203" s="6"/>
      <c r="V203" s="7"/>
      <c r="W203" s="7"/>
      <c r="X203" s="7"/>
      <c r="Y203" s="6"/>
      <c r="Z203" s="6"/>
      <c r="AA203" s="6"/>
      <c r="AB203" s="7"/>
      <c r="AC203" s="7"/>
      <c r="AD203" s="7"/>
      <c r="AE203" s="5"/>
    </row>
    <row r="204" spans="2:31" ht="18.75" customHeight="1">
      <c r="B204" s="5">
        <v>650002</v>
      </c>
      <c r="C204" s="7" t="s">
        <v>1632</v>
      </c>
      <c r="D204" s="10" t="s">
        <v>611</v>
      </c>
      <c r="E204" s="7">
        <v>2</v>
      </c>
      <c r="F204" s="7">
        <v>1</v>
      </c>
      <c r="G204" s="7">
        <v>2</v>
      </c>
      <c r="H204" s="6">
        <v>100</v>
      </c>
      <c r="I204" s="7">
        <v>12</v>
      </c>
      <c r="J204" s="7">
        <v>2</v>
      </c>
      <c r="K204" s="7">
        <v>182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7"/>
      <c r="T204" s="7"/>
      <c r="U204" s="6"/>
      <c r="V204" s="7"/>
      <c r="W204" s="7"/>
      <c r="X204" s="7"/>
      <c r="Y204" s="6"/>
      <c r="Z204" s="6"/>
      <c r="AA204" s="6"/>
      <c r="AB204" s="7"/>
      <c r="AC204" s="7"/>
      <c r="AD204" s="7"/>
      <c r="AE204" s="5"/>
    </row>
    <row r="205" spans="2:31" ht="18.75" customHeight="1">
      <c r="B205" s="5">
        <v>650003</v>
      </c>
      <c r="C205" s="7" t="s">
        <v>1702</v>
      </c>
      <c r="D205" s="10" t="s">
        <v>611</v>
      </c>
      <c r="E205" s="7">
        <v>2</v>
      </c>
      <c r="F205" s="7">
        <v>1</v>
      </c>
      <c r="G205" s="7">
        <v>2</v>
      </c>
      <c r="H205" s="6">
        <v>100</v>
      </c>
      <c r="I205" s="7">
        <v>12</v>
      </c>
      <c r="J205" s="7">
        <v>2</v>
      </c>
      <c r="K205" s="7">
        <v>182</v>
      </c>
      <c r="L205" s="6" t="b">
        <v>0</v>
      </c>
      <c r="M205" s="6">
        <v>0</v>
      </c>
      <c r="N205" s="6">
        <v>0</v>
      </c>
      <c r="O205" s="7">
        <v>1</v>
      </c>
      <c r="P205" s="5">
        <v>0</v>
      </c>
      <c r="Q205" s="7">
        <v>0</v>
      </c>
      <c r="R205" s="5" t="b">
        <v>1</v>
      </c>
      <c r="S205" s="7"/>
      <c r="T205" s="7"/>
      <c r="U205" s="6"/>
      <c r="V205" s="7"/>
      <c r="W205" s="7"/>
      <c r="X205" s="7"/>
      <c r="Y205" s="6"/>
      <c r="Z205" s="6"/>
      <c r="AA205" s="6"/>
      <c r="AB205" s="7"/>
      <c r="AC205" s="7"/>
      <c r="AD205" s="7"/>
      <c r="AE205" s="5"/>
    </row>
    <row r="206" spans="2:31" ht="18.75" customHeight="1">
      <c r="B206" s="7">
        <v>660001</v>
      </c>
      <c r="C206" s="7" t="s">
        <v>492</v>
      </c>
      <c r="D206" s="10" t="s">
        <v>612</v>
      </c>
      <c r="E206" s="6">
        <v>2</v>
      </c>
      <c r="F206" s="6">
        <v>1</v>
      </c>
      <c r="G206" s="6">
        <v>2</v>
      </c>
      <c r="H206" s="6">
        <v>100</v>
      </c>
      <c r="I206" s="6">
        <v>19</v>
      </c>
      <c r="J206" s="6">
        <v>2</v>
      </c>
      <c r="K206" s="6">
        <v>200</v>
      </c>
      <c r="L206" s="6" t="b">
        <v>0</v>
      </c>
      <c r="M206" s="6">
        <v>0</v>
      </c>
      <c r="N206" s="6">
        <v>0</v>
      </c>
      <c r="O206" s="5">
        <v>1</v>
      </c>
      <c r="P206" s="7">
        <v>0</v>
      </c>
      <c r="Q206" s="5">
        <v>0</v>
      </c>
      <c r="R206" s="5" t="b">
        <v>1</v>
      </c>
      <c r="S206" s="6"/>
      <c r="T206" s="6"/>
      <c r="U206" s="6"/>
      <c r="V206" s="5"/>
      <c r="W206" s="5"/>
      <c r="X206" s="5"/>
      <c r="Y206" s="6"/>
      <c r="Z206" s="6"/>
      <c r="AA206" s="6"/>
      <c r="AB206" s="5"/>
      <c r="AC206" s="5"/>
      <c r="AD206" s="5"/>
      <c r="AE206" s="5"/>
    </row>
    <row r="207" spans="2:31" ht="18.75" customHeight="1">
      <c r="B207" s="7">
        <v>660002</v>
      </c>
      <c r="C207" s="7" t="s">
        <v>1633</v>
      </c>
      <c r="D207" s="10" t="s">
        <v>612</v>
      </c>
      <c r="E207" s="6">
        <v>2</v>
      </c>
      <c r="F207" s="6">
        <v>1</v>
      </c>
      <c r="G207" s="6">
        <v>2</v>
      </c>
      <c r="H207" s="6">
        <v>100</v>
      </c>
      <c r="I207" s="6">
        <v>19</v>
      </c>
      <c r="J207" s="6">
        <v>2</v>
      </c>
      <c r="K207" s="6">
        <v>200</v>
      </c>
      <c r="L207" s="6" t="b">
        <v>0</v>
      </c>
      <c r="M207" s="6">
        <v>0</v>
      </c>
      <c r="N207" s="6">
        <v>0</v>
      </c>
      <c r="O207" s="5">
        <v>1</v>
      </c>
      <c r="P207" s="7">
        <v>0</v>
      </c>
      <c r="Q207" s="5">
        <v>0</v>
      </c>
      <c r="R207" s="5" t="b">
        <v>1</v>
      </c>
      <c r="S207" s="6"/>
      <c r="T207" s="6"/>
      <c r="U207" s="6"/>
      <c r="V207" s="5"/>
      <c r="W207" s="5"/>
      <c r="X207" s="5"/>
      <c r="Y207" s="6"/>
      <c r="Z207" s="6"/>
      <c r="AA207" s="6"/>
      <c r="AB207" s="5"/>
      <c r="AC207" s="5"/>
      <c r="AD207" s="5"/>
      <c r="AE207" s="5"/>
    </row>
    <row r="208" spans="2:31" ht="18.75" customHeight="1">
      <c r="B208" s="7">
        <v>660003</v>
      </c>
      <c r="C208" s="7" t="s">
        <v>1703</v>
      </c>
      <c r="D208" s="10" t="s">
        <v>612</v>
      </c>
      <c r="E208" s="6">
        <v>2</v>
      </c>
      <c r="F208" s="6">
        <v>1</v>
      </c>
      <c r="G208" s="6">
        <v>2</v>
      </c>
      <c r="H208" s="6">
        <v>100</v>
      </c>
      <c r="I208" s="6">
        <v>19</v>
      </c>
      <c r="J208" s="6">
        <v>2</v>
      </c>
      <c r="K208" s="6">
        <v>200</v>
      </c>
      <c r="L208" s="6" t="b">
        <v>0</v>
      </c>
      <c r="M208" s="6">
        <v>0</v>
      </c>
      <c r="N208" s="6">
        <v>0</v>
      </c>
      <c r="O208" s="5">
        <v>1</v>
      </c>
      <c r="P208" s="7">
        <v>0</v>
      </c>
      <c r="Q208" s="5">
        <v>0</v>
      </c>
      <c r="R208" s="5" t="b">
        <v>1</v>
      </c>
      <c r="S208" s="6"/>
      <c r="T208" s="6"/>
      <c r="U208" s="6"/>
      <c r="V208" s="5"/>
      <c r="W208" s="5"/>
      <c r="X208" s="5"/>
      <c r="Y208" s="6"/>
      <c r="Z208" s="6"/>
      <c r="AA208" s="6"/>
      <c r="AB208" s="5"/>
      <c r="AC208" s="5"/>
      <c r="AD208" s="5"/>
      <c r="AE208" s="5"/>
    </row>
    <row r="209" spans="2:31" ht="18.75" customHeight="1">
      <c r="B209" s="5">
        <v>670001</v>
      </c>
      <c r="C209" s="7" t="s">
        <v>493</v>
      </c>
      <c r="D209" s="10" t="s">
        <v>613</v>
      </c>
      <c r="E209" s="7">
        <v>2</v>
      </c>
      <c r="F209" s="7">
        <v>1</v>
      </c>
      <c r="G209" s="7">
        <v>2</v>
      </c>
      <c r="H209" s="6">
        <v>100</v>
      </c>
      <c r="I209" s="7">
        <v>11</v>
      </c>
      <c r="J209" s="7">
        <v>2</v>
      </c>
      <c r="K209" s="7">
        <v>200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7"/>
      <c r="AD209" s="7"/>
      <c r="AE209" s="5"/>
    </row>
    <row r="210" spans="2:31" ht="18.75" customHeight="1">
      <c r="B210" s="5">
        <v>670002</v>
      </c>
      <c r="C210" s="7" t="s">
        <v>1634</v>
      </c>
      <c r="D210" s="10" t="s">
        <v>613</v>
      </c>
      <c r="E210" s="7">
        <v>2</v>
      </c>
      <c r="F210" s="7">
        <v>1</v>
      </c>
      <c r="G210" s="7">
        <v>2</v>
      </c>
      <c r="H210" s="6">
        <v>100</v>
      </c>
      <c r="I210" s="7">
        <v>11</v>
      </c>
      <c r="J210" s="7">
        <v>2</v>
      </c>
      <c r="K210" s="7">
        <v>200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7"/>
      <c r="AD210" s="7"/>
      <c r="AE210" s="5"/>
    </row>
    <row r="211" spans="2:31" ht="18.75" customHeight="1">
      <c r="B211" s="5">
        <v>670003</v>
      </c>
      <c r="C211" s="7" t="s">
        <v>1704</v>
      </c>
      <c r="D211" s="10" t="s">
        <v>613</v>
      </c>
      <c r="E211" s="7">
        <v>2</v>
      </c>
      <c r="F211" s="7">
        <v>1</v>
      </c>
      <c r="G211" s="7">
        <v>2</v>
      </c>
      <c r="H211" s="6">
        <v>100</v>
      </c>
      <c r="I211" s="7">
        <v>11</v>
      </c>
      <c r="J211" s="7">
        <v>2</v>
      </c>
      <c r="K211" s="7">
        <v>200</v>
      </c>
      <c r="L211" s="6" t="b">
        <v>0</v>
      </c>
      <c r="M211" s="6">
        <v>0</v>
      </c>
      <c r="N211" s="6">
        <v>0</v>
      </c>
      <c r="O211" s="7">
        <v>1</v>
      </c>
      <c r="P211" s="5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7"/>
      <c r="AD211" s="7"/>
      <c r="AE211" s="5"/>
    </row>
    <row r="212" spans="2:31" ht="18.75" customHeight="1">
      <c r="B212" s="7">
        <v>680001</v>
      </c>
      <c r="C212" s="7" t="s">
        <v>494</v>
      </c>
      <c r="D212" s="10" t="s">
        <v>614</v>
      </c>
      <c r="E212" s="7">
        <v>2</v>
      </c>
      <c r="F212" s="7">
        <v>1</v>
      </c>
      <c r="G212" s="7">
        <v>2</v>
      </c>
      <c r="H212" s="6">
        <v>100</v>
      </c>
      <c r="I212" s="7">
        <v>12</v>
      </c>
      <c r="J212" s="7">
        <v>2</v>
      </c>
      <c r="K212" s="7">
        <v>272</v>
      </c>
      <c r="L212" s="6" t="b">
        <v>0</v>
      </c>
      <c r="M212" s="6">
        <v>0</v>
      </c>
      <c r="N212" s="6">
        <v>0</v>
      </c>
      <c r="O212" s="7">
        <v>1</v>
      </c>
      <c r="P212" s="7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7"/>
      <c r="AD212" s="7"/>
      <c r="AE212" s="5"/>
    </row>
    <row r="213" spans="2:31" ht="18.75" customHeight="1">
      <c r="B213" s="7">
        <v>680002</v>
      </c>
      <c r="C213" s="7" t="s">
        <v>1635</v>
      </c>
      <c r="D213" s="10" t="s">
        <v>614</v>
      </c>
      <c r="E213" s="7">
        <v>2</v>
      </c>
      <c r="F213" s="7">
        <v>1</v>
      </c>
      <c r="G213" s="7">
        <v>2</v>
      </c>
      <c r="H213" s="6">
        <v>100</v>
      </c>
      <c r="I213" s="7">
        <v>12</v>
      </c>
      <c r="J213" s="7">
        <v>2</v>
      </c>
      <c r="K213" s="7">
        <v>272</v>
      </c>
      <c r="L213" s="6" t="b">
        <v>0</v>
      </c>
      <c r="M213" s="6">
        <v>0</v>
      </c>
      <c r="N213" s="6">
        <v>0</v>
      </c>
      <c r="O213" s="7">
        <v>1</v>
      </c>
      <c r="P213" s="7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7"/>
      <c r="AD213" s="7"/>
      <c r="AE213" s="5"/>
    </row>
    <row r="214" spans="2:31" ht="18.75" customHeight="1">
      <c r="B214" s="7">
        <v>680003</v>
      </c>
      <c r="C214" s="7" t="s">
        <v>1705</v>
      </c>
      <c r="D214" s="10" t="s">
        <v>614</v>
      </c>
      <c r="E214" s="7">
        <v>2</v>
      </c>
      <c r="F214" s="7">
        <v>1</v>
      </c>
      <c r="G214" s="7">
        <v>2</v>
      </c>
      <c r="H214" s="6">
        <v>100</v>
      </c>
      <c r="I214" s="7">
        <v>12</v>
      </c>
      <c r="J214" s="7">
        <v>2</v>
      </c>
      <c r="K214" s="7">
        <v>272</v>
      </c>
      <c r="L214" s="6" t="b">
        <v>0</v>
      </c>
      <c r="M214" s="6">
        <v>0</v>
      </c>
      <c r="N214" s="6">
        <v>0</v>
      </c>
      <c r="O214" s="7">
        <v>1</v>
      </c>
      <c r="P214" s="7">
        <v>0</v>
      </c>
      <c r="Q214" s="7">
        <v>0</v>
      </c>
      <c r="R214" s="5" t="b">
        <v>1</v>
      </c>
      <c r="S214" s="7"/>
      <c r="T214" s="7"/>
      <c r="U214" s="6"/>
      <c r="V214" s="7"/>
      <c r="W214" s="7"/>
      <c r="X214" s="7"/>
      <c r="Y214" s="6"/>
      <c r="Z214" s="6"/>
      <c r="AA214" s="6"/>
      <c r="AB214" s="7"/>
      <c r="AC214" s="7"/>
      <c r="AD214" s="7"/>
      <c r="AE214" s="5"/>
    </row>
    <row r="215" spans="2:31" ht="18.75" customHeight="1">
      <c r="B215" s="5">
        <v>690001</v>
      </c>
      <c r="C215" s="7" t="s">
        <v>495</v>
      </c>
      <c r="D215" s="10" t="s">
        <v>615</v>
      </c>
      <c r="E215" s="7">
        <v>2</v>
      </c>
      <c r="F215" s="7">
        <v>1</v>
      </c>
      <c r="G215" s="7">
        <v>2</v>
      </c>
      <c r="H215" s="6">
        <v>100</v>
      </c>
      <c r="I215" s="7">
        <v>3</v>
      </c>
      <c r="J215" s="7">
        <v>2</v>
      </c>
      <c r="K215" s="7">
        <v>95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7"/>
      <c r="T215" s="7"/>
      <c r="U215" s="6"/>
      <c r="V215" s="7"/>
      <c r="W215" s="7"/>
      <c r="X215" s="7"/>
      <c r="Y215" s="6"/>
      <c r="Z215" s="6"/>
      <c r="AA215" s="6"/>
      <c r="AB215" s="7"/>
      <c r="AC215" s="7"/>
      <c r="AD215" s="7"/>
      <c r="AE215" s="5"/>
    </row>
    <row r="216" spans="2:31" ht="18.75" customHeight="1">
      <c r="B216" s="5">
        <v>690002</v>
      </c>
      <c r="C216" s="7" t="s">
        <v>1636</v>
      </c>
      <c r="D216" s="10" t="s">
        <v>615</v>
      </c>
      <c r="E216" s="7">
        <v>2</v>
      </c>
      <c r="F216" s="7">
        <v>1</v>
      </c>
      <c r="G216" s="7">
        <v>2</v>
      </c>
      <c r="H216" s="6">
        <v>100</v>
      </c>
      <c r="I216" s="7">
        <v>3</v>
      </c>
      <c r="J216" s="7">
        <v>2</v>
      </c>
      <c r="K216" s="7">
        <v>95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7"/>
      <c r="T216" s="7"/>
      <c r="U216" s="6"/>
      <c r="V216" s="7"/>
      <c r="W216" s="7"/>
      <c r="X216" s="7"/>
      <c r="Y216" s="6"/>
      <c r="Z216" s="6"/>
      <c r="AA216" s="6"/>
      <c r="AB216" s="7"/>
      <c r="AC216" s="7"/>
      <c r="AD216" s="7"/>
      <c r="AE216" s="5"/>
    </row>
    <row r="217" spans="2:31" ht="18.75" customHeight="1">
      <c r="B217" s="5">
        <v>690003</v>
      </c>
      <c r="C217" s="7" t="s">
        <v>1706</v>
      </c>
      <c r="D217" s="10" t="s">
        <v>615</v>
      </c>
      <c r="E217" s="7">
        <v>2</v>
      </c>
      <c r="F217" s="7">
        <v>1</v>
      </c>
      <c r="G217" s="7">
        <v>2</v>
      </c>
      <c r="H217" s="6">
        <v>100</v>
      </c>
      <c r="I217" s="7">
        <v>3</v>
      </c>
      <c r="J217" s="7">
        <v>2</v>
      </c>
      <c r="K217" s="7">
        <v>95</v>
      </c>
      <c r="L217" s="6" t="b">
        <v>0</v>
      </c>
      <c r="M217" s="6">
        <v>0</v>
      </c>
      <c r="N217" s="6">
        <v>0</v>
      </c>
      <c r="O217" s="7">
        <v>1</v>
      </c>
      <c r="P217" s="5">
        <v>0</v>
      </c>
      <c r="Q217" s="7">
        <v>0</v>
      </c>
      <c r="R217" s="5" t="b">
        <v>1</v>
      </c>
      <c r="S217" s="7"/>
      <c r="T217" s="7"/>
      <c r="U217" s="6"/>
      <c r="V217" s="7"/>
      <c r="W217" s="7"/>
      <c r="X217" s="7"/>
      <c r="Y217" s="6"/>
      <c r="Z217" s="6"/>
      <c r="AA217" s="6"/>
      <c r="AB217" s="7"/>
      <c r="AC217" s="7"/>
      <c r="AD217" s="7"/>
      <c r="AE217" s="5"/>
    </row>
    <row r="218" spans="2:31" ht="18.75" customHeight="1">
      <c r="B218" s="7">
        <v>700001</v>
      </c>
      <c r="C218" s="7" t="s">
        <v>496</v>
      </c>
      <c r="D218" s="10" t="s">
        <v>616</v>
      </c>
      <c r="E218" s="7">
        <v>2</v>
      </c>
      <c r="F218" s="7">
        <v>1</v>
      </c>
      <c r="G218" s="7">
        <v>2</v>
      </c>
      <c r="H218" s="6">
        <v>100</v>
      </c>
      <c r="I218" s="7">
        <v>12</v>
      </c>
      <c r="J218" s="7">
        <v>2</v>
      </c>
      <c r="K218" s="7">
        <v>182</v>
      </c>
      <c r="L218" s="6" t="b">
        <v>0</v>
      </c>
      <c r="M218" s="6">
        <v>0</v>
      </c>
      <c r="N218" s="6">
        <v>0</v>
      </c>
      <c r="O218" s="7">
        <v>1</v>
      </c>
      <c r="P218" s="7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7"/>
      <c r="AD218" s="7"/>
      <c r="AE218" s="5"/>
    </row>
    <row r="219" spans="2:31" ht="18.75" customHeight="1">
      <c r="B219" s="7">
        <v>700002</v>
      </c>
      <c r="C219" s="7" t="s">
        <v>1637</v>
      </c>
      <c r="D219" s="10" t="s">
        <v>616</v>
      </c>
      <c r="E219" s="7">
        <v>2</v>
      </c>
      <c r="F219" s="7">
        <v>1</v>
      </c>
      <c r="G219" s="7">
        <v>2</v>
      </c>
      <c r="H219" s="6">
        <v>100</v>
      </c>
      <c r="I219" s="7">
        <v>12</v>
      </c>
      <c r="J219" s="7">
        <v>2</v>
      </c>
      <c r="K219" s="7">
        <v>182</v>
      </c>
      <c r="L219" s="6" t="b">
        <v>0</v>
      </c>
      <c r="M219" s="6">
        <v>0</v>
      </c>
      <c r="N219" s="6">
        <v>0</v>
      </c>
      <c r="O219" s="7">
        <v>1</v>
      </c>
      <c r="P219" s="7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7"/>
      <c r="AD219" s="7"/>
      <c r="AE219" s="5"/>
    </row>
    <row r="220" spans="2:31" ht="18.75" customHeight="1">
      <c r="B220" s="7">
        <v>700003</v>
      </c>
      <c r="C220" s="7" t="s">
        <v>1707</v>
      </c>
      <c r="D220" s="10" t="s">
        <v>616</v>
      </c>
      <c r="E220" s="7">
        <v>2</v>
      </c>
      <c r="F220" s="7">
        <v>1</v>
      </c>
      <c r="G220" s="7">
        <v>2</v>
      </c>
      <c r="H220" s="6">
        <v>100</v>
      </c>
      <c r="I220" s="7">
        <v>12</v>
      </c>
      <c r="J220" s="7">
        <v>2</v>
      </c>
      <c r="K220" s="7">
        <v>182</v>
      </c>
      <c r="L220" s="6" t="b">
        <v>0</v>
      </c>
      <c r="M220" s="6">
        <v>0</v>
      </c>
      <c r="N220" s="6">
        <v>0</v>
      </c>
      <c r="O220" s="7">
        <v>1</v>
      </c>
      <c r="P220" s="7">
        <v>0</v>
      </c>
      <c r="Q220" s="7">
        <v>0</v>
      </c>
      <c r="R220" s="5" t="b">
        <v>1</v>
      </c>
      <c r="S220" s="7"/>
      <c r="T220" s="7"/>
      <c r="U220" s="6"/>
      <c r="V220" s="7"/>
      <c r="W220" s="7"/>
      <c r="X220" s="7"/>
      <c r="Y220" s="6"/>
      <c r="Z220" s="6"/>
      <c r="AA220" s="6"/>
      <c r="AB220" s="7"/>
      <c r="AC220" s="7"/>
      <c r="AD220" s="7"/>
      <c r="AE220" s="5"/>
    </row>
    <row r="221" spans="2:31" ht="18.75" customHeight="1">
      <c r="B221" s="5"/>
      <c r="C221" s="7"/>
      <c r="D221" s="10"/>
      <c r="E221" s="6"/>
      <c r="F221" s="6"/>
      <c r="G221" s="6"/>
      <c r="H221" s="13"/>
      <c r="I221" s="6"/>
      <c r="J221" s="6"/>
      <c r="K221" s="6"/>
      <c r="O221" s="5"/>
      <c r="P221" s="5"/>
      <c r="Q221" s="5"/>
      <c r="S221" s="6"/>
      <c r="T221" s="6"/>
      <c r="U221" s="13"/>
      <c r="V221" s="5"/>
      <c r="W221" s="5"/>
      <c r="X221" s="5"/>
      <c r="AB221" s="5"/>
      <c r="AC221" s="5"/>
      <c r="AD221" s="5"/>
    </row>
    <row r="222" spans="2:31" ht="18.75" customHeight="1">
      <c r="B222" s="7"/>
      <c r="C222" s="7"/>
      <c r="D222" s="10"/>
      <c r="E222" s="7"/>
      <c r="F222" s="7"/>
      <c r="G222" s="7"/>
      <c r="H222" s="13"/>
      <c r="I222" s="7"/>
      <c r="J222" s="7"/>
      <c r="K222" s="7"/>
      <c r="O222" s="7"/>
      <c r="P222" s="7"/>
      <c r="Q222" s="7"/>
      <c r="S222" s="7"/>
      <c r="T222" s="7"/>
      <c r="U222" s="13"/>
      <c r="V222" s="7"/>
      <c r="W222" s="7"/>
      <c r="X222" s="7"/>
      <c r="AB222" s="7"/>
      <c r="AC222" s="7"/>
      <c r="AD222" s="7"/>
    </row>
    <row r="223" spans="2:31" ht="18.75" customHeight="1">
      <c r="B223" s="5"/>
      <c r="C223" s="7"/>
      <c r="D223" s="10"/>
      <c r="E223" s="7"/>
      <c r="F223" s="7"/>
      <c r="G223" s="7"/>
      <c r="H223" s="13"/>
      <c r="I223" s="7"/>
      <c r="J223" s="7"/>
      <c r="K223" s="7"/>
      <c r="O223" s="7"/>
      <c r="P223" s="7"/>
      <c r="Q223" s="7"/>
      <c r="S223" s="7"/>
      <c r="T223" s="7"/>
      <c r="U223" s="13"/>
      <c r="V223" s="7"/>
      <c r="W223" s="7"/>
      <c r="X223" s="7"/>
      <c r="AB223" s="7"/>
      <c r="AC223" s="7"/>
      <c r="AD223" s="7"/>
    </row>
    <row r="224" spans="2:31" ht="18.75" customHeight="1">
      <c r="B224" s="7"/>
      <c r="C224" s="7"/>
      <c r="D224" s="10"/>
      <c r="E224" s="7"/>
      <c r="F224" s="7"/>
      <c r="G224" s="7"/>
      <c r="H224" s="13"/>
      <c r="I224" s="7"/>
      <c r="J224" s="7"/>
      <c r="K224" s="7"/>
      <c r="O224" s="7"/>
      <c r="P224" s="7"/>
      <c r="Q224" s="7"/>
      <c r="S224" s="7"/>
      <c r="T224" s="7"/>
      <c r="U224" s="13"/>
      <c r="V224" s="7"/>
      <c r="W224" s="7"/>
      <c r="X224" s="7"/>
      <c r="AB224" s="7"/>
      <c r="AC224" s="7"/>
      <c r="AD224" s="7"/>
    </row>
    <row r="225" spans="2:30" ht="18.75" customHeight="1">
      <c r="B225" s="5"/>
      <c r="C225" s="7"/>
      <c r="D225" s="10"/>
      <c r="E225" s="7"/>
      <c r="F225" s="7"/>
      <c r="G225" s="7"/>
      <c r="H225" s="13"/>
      <c r="I225" s="7"/>
      <c r="J225" s="7"/>
      <c r="K225" s="7"/>
      <c r="O225" s="7"/>
      <c r="P225" s="7"/>
      <c r="Q225" s="7"/>
      <c r="S225" s="7"/>
      <c r="T225" s="7"/>
      <c r="U225" s="13"/>
      <c r="V225" s="7"/>
      <c r="W225" s="7"/>
      <c r="X225" s="7"/>
      <c r="AB225" s="7"/>
      <c r="AC225" s="7"/>
      <c r="AD225" s="7"/>
    </row>
    <row r="226" spans="2:30" ht="18.75" customHeight="1">
      <c r="B226" s="5"/>
      <c r="C226" s="7"/>
      <c r="D226" s="10"/>
      <c r="E226" s="6"/>
      <c r="F226" s="6"/>
      <c r="G226" s="6"/>
      <c r="H226" s="13"/>
      <c r="I226" s="6"/>
      <c r="J226" s="6"/>
      <c r="K226" s="6"/>
      <c r="O226" s="5"/>
      <c r="P226" s="5"/>
      <c r="Q226" s="5"/>
      <c r="S226" s="6"/>
      <c r="T226" s="6"/>
      <c r="U226" s="13"/>
      <c r="V226" s="5"/>
      <c r="W226" s="5"/>
      <c r="X226" s="5"/>
      <c r="AB226" s="5"/>
      <c r="AC226" s="5"/>
      <c r="AD226" s="5"/>
    </row>
    <row r="227" spans="2:30" ht="18.75" customHeight="1">
      <c r="B227" s="7"/>
      <c r="C227" s="7"/>
      <c r="D227" s="10"/>
      <c r="E227" s="7"/>
      <c r="F227" s="7"/>
      <c r="G227" s="7"/>
      <c r="H227" s="13"/>
      <c r="I227" s="7"/>
      <c r="J227" s="7"/>
      <c r="K227" s="7"/>
      <c r="O227" s="7"/>
      <c r="P227" s="7"/>
      <c r="Q227" s="7"/>
      <c r="S227" s="7"/>
      <c r="T227" s="7"/>
      <c r="U227" s="13"/>
      <c r="V227" s="7"/>
      <c r="W227" s="7"/>
      <c r="X227" s="7"/>
      <c r="AB227" s="7"/>
      <c r="AC227" s="7"/>
      <c r="AD227" s="7"/>
    </row>
    <row r="228" spans="2:30" ht="18.75" customHeight="1">
      <c r="B228" s="5"/>
      <c r="C228" s="7"/>
      <c r="D228" s="10"/>
      <c r="E228" s="7"/>
      <c r="F228" s="7"/>
      <c r="G228" s="7"/>
      <c r="H228" s="13"/>
      <c r="I228" s="7"/>
      <c r="J228" s="7"/>
      <c r="K228" s="7"/>
      <c r="O228" s="7"/>
      <c r="P228" s="7"/>
      <c r="Q228" s="7"/>
      <c r="S228" s="7"/>
      <c r="T228" s="7"/>
      <c r="U228" s="13"/>
      <c r="V228" s="7"/>
      <c r="W228" s="7"/>
      <c r="X228" s="7"/>
      <c r="AB228" s="7"/>
      <c r="AC228" s="7"/>
      <c r="AD228" s="7"/>
    </row>
    <row r="229" spans="2:30" ht="18.75" customHeight="1">
      <c r="B229" s="7"/>
      <c r="C229" s="7"/>
      <c r="D229" s="10"/>
      <c r="E229" s="7"/>
      <c r="F229" s="7"/>
      <c r="G229" s="7"/>
      <c r="H229" s="13"/>
      <c r="I229" s="7"/>
      <c r="J229" s="7"/>
      <c r="K229" s="7"/>
      <c r="O229" s="7"/>
      <c r="P229" s="7"/>
      <c r="Q229" s="7"/>
      <c r="S229" s="7"/>
      <c r="T229" s="7"/>
      <c r="U229" s="13"/>
      <c r="V229" s="7"/>
      <c r="W229" s="7"/>
      <c r="X229" s="7"/>
      <c r="AB229" s="7"/>
      <c r="AC229" s="7"/>
      <c r="AD229" s="7"/>
    </row>
    <row r="230" spans="2:30" ht="18.75" customHeight="1">
      <c r="B230" s="5"/>
      <c r="C230" s="7"/>
      <c r="D230" s="10"/>
      <c r="E230" s="7"/>
      <c r="F230" s="7"/>
      <c r="G230" s="7"/>
      <c r="H230" s="13"/>
      <c r="I230" s="7"/>
      <c r="J230" s="7"/>
      <c r="K230" s="7"/>
      <c r="O230" s="7"/>
      <c r="P230" s="7"/>
      <c r="Q230" s="7"/>
      <c r="S230" s="7"/>
      <c r="T230" s="7"/>
      <c r="U230" s="13"/>
      <c r="V230" s="7"/>
      <c r="W230" s="7"/>
      <c r="X230" s="7"/>
      <c r="AB230" s="7"/>
      <c r="AC230" s="7"/>
      <c r="AD230" s="7"/>
    </row>
    <row r="231" spans="2:30" ht="18.75" customHeight="1">
      <c r="B231" s="5"/>
      <c r="C231" s="7"/>
      <c r="D231" s="10"/>
      <c r="E231" s="6"/>
      <c r="F231" s="6"/>
      <c r="G231" s="6"/>
      <c r="H231" s="13"/>
      <c r="I231" s="6"/>
      <c r="J231" s="6"/>
      <c r="K231" s="6"/>
      <c r="O231" s="5"/>
      <c r="P231" s="5"/>
      <c r="Q231" s="5"/>
      <c r="S231" s="6"/>
      <c r="T231" s="6"/>
      <c r="U231" s="13"/>
      <c r="V231" s="5"/>
      <c r="W231" s="5"/>
      <c r="X231" s="5"/>
      <c r="AB231" s="5"/>
      <c r="AC231" s="5"/>
      <c r="AD231" s="5"/>
    </row>
    <row r="232" spans="2:30" ht="18.75" customHeight="1">
      <c r="B232" s="7"/>
      <c r="C232" s="7"/>
      <c r="D232" s="10"/>
      <c r="E232" s="7"/>
      <c r="F232" s="7"/>
      <c r="G232" s="7"/>
      <c r="H232" s="13"/>
      <c r="I232" s="7"/>
      <c r="J232" s="7"/>
      <c r="K232" s="7"/>
      <c r="O232" s="7"/>
      <c r="P232" s="7"/>
      <c r="Q232" s="7"/>
      <c r="S232" s="7"/>
      <c r="T232" s="7"/>
      <c r="U232" s="13"/>
      <c r="V232" s="7"/>
      <c r="W232" s="7"/>
      <c r="X232" s="7"/>
      <c r="AB232" s="7"/>
      <c r="AC232" s="7"/>
      <c r="AD232" s="7"/>
    </row>
    <row r="233" spans="2:30" ht="18.75" customHeight="1">
      <c r="B233" s="5"/>
      <c r="C233" s="7"/>
      <c r="D233" s="10"/>
      <c r="E233" s="7"/>
      <c r="F233" s="7"/>
      <c r="G233" s="7"/>
      <c r="H233" s="13"/>
      <c r="I233" s="7"/>
      <c r="J233" s="7"/>
      <c r="K233" s="7"/>
      <c r="O233" s="7"/>
      <c r="P233" s="7"/>
      <c r="Q233" s="7"/>
      <c r="S233" s="7"/>
      <c r="T233" s="7"/>
      <c r="U233" s="13"/>
      <c r="V233" s="7"/>
      <c r="W233" s="7"/>
      <c r="X233" s="7"/>
      <c r="AB233" s="7"/>
      <c r="AC233" s="7"/>
      <c r="AD233" s="7"/>
    </row>
    <row r="234" spans="2:30" ht="18.75" customHeight="1">
      <c r="B234" s="7"/>
      <c r="C234" s="7"/>
      <c r="D234" s="10"/>
      <c r="E234" s="7"/>
      <c r="F234" s="7"/>
      <c r="G234" s="7"/>
      <c r="H234" s="13"/>
      <c r="I234" s="7"/>
      <c r="J234" s="7"/>
      <c r="K234" s="7"/>
      <c r="O234" s="7"/>
      <c r="P234" s="7"/>
      <c r="Q234" s="7"/>
      <c r="S234" s="7"/>
      <c r="T234" s="7"/>
      <c r="U234" s="13"/>
      <c r="V234" s="7"/>
      <c r="W234" s="7"/>
      <c r="X234" s="7"/>
      <c r="AB234" s="7"/>
      <c r="AC234" s="7"/>
      <c r="AD234" s="7"/>
    </row>
    <row r="235" spans="2:30" ht="18.75" customHeight="1">
      <c r="B235" s="5"/>
      <c r="C235" s="7"/>
      <c r="D235" s="10"/>
      <c r="E235" s="7"/>
      <c r="F235" s="7"/>
      <c r="G235" s="7"/>
      <c r="H235" s="13"/>
      <c r="I235" s="7"/>
      <c r="J235" s="7"/>
      <c r="K235" s="7"/>
      <c r="O235" s="7"/>
      <c r="P235" s="7"/>
      <c r="Q235" s="7"/>
      <c r="S235" s="7"/>
      <c r="T235" s="7"/>
      <c r="U235" s="13"/>
      <c r="V235" s="7"/>
      <c r="W235" s="7"/>
      <c r="X235" s="7"/>
      <c r="AB235" s="7"/>
      <c r="AC235" s="7"/>
      <c r="AD235" s="7"/>
    </row>
    <row r="236" spans="2:30" ht="18.75" customHeight="1">
      <c r="B236" s="5"/>
      <c r="C236" s="7"/>
      <c r="D236" s="10"/>
      <c r="E236" s="6"/>
      <c r="F236" s="6"/>
      <c r="G236" s="6"/>
      <c r="H236" s="13"/>
      <c r="I236" s="6"/>
      <c r="J236" s="6"/>
      <c r="K236" s="6"/>
      <c r="O236" s="5"/>
      <c r="P236" s="5"/>
      <c r="Q236" s="5"/>
      <c r="S236" s="6"/>
      <c r="T236" s="6"/>
      <c r="U236" s="13"/>
      <c r="V236" s="5"/>
      <c r="W236" s="5"/>
      <c r="X236" s="5"/>
      <c r="AB236" s="5"/>
      <c r="AC236" s="5"/>
      <c r="AD236" s="5"/>
    </row>
    <row r="237" spans="2:30" ht="18.75" customHeight="1">
      <c r="B237" s="7"/>
      <c r="C237" s="7"/>
      <c r="D237" s="10"/>
      <c r="E237" s="7"/>
      <c r="F237" s="7"/>
      <c r="G237" s="7"/>
      <c r="H237" s="13"/>
      <c r="I237" s="7"/>
      <c r="J237" s="7"/>
      <c r="K237" s="7"/>
      <c r="O237" s="7"/>
      <c r="P237" s="7"/>
      <c r="Q237" s="7"/>
      <c r="S237" s="7"/>
      <c r="T237" s="7"/>
      <c r="U237" s="13"/>
      <c r="V237" s="7"/>
      <c r="W237" s="7"/>
      <c r="X237" s="7"/>
      <c r="AB237" s="7"/>
      <c r="AC237" s="7"/>
      <c r="AD237" s="7"/>
    </row>
    <row r="238" spans="2:30" ht="18.75" customHeight="1">
      <c r="B238" s="5"/>
      <c r="C238" s="7"/>
      <c r="D238" s="10"/>
      <c r="E238" s="7"/>
      <c r="F238" s="7"/>
      <c r="G238" s="7"/>
      <c r="H238" s="13"/>
      <c r="I238" s="7"/>
      <c r="J238" s="7"/>
      <c r="K238" s="7"/>
      <c r="O238" s="7"/>
      <c r="P238" s="7"/>
      <c r="Q238" s="7"/>
      <c r="S238" s="7"/>
      <c r="T238" s="7"/>
      <c r="U238" s="13"/>
      <c r="V238" s="7"/>
      <c r="W238" s="7"/>
      <c r="X238" s="7"/>
      <c r="AB238" s="7"/>
      <c r="AC238" s="7"/>
      <c r="AD238" s="7"/>
    </row>
    <row r="239" spans="2:30" ht="18.75" customHeight="1">
      <c r="B239" s="7"/>
      <c r="C239" s="7"/>
      <c r="D239" s="10"/>
      <c r="E239" s="7"/>
      <c r="F239" s="7"/>
      <c r="G239" s="7"/>
      <c r="H239" s="13"/>
      <c r="I239" s="7"/>
      <c r="J239" s="7"/>
      <c r="K239" s="7"/>
      <c r="O239" s="7"/>
      <c r="P239" s="7"/>
      <c r="Q239" s="7"/>
      <c r="S239" s="7"/>
      <c r="T239" s="7"/>
      <c r="U239" s="13"/>
      <c r="V239" s="7"/>
      <c r="W239" s="7"/>
      <c r="X239" s="7"/>
      <c r="AB239" s="7"/>
      <c r="AC239" s="7"/>
      <c r="AD239" s="7"/>
    </row>
    <row r="240" spans="2:30" ht="18.75" customHeight="1">
      <c r="B240" s="5"/>
      <c r="C240" s="7"/>
      <c r="D240" s="10"/>
      <c r="E240" s="7"/>
      <c r="F240" s="7"/>
      <c r="G240" s="7"/>
      <c r="H240" s="13"/>
      <c r="I240" s="7"/>
      <c r="J240" s="7"/>
      <c r="K240" s="7"/>
      <c r="O240" s="7"/>
      <c r="P240" s="7"/>
      <c r="Q240" s="7"/>
      <c r="S240" s="7"/>
      <c r="T240" s="7"/>
      <c r="U240" s="13"/>
      <c r="V240" s="7"/>
      <c r="W240" s="7"/>
      <c r="X240" s="7"/>
      <c r="AB240" s="7"/>
      <c r="AC240" s="7"/>
      <c r="AD240" s="7"/>
    </row>
    <row r="241" spans="2:21" ht="72" customHeight="1">
      <c r="B241" s="5"/>
      <c r="C241" s="7"/>
      <c r="D241" s="10"/>
      <c r="E241" s="13"/>
      <c r="G241" s="13"/>
      <c r="H241" s="13"/>
      <c r="I241" s="13"/>
      <c r="T241" s="13"/>
      <c r="U241" s="13"/>
    </row>
    <row r="242" spans="2:21" ht="69.75" customHeight="1">
      <c r="B242" s="7"/>
      <c r="C242" s="7"/>
      <c r="D242" s="10"/>
      <c r="E242" s="13"/>
      <c r="G242" s="13"/>
      <c r="H242" s="13"/>
      <c r="I242" s="13"/>
      <c r="T242" s="13"/>
      <c r="U242" s="13"/>
    </row>
    <row r="243" spans="2:21" ht="63.75" customHeight="1">
      <c r="B243" s="5"/>
      <c r="C243" s="7"/>
      <c r="D243" s="10"/>
      <c r="E243" s="13"/>
      <c r="G243" s="13"/>
      <c r="H243" s="13"/>
      <c r="I243" s="13"/>
      <c r="T243" s="13"/>
      <c r="U243" s="13"/>
    </row>
    <row r="244" spans="2:21" ht="62.25" customHeight="1">
      <c r="B244" s="7"/>
      <c r="C244" s="7"/>
      <c r="D244" s="10"/>
      <c r="E244" s="13"/>
      <c r="G244" s="13"/>
      <c r="H244" s="13"/>
      <c r="I244" s="13"/>
      <c r="T244" s="13"/>
      <c r="U244" s="13"/>
    </row>
    <row r="245" spans="2:21" ht="49.5" customHeight="1">
      <c r="B245" s="5"/>
      <c r="C245" s="7"/>
      <c r="D245" s="10"/>
      <c r="E245" s="13"/>
      <c r="G245" s="13"/>
      <c r="H245" s="13"/>
      <c r="I245" s="13"/>
      <c r="T245" s="13"/>
      <c r="U245" s="13"/>
    </row>
    <row r="246" spans="2:21" ht="18.75" customHeight="1">
      <c r="B246" s="7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5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7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5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>
      <c r="B250" s="7"/>
      <c r="C250" s="7"/>
      <c r="D250" s="7"/>
      <c r="E250" s="13"/>
      <c r="G250" s="13"/>
      <c r="H250" s="13"/>
      <c r="I250" s="13"/>
      <c r="T250" s="13"/>
      <c r="U250" s="13"/>
    </row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R220">
    <sortCondition ref="B11:B220"/>
  </sortState>
  <phoneticPr fontId="3"/>
  <conditionalFormatting sqref="A2:AR6 A10:F10 H10:S10 U10:AF10 AH10:AR10 A11:AR220 A8:AR9">
    <cfRule type="expression" dxfId="42" priority="5">
      <formula>CELL("ROW")=ROW()</formula>
    </cfRule>
  </conditionalFormatting>
  <conditionalFormatting sqref="G10">
    <cfRule type="expression" dxfId="41" priority="4">
      <formula>CELL("ROW")=ROW()</formula>
    </cfRule>
  </conditionalFormatting>
  <conditionalFormatting sqref="T10">
    <cfRule type="expression" dxfId="40" priority="3">
      <formula>CELL("ROW")=ROW()</formula>
    </cfRule>
  </conditionalFormatting>
  <conditionalFormatting sqref="AG10">
    <cfRule type="expression" dxfId="39" priority="2">
      <formula>CELL("ROW")=ROW()</formula>
    </cfRule>
  </conditionalFormatting>
  <conditionalFormatting sqref="A7:AI7">
    <cfRule type="expression" dxfId="38" priority="1">
      <formula>CELL("ROW")=ROW()</formula>
    </cfRule>
  </conditionalFormatting>
  <dataValidations count="1">
    <dataValidation type="list" allowBlank="1" showErrorMessage="1" sqref="B8:AZ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8.5" style="36" customWidth="1"/>
    <col min="3" max="3" width="25.125" style="36" customWidth="1"/>
    <col min="4" max="10" width="9.875" style="36" customWidth="1"/>
    <col min="11" max="12" width="18.875" style="36" customWidth="1"/>
    <col min="13" max="13" width="39.375" style="36" customWidth="1"/>
    <col min="14" max="14" width="20.875" style="36" customWidth="1"/>
    <col min="15" max="15" width="13.625" style="36" customWidth="1"/>
    <col min="16" max="16" width="12.625" style="36" customWidth="1"/>
    <col min="17" max="17" width="13.25" style="36" customWidth="1"/>
    <col min="18" max="18" width="16.375" style="36" customWidth="1"/>
    <col min="19" max="41" width="12.625" style="36" customWidth="1"/>
    <col min="42" max="16384" width="12.625" style="36"/>
  </cols>
  <sheetData>
    <row r="1" spans="1:42" ht="12" customHeight="1"/>
    <row r="2" spans="1:42" ht="40.5" customHeight="1">
      <c r="A2" s="55" t="s">
        <v>0</v>
      </c>
      <c r="B2" s="7" t="s">
        <v>219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55" t="s">
        <v>2</v>
      </c>
      <c r="B4" s="3" t="s">
        <v>3</v>
      </c>
      <c r="C4" s="3" t="s">
        <v>193</v>
      </c>
      <c r="D4" s="3" t="s">
        <v>890</v>
      </c>
      <c r="E4" s="3" t="s">
        <v>891</v>
      </c>
      <c r="F4" s="3" t="s">
        <v>894</v>
      </c>
      <c r="G4" s="3" t="s">
        <v>895</v>
      </c>
      <c r="H4" s="3" t="s">
        <v>896</v>
      </c>
      <c r="I4" s="3" t="s">
        <v>888</v>
      </c>
      <c r="J4" s="3" t="s">
        <v>886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55" t="s">
        <v>1922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885</v>
      </c>
      <c r="G8" s="4" t="s">
        <v>885</v>
      </c>
      <c r="H8" s="4" t="s">
        <v>885</v>
      </c>
      <c r="I8" s="4" t="s">
        <v>885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55" t="s">
        <v>10</v>
      </c>
      <c r="B9" s="5" t="s">
        <v>11</v>
      </c>
      <c r="C9" s="6" t="s">
        <v>201</v>
      </c>
      <c r="D9" s="6" t="s">
        <v>892</v>
      </c>
      <c r="E9" s="6" t="s">
        <v>893</v>
      </c>
      <c r="F9" s="6" t="s">
        <v>897</v>
      </c>
      <c r="G9" s="6" t="s">
        <v>898</v>
      </c>
      <c r="H9" s="6" t="s">
        <v>899</v>
      </c>
      <c r="I9" s="5" t="s">
        <v>889</v>
      </c>
      <c r="J9" s="6" t="s">
        <v>887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55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1276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56" t="s">
        <v>107</v>
      </c>
      <c r="B11" s="5">
        <v>1</v>
      </c>
      <c r="C11" s="6" t="s">
        <v>900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56"/>
      <c r="B12" s="7">
        <v>2</v>
      </c>
      <c r="C12" s="7" t="s">
        <v>917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902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903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904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905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907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906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908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909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918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919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920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921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922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923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924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925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926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927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928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929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930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931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932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933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934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935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936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937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938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939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940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941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942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943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944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945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946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947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948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949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950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951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952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953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954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955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910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956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957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958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959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960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961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962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963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964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965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966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967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968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969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911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912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913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914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915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916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970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971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972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973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974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975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976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977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978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979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980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981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982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983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984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985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986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987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988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989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990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991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992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993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994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995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996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997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998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999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1000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1001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1002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1003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1004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1005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1006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1007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1008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1009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1010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1011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1012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1013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1014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1015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1016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1017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1018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1019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1020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1021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1022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1023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1024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1025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1026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1027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1028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1029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1030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1031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1032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1033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1034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1035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1036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1037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1038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1039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1040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1041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1042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1043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1044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1045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1046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1047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1048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1049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1050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1051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1052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1053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1054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1055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1056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1057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1058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1059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1060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1061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1062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1063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1064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1065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1066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1067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1068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1069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1070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1071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1072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1073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1074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1075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1076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1077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1078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1079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1080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1081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1082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1083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1084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1085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1086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1087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1088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1089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1090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1091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1092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1093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1094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1095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1096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1097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1098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1099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1100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1101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1102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1103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1104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1105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1106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1107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1108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1109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1110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1111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1112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1113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1114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1115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1116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1117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1118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1119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1120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1121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1122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1123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1124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1125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1126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1127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1128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1129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1130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1131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1132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1133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1134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1135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1136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1137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1138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1139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1140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1141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1142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1143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1144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1145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1146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1147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1148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1149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1150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1151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1152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1153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1154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1155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1156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1157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1158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1159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1160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1161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1162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1163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1164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1165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1166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1167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1168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1169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1170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1171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1172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1173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1174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1175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1176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1177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1178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1179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1180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1181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1182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1183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1184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1185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1186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1187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1188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1189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1190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1191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1192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1193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1194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1195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1196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1197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1198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1199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1200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1201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1202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901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1203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1204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1205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1206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1207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1208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1209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1210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1211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1212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1212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1212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1213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1213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1213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1214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1214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1214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1215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1215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1216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1216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1217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1217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1218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1218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1219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1219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1220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1220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1221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1221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1222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1222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1223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1223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1224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1224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1225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1225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1226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1226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1227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1227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1228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1228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1229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1229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1230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1230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1231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1231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1232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1232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1233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1233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1234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1234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1235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1235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1236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1236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1237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1237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1238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1239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1240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1241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1241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1242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1242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1243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1243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1244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1244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1245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1245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1246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1246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1247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1247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1248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1248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1249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1249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1250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1250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1251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1251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1252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1253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1252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1253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1254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1254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1255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1255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1256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1256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1257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1257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1258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1258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1259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1259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1260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1260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1261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1261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1262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1262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1263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1263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1264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1264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1265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1265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1266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1267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1268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1269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1270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1271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1272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1272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7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K9" sqref="K9"/>
    </sheetView>
  </sheetViews>
  <sheetFormatPr defaultColWidth="12.625" defaultRowHeight="15" customHeight="1"/>
  <cols>
    <col min="1" max="1" width="7.625" style="36" customWidth="1"/>
    <col min="2" max="3" width="17" style="36" customWidth="1"/>
    <col min="4" max="4" width="44.75" style="36" customWidth="1"/>
    <col min="5" max="5" width="19" style="36" customWidth="1"/>
    <col min="6" max="8" width="15.375" style="36" customWidth="1"/>
    <col min="9" max="12" width="18.625" style="36" customWidth="1"/>
    <col min="13" max="13" width="18.375" style="36" customWidth="1"/>
    <col min="14" max="14" width="18.625" style="36" customWidth="1"/>
    <col min="15" max="16" width="18.375" style="36" customWidth="1"/>
    <col min="17" max="17" width="18.625" style="36" customWidth="1"/>
    <col min="18" max="19" width="18.375" style="36" customWidth="1"/>
    <col min="20" max="20" width="18.625" style="36" customWidth="1"/>
    <col min="21" max="38" width="12.625" style="36" customWidth="1"/>
    <col min="39" max="16384" width="12.625" style="36"/>
  </cols>
  <sheetData>
    <row r="1" spans="1:44" ht="12" customHeight="1"/>
    <row r="2" spans="1:44" ht="40.5" customHeight="1">
      <c r="A2" s="55" t="s">
        <v>0</v>
      </c>
      <c r="B2" s="7" t="s">
        <v>226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55" t="s">
        <v>2</v>
      </c>
      <c r="B4" s="3" t="s">
        <v>3</v>
      </c>
      <c r="C4" s="3" t="s">
        <v>227</v>
      </c>
      <c r="D4" s="3" t="s">
        <v>15</v>
      </c>
      <c r="E4" s="3" t="s">
        <v>193</v>
      </c>
      <c r="F4" s="3" t="s">
        <v>1989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231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55" t="s">
        <v>4</v>
      </c>
      <c r="B5" s="3"/>
      <c r="C5" s="3"/>
      <c r="D5" s="3"/>
      <c r="E5" s="3"/>
      <c r="F5" s="39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55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220</v>
      </c>
      <c r="L6" s="3" t="s">
        <v>179</v>
      </c>
      <c r="M6" s="3" t="s">
        <v>180</v>
      </c>
      <c r="N6" s="3" t="s">
        <v>220</v>
      </c>
      <c r="O6" s="3" t="s">
        <v>179</v>
      </c>
      <c r="P6" s="3" t="s">
        <v>180</v>
      </c>
      <c r="Q6" s="3" t="s">
        <v>220</v>
      </c>
      <c r="R6" s="3" t="s">
        <v>179</v>
      </c>
      <c r="S6" s="3" t="s">
        <v>180</v>
      </c>
      <c r="T6" s="3" t="s">
        <v>220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55" t="s">
        <v>1922</v>
      </c>
      <c r="B7" s="3"/>
      <c r="C7" s="3"/>
      <c r="D7" s="3"/>
      <c r="E7" s="3"/>
      <c r="F7" s="39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55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55" t="s">
        <v>10</v>
      </c>
      <c r="B9" s="5" t="s">
        <v>11</v>
      </c>
      <c r="C9" s="5" t="s">
        <v>228</v>
      </c>
      <c r="D9" s="5" t="s">
        <v>230</v>
      </c>
      <c r="E9" s="5" t="s">
        <v>201</v>
      </c>
      <c r="F9" s="6" t="s">
        <v>1931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221</v>
      </c>
      <c r="L9" s="6" t="s">
        <v>182</v>
      </c>
      <c r="M9" s="6" t="s">
        <v>183</v>
      </c>
      <c r="N9" s="6" t="s">
        <v>221</v>
      </c>
      <c r="O9" s="6" t="s">
        <v>182</v>
      </c>
      <c r="P9" s="6" t="s">
        <v>183</v>
      </c>
      <c r="Q9" s="6" t="s">
        <v>221</v>
      </c>
      <c r="R9" s="6" t="s">
        <v>182</v>
      </c>
      <c r="S9" s="6" t="s">
        <v>183</v>
      </c>
      <c r="T9" s="6" t="s">
        <v>221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55" t="s">
        <v>12</v>
      </c>
      <c r="B10" s="18"/>
      <c r="C10" s="19" t="s">
        <v>229</v>
      </c>
      <c r="D10" s="19"/>
      <c r="E10" s="19"/>
      <c r="F10" s="6" t="s">
        <v>123</v>
      </c>
      <c r="G10" s="19"/>
      <c r="H10" s="19"/>
      <c r="I10" s="19" t="s">
        <v>232</v>
      </c>
      <c r="J10" s="19"/>
      <c r="K10" s="19"/>
      <c r="L10" s="19" t="s">
        <v>232</v>
      </c>
      <c r="M10" s="19"/>
      <c r="N10" s="19"/>
      <c r="O10" s="19" t="s">
        <v>232</v>
      </c>
      <c r="P10" s="18"/>
      <c r="Q10" s="19"/>
      <c r="R10" s="19" t="s">
        <v>232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56" t="s">
        <v>13</v>
      </c>
      <c r="B11" s="14">
        <v>100010001</v>
      </c>
      <c r="C11" s="14">
        <v>1</v>
      </c>
      <c r="D11" s="14" t="s">
        <v>233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234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238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239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240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241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34"/>
      <c r="M49" s="34"/>
      <c r="N49" s="14"/>
      <c r="O49" s="14"/>
      <c r="P49" s="14"/>
      <c r="Q49" s="14"/>
      <c r="R49" s="34"/>
      <c r="S49" s="34"/>
      <c r="T49" s="1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52"/>
      <c r="AF49" s="34"/>
      <c r="AG49" s="34"/>
      <c r="AH49" s="34"/>
      <c r="AI49" s="34"/>
      <c r="AJ49" s="34"/>
      <c r="AK49" s="34"/>
      <c r="AL49" s="34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34"/>
      <c r="M50" s="34"/>
      <c r="N50" s="14"/>
      <c r="O50" s="14"/>
      <c r="P50" s="14"/>
      <c r="Q50" s="14"/>
      <c r="R50" s="34"/>
      <c r="S50" s="34"/>
      <c r="T50" s="1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52"/>
      <c r="AF50" s="34"/>
      <c r="AG50" s="34"/>
      <c r="AH50" s="34"/>
      <c r="AI50" s="34"/>
      <c r="AJ50" s="34"/>
      <c r="AK50" s="34"/>
      <c r="AL50" s="34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34"/>
      <c r="M51" s="34"/>
      <c r="N51" s="14"/>
      <c r="O51" s="14"/>
      <c r="P51" s="14"/>
      <c r="Q51" s="14"/>
      <c r="R51" s="34"/>
      <c r="S51" s="34"/>
      <c r="T51" s="1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52"/>
      <c r="AF51" s="34"/>
      <c r="AG51" s="34"/>
      <c r="AH51" s="34"/>
      <c r="AI51" s="34"/>
      <c r="AJ51" s="34"/>
      <c r="AK51" s="34"/>
      <c r="AL51" s="34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34"/>
      <c r="M52" s="34"/>
      <c r="N52" s="14"/>
      <c r="O52" s="14"/>
      <c r="P52" s="14"/>
      <c r="Q52" s="14"/>
      <c r="R52" s="34"/>
      <c r="S52" s="34"/>
      <c r="T52" s="1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52"/>
      <c r="AF52" s="34"/>
      <c r="AG52" s="34"/>
      <c r="AH52" s="34"/>
      <c r="AI52" s="34"/>
      <c r="AJ52" s="34"/>
      <c r="AK52" s="34"/>
      <c r="AL52" s="34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34"/>
      <c r="M53" s="34"/>
      <c r="N53" s="14"/>
      <c r="O53" s="14"/>
      <c r="P53" s="14"/>
      <c r="Q53" s="14"/>
      <c r="R53" s="34"/>
      <c r="S53" s="34"/>
      <c r="T53" s="1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52"/>
      <c r="AF53" s="34"/>
      <c r="AG53" s="34"/>
      <c r="AH53" s="34"/>
      <c r="AI53" s="34"/>
      <c r="AJ53" s="34"/>
      <c r="AK53" s="34"/>
      <c r="AL53" s="34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34"/>
      <c r="M54" s="34"/>
      <c r="N54" s="14"/>
      <c r="O54" s="14"/>
      <c r="P54" s="14"/>
      <c r="Q54" s="14"/>
      <c r="R54" s="34"/>
      <c r="S54" s="34"/>
      <c r="T54" s="1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52"/>
      <c r="AF54" s="34"/>
      <c r="AG54" s="34"/>
      <c r="AH54" s="34"/>
      <c r="AI54" s="34"/>
      <c r="AJ54" s="34"/>
      <c r="AK54" s="34"/>
      <c r="AL54" s="34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34"/>
      <c r="M55" s="34"/>
      <c r="N55" s="14"/>
      <c r="O55" s="14"/>
      <c r="P55" s="14"/>
      <c r="Q55" s="14"/>
      <c r="R55" s="34"/>
      <c r="S55" s="34"/>
      <c r="T55" s="1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52"/>
      <c r="AF55" s="34"/>
      <c r="AG55" s="34"/>
      <c r="AH55" s="34"/>
      <c r="AI55" s="34"/>
      <c r="AJ55" s="34"/>
      <c r="AK55" s="34"/>
      <c r="AL55" s="34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34"/>
      <c r="M56" s="34"/>
      <c r="N56" s="14"/>
      <c r="O56" s="14"/>
      <c r="P56" s="14"/>
      <c r="Q56" s="14"/>
      <c r="R56" s="34"/>
      <c r="S56" s="34"/>
      <c r="T56" s="1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52"/>
      <c r="AF56" s="34"/>
      <c r="AG56" s="34"/>
      <c r="AH56" s="34"/>
      <c r="AI56" s="34"/>
      <c r="AJ56" s="34"/>
      <c r="AK56" s="34"/>
      <c r="AL56" s="34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34"/>
      <c r="M57" s="34"/>
      <c r="N57" s="14"/>
      <c r="O57" s="14"/>
      <c r="P57" s="14"/>
      <c r="Q57" s="14"/>
      <c r="R57" s="34"/>
      <c r="S57" s="34"/>
      <c r="T57" s="1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52"/>
      <c r="AF57" s="34"/>
      <c r="AG57" s="34"/>
      <c r="AH57" s="34"/>
      <c r="AI57" s="34"/>
      <c r="AJ57" s="34"/>
      <c r="AK57" s="34"/>
      <c r="AL57" s="34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34"/>
      <c r="M58" s="34"/>
      <c r="N58" s="21"/>
      <c r="O58" s="14"/>
      <c r="P58" s="21"/>
      <c r="Q58" s="21"/>
      <c r="R58" s="34"/>
      <c r="S58" s="34"/>
      <c r="T58" s="21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52"/>
      <c r="AF58" s="34"/>
      <c r="AG58" s="34"/>
      <c r="AH58" s="34"/>
      <c r="AI58" s="34"/>
      <c r="AJ58" s="34"/>
      <c r="AK58" s="34"/>
      <c r="AL58" s="34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34"/>
      <c r="M59" s="34"/>
      <c r="N59" s="14"/>
      <c r="O59" s="14"/>
      <c r="P59" s="14"/>
      <c r="Q59" s="14"/>
      <c r="R59" s="34"/>
      <c r="S59" s="34"/>
      <c r="T59" s="1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52"/>
      <c r="AF59" s="34"/>
      <c r="AG59" s="34"/>
      <c r="AH59" s="34"/>
      <c r="AI59" s="34"/>
      <c r="AJ59" s="34"/>
      <c r="AK59" s="34"/>
      <c r="AL59" s="34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34"/>
      <c r="M60" s="34"/>
      <c r="N60" s="14"/>
      <c r="O60" s="14"/>
      <c r="P60" s="14"/>
      <c r="Q60" s="14"/>
      <c r="R60" s="34"/>
      <c r="S60" s="34"/>
      <c r="T60" s="1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52"/>
      <c r="AF60" s="34"/>
      <c r="AG60" s="34"/>
      <c r="AH60" s="34"/>
      <c r="AI60" s="34"/>
      <c r="AJ60" s="34"/>
      <c r="AK60" s="34"/>
      <c r="AL60" s="34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34"/>
      <c r="M61" s="34"/>
      <c r="N61" s="21"/>
      <c r="O61" s="14"/>
      <c r="P61" s="21"/>
      <c r="Q61" s="21"/>
      <c r="R61" s="34"/>
      <c r="S61" s="34"/>
      <c r="T61" s="21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52"/>
      <c r="AF61" s="34"/>
      <c r="AG61" s="34"/>
      <c r="AH61" s="34"/>
      <c r="AI61" s="34"/>
      <c r="AJ61" s="34"/>
      <c r="AK61" s="34"/>
      <c r="AL61" s="34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34"/>
      <c r="M62" s="34"/>
      <c r="N62" s="14"/>
      <c r="O62" s="14"/>
      <c r="P62" s="14"/>
      <c r="Q62" s="14"/>
      <c r="R62" s="34"/>
      <c r="S62" s="34"/>
      <c r="T62" s="1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52"/>
      <c r="AF62" s="34"/>
      <c r="AG62" s="34"/>
      <c r="AH62" s="34"/>
      <c r="AI62" s="34"/>
      <c r="AJ62" s="34"/>
      <c r="AK62" s="34"/>
      <c r="AL62" s="34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34"/>
      <c r="M63" s="34"/>
      <c r="N63" s="14"/>
      <c r="O63" s="14"/>
      <c r="P63" s="14"/>
      <c r="Q63" s="14"/>
      <c r="R63" s="34"/>
      <c r="S63" s="34"/>
      <c r="T63" s="1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52"/>
      <c r="AF63" s="34"/>
      <c r="AG63" s="34"/>
      <c r="AH63" s="34"/>
      <c r="AI63" s="34"/>
      <c r="AJ63" s="34"/>
      <c r="AK63" s="34"/>
      <c r="AL63" s="34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34"/>
      <c r="M64" s="34"/>
      <c r="N64" s="21"/>
      <c r="O64" s="14"/>
      <c r="P64" s="21"/>
      <c r="Q64" s="21"/>
      <c r="R64" s="34"/>
      <c r="S64" s="34"/>
      <c r="T64" s="21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52"/>
      <c r="AF64" s="34"/>
      <c r="AG64" s="34"/>
      <c r="AH64" s="34"/>
      <c r="AI64" s="34"/>
      <c r="AJ64" s="34"/>
      <c r="AK64" s="34"/>
      <c r="AL64" s="34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34"/>
      <c r="M65" s="34"/>
      <c r="N65" s="14"/>
      <c r="O65" s="14"/>
      <c r="P65" s="14"/>
      <c r="Q65" s="14"/>
      <c r="R65" s="34"/>
      <c r="S65" s="34"/>
      <c r="T65" s="1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52"/>
      <c r="AF65" s="34"/>
      <c r="AG65" s="34"/>
      <c r="AH65" s="34"/>
      <c r="AI65" s="34"/>
      <c r="AJ65" s="34"/>
      <c r="AK65" s="34"/>
      <c r="AL65" s="34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34"/>
      <c r="M66" s="34"/>
      <c r="N66" s="14"/>
      <c r="O66" s="14"/>
      <c r="P66" s="14"/>
      <c r="Q66" s="14"/>
      <c r="R66" s="34"/>
      <c r="S66" s="34"/>
      <c r="T66" s="1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52"/>
      <c r="AF66" s="34"/>
      <c r="AG66" s="34"/>
      <c r="AH66" s="34"/>
      <c r="AI66" s="34"/>
      <c r="AJ66" s="34"/>
      <c r="AK66" s="34"/>
      <c r="AL66" s="34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34"/>
      <c r="M67" s="34"/>
      <c r="N67" s="21"/>
      <c r="O67" s="14"/>
      <c r="P67" s="21"/>
      <c r="Q67" s="21"/>
      <c r="R67" s="34"/>
      <c r="S67" s="34"/>
      <c r="T67" s="21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52"/>
      <c r="AF67" s="34"/>
      <c r="AG67" s="34"/>
      <c r="AH67" s="34"/>
      <c r="AI67" s="34"/>
      <c r="AJ67" s="34"/>
      <c r="AK67" s="34"/>
      <c r="AL67" s="34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34"/>
      <c r="M68" s="34"/>
      <c r="N68" s="14"/>
      <c r="O68" s="14"/>
      <c r="P68" s="14"/>
      <c r="Q68" s="14"/>
      <c r="R68" s="34"/>
      <c r="S68" s="34"/>
      <c r="T68" s="1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52"/>
      <c r="AF68" s="34"/>
      <c r="AG68" s="34"/>
      <c r="AH68" s="34"/>
      <c r="AI68" s="34"/>
      <c r="AJ68" s="34"/>
      <c r="AK68" s="34"/>
      <c r="AL68" s="34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34"/>
      <c r="M69" s="34"/>
      <c r="N69" s="14"/>
      <c r="O69" s="14"/>
      <c r="P69" s="14"/>
      <c r="Q69" s="14"/>
      <c r="R69" s="34"/>
      <c r="S69" s="34"/>
      <c r="T69" s="1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52"/>
      <c r="AF69" s="34"/>
      <c r="AG69" s="34"/>
      <c r="AH69" s="34"/>
      <c r="AI69" s="34"/>
      <c r="AJ69" s="34"/>
      <c r="AK69" s="34"/>
      <c r="AL69" s="34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34"/>
      <c r="M70" s="34"/>
      <c r="N70" s="21"/>
      <c r="O70" s="14"/>
      <c r="P70" s="21"/>
      <c r="Q70" s="21"/>
      <c r="R70" s="34"/>
      <c r="S70" s="34"/>
      <c r="T70" s="21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52"/>
      <c r="AF70" s="34"/>
      <c r="AG70" s="34"/>
      <c r="AH70" s="34"/>
      <c r="AI70" s="34"/>
      <c r="AJ70" s="34"/>
      <c r="AK70" s="34"/>
      <c r="AL70" s="34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34"/>
      <c r="M71" s="34"/>
      <c r="N71" s="14"/>
      <c r="O71" s="14"/>
      <c r="P71" s="14"/>
      <c r="Q71" s="14"/>
      <c r="R71" s="34"/>
      <c r="S71" s="34"/>
      <c r="T71" s="1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52"/>
      <c r="AF71" s="34"/>
      <c r="AG71" s="34"/>
      <c r="AH71" s="34"/>
      <c r="AI71" s="34"/>
      <c r="AJ71" s="34"/>
      <c r="AK71" s="34"/>
      <c r="AL71" s="34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34"/>
      <c r="M72" s="34"/>
      <c r="N72" s="14"/>
      <c r="O72" s="14"/>
      <c r="P72" s="14"/>
      <c r="Q72" s="14"/>
      <c r="R72" s="34"/>
      <c r="S72" s="34"/>
      <c r="T72" s="1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52"/>
      <c r="AF72" s="34"/>
      <c r="AG72" s="34"/>
      <c r="AH72" s="34"/>
      <c r="AI72" s="34"/>
      <c r="AJ72" s="34"/>
      <c r="AK72" s="34"/>
      <c r="AL72" s="34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34"/>
      <c r="M73" s="34"/>
      <c r="N73" s="14"/>
      <c r="O73" s="14"/>
      <c r="P73" s="14"/>
      <c r="Q73" s="14"/>
      <c r="R73" s="34"/>
      <c r="S73" s="34"/>
      <c r="T73" s="1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52"/>
      <c r="AF73" s="34"/>
      <c r="AG73" s="34"/>
      <c r="AH73" s="34"/>
      <c r="AI73" s="34"/>
      <c r="AJ73" s="34"/>
      <c r="AK73" s="34"/>
      <c r="AL73" s="34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34"/>
      <c r="M74" s="34"/>
      <c r="N74" s="14"/>
      <c r="O74" s="14"/>
      <c r="P74" s="14"/>
      <c r="Q74" s="14"/>
      <c r="R74" s="34"/>
      <c r="S74" s="34"/>
      <c r="T74" s="1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52"/>
      <c r="AF74" s="34"/>
      <c r="AG74" s="34"/>
      <c r="AH74" s="34"/>
      <c r="AI74" s="34"/>
      <c r="AJ74" s="34"/>
      <c r="AK74" s="34"/>
      <c r="AL74" s="34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34"/>
      <c r="M75" s="34"/>
      <c r="N75" s="14"/>
      <c r="O75" s="14"/>
      <c r="P75" s="14"/>
      <c r="Q75" s="14"/>
      <c r="R75" s="34"/>
      <c r="S75" s="34"/>
      <c r="T75" s="1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52"/>
      <c r="AF75" s="34"/>
      <c r="AG75" s="34"/>
      <c r="AH75" s="34"/>
      <c r="AI75" s="34"/>
      <c r="AJ75" s="34"/>
      <c r="AK75" s="34"/>
      <c r="AL75" s="34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34"/>
      <c r="M76" s="34"/>
      <c r="N76" s="14"/>
      <c r="O76" s="14"/>
      <c r="P76" s="14"/>
      <c r="Q76" s="14"/>
      <c r="R76" s="34"/>
      <c r="S76" s="34"/>
      <c r="T76" s="1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52"/>
      <c r="AF76" s="34"/>
      <c r="AG76" s="34"/>
      <c r="AH76" s="34"/>
      <c r="AI76" s="34"/>
      <c r="AJ76" s="34"/>
      <c r="AK76" s="34"/>
      <c r="AL76" s="34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34"/>
      <c r="M77" s="34"/>
      <c r="N77" s="14"/>
      <c r="O77" s="14"/>
      <c r="P77" s="14"/>
      <c r="Q77" s="14"/>
      <c r="R77" s="34"/>
      <c r="S77" s="34"/>
      <c r="T77" s="1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52"/>
      <c r="AF77" s="34"/>
      <c r="AG77" s="34"/>
      <c r="AH77" s="34"/>
      <c r="AI77" s="34"/>
      <c r="AJ77" s="34"/>
      <c r="AK77" s="34"/>
      <c r="AL77" s="34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34"/>
      <c r="M78" s="34"/>
      <c r="N78" s="14"/>
      <c r="O78" s="14"/>
      <c r="P78" s="14"/>
      <c r="Q78" s="14"/>
      <c r="R78" s="34"/>
      <c r="S78" s="34"/>
      <c r="T78" s="1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52"/>
      <c r="AF78" s="34"/>
      <c r="AG78" s="34"/>
      <c r="AH78" s="34"/>
      <c r="AI78" s="34"/>
      <c r="AJ78" s="34"/>
      <c r="AK78" s="34"/>
      <c r="AL78" s="34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34"/>
      <c r="M79" s="34"/>
      <c r="N79" s="14"/>
      <c r="O79" s="14"/>
      <c r="P79" s="14"/>
      <c r="Q79" s="14"/>
      <c r="R79" s="34"/>
      <c r="S79" s="34"/>
      <c r="T79" s="1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52"/>
      <c r="AF79" s="34"/>
      <c r="AG79" s="34"/>
      <c r="AH79" s="34"/>
      <c r="AI79" s="34"/>
      <c r="AJ79" s="34"/>
      <c r="AK79" s="34"/>
      <c r="AL79" s="34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34"/>
      <c r="M80" s="34"/>
      <c r="N80" s="14"/>
      <c r="O80" s="14"/>
      <c r="P80" s="14"/>
      <c r="Q80" s="14"/>
      <c r="R80" s="34"/>
      <c r="S80" s="34"/>
      <c r="T80" s="1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52"/>
      <c r="AF80" s="34"/>
      <c r="AG80" s="34"/>
      <c r="AH80" s="34"/>
      <c r="AI80" s="34"/>
      <c r="AJ80" s="34"/>
      <c r="AK80" s="34"/>
      <c r="AL80" s="34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34"/>
      <c r="M81" s="34"/>
      <c r="N81" s="14"/>
      <c r="O81" s="14"/>
      <c r="P81" s="14"/>
      <c r="Q81" s="14"/>
      <c r="R81" s="34"/>
      <c r="S81" s="34"/>
      <c r="T81" s="1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52"/>
      <c r="AF81" s="34"/>
      <c r="AG81" s="34"/>
      <c r="AH81" s="34"/>
      <c r="AI81" s="34"/>
      <c r="AJ81" s="34"/>
      <c r="AK81" s="34"/>
      <c r="AL81" s="34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34"/>
      <c r="M82" s="34"/>
      <c r="N82" s="14"/>
      <c r="O82" s="14"/>
      <c r="P82" s="14"/>
      <c r="Q82" s="14"/>
      <c r="R82" s="34"/>
      <c r="S82" s="34"/>
      <c r="T82" s="1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52"/>
      <c r="AF82" s="34"/>
      <c r="AG82" s="34"/>
      <c r="AH82" s="34"/>
      <c r="AI82" s="34"/>
      <c r="AJ82" s="34"/>
      <c r="AK82" s="34"/>
      <c r="AL82" s="34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34"/>
      <c r="M83" s="34"/>
      <c r="N83" s="14"/>
      <c r="O83" s="14"/>
      <c r="P83" s="14"/>
      <c r="Q83" s="14"/>
      <c r="R83" s="34"/>
      <c r="S83" s="34"/>
      <c r="T83" s="1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52"/>
      <c r="AF83" s="34"/>
      <c r="AG83" s="34"/>
      <c r="AH83" s="34"/>
      <c r="AI83" s="34"/>
      <c r="AJ83" s="34"/>
      <c r="AK83" s="34"/>
      <c r="AL83" s="34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34"/>
      <c r="M84" s="34"/>
      <c r="N84" s="14"/>
      <c r="O84" s="14"/>
      <c r="P84" s="14"/>
      <c r="Q84" s="14"/>
      <c r="R84" s="34"/>
      <c r="S84" s="34"/>
      <c r="T84" s="1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52"/>
      <c r="AF84" s="34"/>
      <c r="AG84" s="34"/>
      <c r="AH84" s="34"/>
      <c r="AI84" s="34"/>
      <c r="AJ84" s="34"/>
      <c r="AK84" s="34"/>
      <c r="AL84" s="34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34"/>
      <c r="N85" s="23"/>
      <c r="O85" s="14"/>
      <c r="P85" s="14"/>
      <c r="Q85" s="14"/>
      <c r="R85" s="34"/>
      <c r="S85" s="34"/>
      <c r="T85" s="1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52"/>
      <c r="AF85" s="34"/>
      <c r="AG85" s="34"/>
      <c r="AH85" s="34"/>
      <c r="AI85" s="34"/>
      <c r="AJ85" s="34"/>
      <c r="AK85" s="34"/>
      <c r="AL85" s="34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34"/>
      <c r="N86" s="23"/>
      <c r="O86" s="14"/>
      <c r="P86" s="14"/>
      <c r="Q86" s="14"/>
      <c r="R86" s="34"/>
      <c r="S86" s="34"/>
      <c r="T86" s="1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52"/>
      <c r="AF86" s="34"/>
      <c r="AG86" s="34"/>
      <c r="AH86" s="34"/>
      <c r="AI86" s="34"/>
      <c r="AJ86" s="34"/>
      <c r="AK86" s="34"/>
      <c r="AL86" s="34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34"/>
      <c r="N87" s="23"/>
      <c r="O87" s="14"/>
      <c r="P87" s="14"/>
      <c r="Q87" s="14"/>
      <c r="R87" s="34"/>
      <c r="S87" s="34"/>
      <c r="T87" s="1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52"/>
      <c r="AF87" s="34"/>
      <c r="AG87" s="34"/>
      <c r="AH87" s="34"/>
      <c r="AI87" s="34"/>
      <c r="AJ87" s="34"/>
      <c r="AK87" s="34"/>
      <c r="AL87" s="34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34"/>
      <c r="N88" s="23"/>
      <c r="O88" s="14"/>
      <c r="P88" s="14"/>
      <c r="Q88" s="14"/>
      <c r="R88" s="34"/>
      <c r="S88" s="34"/>
      <c r="T88" s="1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52"/>
      <c r="AF88" s="34"/>
      <c r="AG88" s="34"/>
      <c r="AH88" s="34"/>
      <c r="AI88" s="34"/>
      <c r="AJ88" s="34"/>
      <c r="AK88" s="34"/>
      <c r="AL88" s="34"/>
    </row>
    <row r="89" spans="2:38" ht="18.75" customHeight="1">
      <c r="B89" s="14"/>
      <c r="C89" s="14"/>
      <c r="D89" s="14"/>
      <c r="E89" s="14"/>
      <c r="F89" s="14"/>
      <c r="G89" s="14"/>
      <c r="H89" s="14"/>
      <c r="I89" s="24"/>
      <c r="J89" s="34"/>
      <c r="K89" s="23"/>
      <c r="L89" s="24"/>
      <c r="M89" s="34"/>
      <c r="N89" s="23"/>
      <c r="O89" s="14"/>
      <c r="P89" s="1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5"/>
    </row>
    <row r="90" spans="2:38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5"/>
    </row>
    <row r="91" spans="2:38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5"/>
    </row>
    <row r="92" spans="2:38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5"/>
    </row>
    <row r="93" spans="2:38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5"/>
    </row>
    <row r="94" spans="2:38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5"/>
    </row>
    <row r="95" spans="2:38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5"/>
    </row>
    <row r="96" spans="2:38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5"/>
    </row>
    <row r="97" spans="2:31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5"/>
    </row>
    <row r="98" spans="2:31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5"/>
    </row>
    <row r="99" spans="2:31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5"/>
    </row>
    <row r="100" spans="2:31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5"/>
    </row>
    <row r="101" spans="2:31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5"/>
    </row>
    <row r="102" spans="2:31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5"/>
    </row>
    <row r="103" spans="2:31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5"/>
    </row>
    <row r="104" spans="2:31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5"/>
    </row>
    <row r="105" spans="2:31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5"/>
    </row>
    <row r="106" spans="2:31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5"/>
    </row>
    <row r="107" spans="2:31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5"/>
    </row>
    <row r="108" spans="2:31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5"/>
    </row>
    <row r="109" spans="2:31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5"/>
    </row>
    <row r="110" spans="2:31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5"/>
    </row>
    <row r="111" spans="2:31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5"/>
    </row>
    <row r="112" spans="2:31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5"/>
    </row>
    <row r="113" spans="2:31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5"/>
    </row>
    <row r="114" spans="2:31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5"/>
    </row>
    <row r="115" spans="2:31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5"/>
    </row>
    <row r="116" spans="2:31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5"/>
    </row>
    <row r="117" spans="2:31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5"/>
    </row>
    <row r="118" spans="2:31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5"/>
    </row>
    <row r="119" spans="2:31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5"/>
    </row>
    <row r="120" spans="2:31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5"/>
    </row>
    <row r="121" spans="2:31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5"/>
    </row>
    <row r="122" spans="2:31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5"/>
    </row>
    <row r="123" spans="2:31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5"/>
    </row>
    <row r="124" spans="2:31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5"/>
    </row>
    <row r="125" spans="2:31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5"/>
    </row>
    <row r="126" spans="2:31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5"/>
    </row>
    <row r="127" spans="2:31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5"/>
    </row>
    <row r="128" spans="2:31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5"/>
    </row>
    <row r="129" spans="2:31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5"/>
    </row>
    <row r="130" spans="2:31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5"/>
    </row>
    <row r="131" spans="2:31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5"/>
    </row>
    <row r="132" spans="2:31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5"/>
    </row>
    <row r="133" spans="2:31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5"/>
    </row>
    <row r="134" spans="2:31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5"/>
    </row>
    <row r="135" spans="2:31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5"/>
    </row>
    <row r="136" spans="2:31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5"/>
    </row>
    <row r="137" spans="2:31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5"/>
    </row>
    <row r="138" spans="2:31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5"/>
    </row>
    <row r="139" spans="2:31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5"/>
    </row>
    <row r="140" spans="2:31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5"/>
    </row>
    <row r="141" spans="2:31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5"/>
    </row>
    <row r="142" spans="2:31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5"/>
    </row>
    <row r="143" spans="2:31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5"/>
    </row>
    <row r="144" spans="2:31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5"/>
    </row>
    <row r="145" spans="2:31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5"/>
    </row>
    <row r="146" spans="2:31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5"/>
    </row>
    <row r="147" spans="2:31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5"/>
    </row>
    <row r="148" spans="2:31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5"/>
    </row>
    <row r="149" spans="2:31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5"/>
    </row>
    <row r="150" spans="2:31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5"/>
    </row>
    <row r="151" spans="2:31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5"/>
    </row>
    <row r="152" spans="2:31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5"/>
    </row>
    <row r="153" spans="2:31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5"/>
    </row>
    <row r="154" spans="2:31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5"/>
    </row>
    <row r="155" spans="2:31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5"/>
    </row>
    <row r="156" spans="2:31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5"/>
    </row>
    <row r="157" spans="2:31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5"/>
    </row>
    <row r="158" spans="2:31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5"/>
    </row>
    <row r="159" spans="2:31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5"/>
    </row>
    <row r="160" spans="2:31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5"/>
    </row>
    <row r="161" spans="2:31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5"/>
    </row>
    <row r="162" spans="2:31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5"/>
    </row>
    <row r="163" spans="2:31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5"/>
    </row>
    <row r="164" spans="2:31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5"/>
    </row>
    <row r="165" spans="2:31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5"/>
    </row>
    <row r="166" spans="2:31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5"/>
    </row>
    <row r="167" spans="2:31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5"/>
    </row>
    <row r="168" spans="2:31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5"/>
    </row>
    <row r="169" spans="2:31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5"/>
    </row>
    <row r="170" spans="2:31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5"/>
    </row>
    <row r="171" spans="2:31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5"/>
    </row>
    <row r="172" spans="2:31" ht="18.75" customHeight="1"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5"/>
    </row>
    <row r="173" spans="2:31" ht="18.75" customHeight="1">
      <c r="B173" s="34"/>
      <c r="C173" s="34"/>
      <c r="D173" s="34"/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5"/>
    </row>
    <row r="174" spans="2:31" ht="18.75" customHeight="1">
      <c r="B174" s="34"/>
      <c r="C174" s="34"/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5"/>
    </row>
    <row r="175" spans="2:31" ht="18.75" customHeight="1">
      <c r="B175" s="34"/>
      <c r="C175" s="34"/>
      <c r="D175" s="34"/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5"/>
    </row>
    <row r="176" spans="2:31" ht="18.75" customHeight="1">
      <c r="B176" s="34"/>
      <c r="C176" s="34"/>
      <c r="D176" s="34"/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6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E8" sqref="E8:G9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4" width="46.625" style="36" customWidth="1"/>
    <col min="5" max="19" width="10" style="36" customWidth="1"/>
    <col min="20" max="39" width="12.625" style="36" customWidth="1"/>
    <col min="40" max="16384" width="12.625" style="36"/>
  </cols>
  <sheetData>
    <row r="1" spans="1:42" ht="12" customHeight="1"/>
    <row r="2" spans="1:42" ht="40.5" customHeight="1">
      <c r="A2" s="55" t="s">
        <v>0</v>
      </c>
      <c r="B2" s="7" t="s">
        <v>250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254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55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55" t="s">
        <v>1922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255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55" t="s">
        <v>10</v>
      </c>
      <c r="B9" s="5" t="s">
        <v>11</v>
      </c>
      <c r="C9" s="5" t="s">
        <v>33</v>
      </c>
      <c r="D9" s="5" t="s">
        <v>256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55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56" t="s">
        <v>107</v>
      </c>
      <c r="B11" s="5">
        <v>100010001</v>
      </c>
      <c r="C11" s="6" t="s">
        <v>251</v>
      </c>
      <c r="D11" s="6" t="s">
        <v>257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56"/>
      <c r="B12" s="5">
        <v>100010002</v>
      </c>
      <c r="C12" s="6" t="s">
        <v>252</v>
      </c>
      <c r="D12" s="6" t="s">
        <v>258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7">
        <v>200010001</v>
      </c>
      <c r="C13" s="48" t="s">
        <v>253</v>
      </c>
      <c r="D13" s="48" t="s">
        <v>259</v>
      </c>
      <c r="E13" s="48">
        <v>1</v>
      </c>
      <c r="F13" s="48">
        <v>1</v>
      </c>
      <c r="G13" s="48">
        <v>50</v>
      </c>
      <c r="H13" s="48">
        <v>2</v>
      </c>
      <c r="I13" s="48">
        <v>5</v>
      </c>
      <c r="J13" s="49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261</v>
      </c>
      <c r="D14" s="6" t="s">
        <v>267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266</v>
      </c>
      <c r="D15" s="6" t="s">
        <v>268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5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D11" activePane="bottomRight" state="frozen"/>
      <selection activeCell="B4" sqref="B4"/>
      <selection pane="topRight" activeCell="D4" sqref="D4"/>
      <selection pane="bottomLeft" activeCell="B11" sqref="B11"/>
      <selection pane="bottomRight" activeCell="G5" sqref="G5:I1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8.25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13" width="12.375" style="36" customWidth="1"/>
    <col min="14" max="102" width="12.625" style="36" customWidth="1"/>
    <col min="103" max="16384" width="12.625" style="36"/>
  </cols>
  <sheetData>
    <row r="1" spans="1:114" ht="12" customHeight="1"/>
    <row r="2" spans="1:114" ht="40.5" customHeight="1">
      <c r="A2" s="55" t="s">
        <v>0</v>
      </c>
      <c r="B2" s="7" t="s">
        <v>260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55" t="s">
        <v>2</v>
      </c>
      <c r="B4" s="3" t="s">
        <v>3</v>
      </c>
      <c r="C4" s="3" t="s">
        <v>262</v>
      </c>
      <c r="D4" s="3" t="s">
        <v>254</v>
      </c>
      <c r="E4" s="3" t="s">
        <v>1983</v>
      </c>
      <c r="F4" s="3" t="s">
        <v>1986</v>
      </c>
      <c r="G4" s="3" t="s">
        <v>265</v>
      </c>
      <c r="H4" s="3"/>
      <c r="I4" s="3"/>
      <c r="J4" s="3"/>
      <c r="K4" s="3"/>
      <c r="L4" s="3"/>
      <c r="M4" s="3" t="s">
        <v>1978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55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220</v>
      </c>
      <c r="J6" s="3" t="s">
        <v>179</v>
      </c>
      <c r="K6" s="3" t="s">
        <v>180</v>
      </c>
      <c r="L6" s="3" t="s">
        <v>220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55" t="s">
        <v>1922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55" t="s">
        <v>6</v>
      </c>
      <c r="B8" s="4" t="s">
        <v>7</v>
      </c>
      <c r="C8" s="4" t="s">
        <v>255</v>
      </c>
      <c r="D8" s="4" t="s">
        <v>255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55" t="s">
        <v>10</v>
      </c>
      <c r="B9" s="5" t="s">
        <v>11</v>
      </c>
      <c r="C9" s="5" t="s">
        <v>263</v>
      </c>
      <c r="D9" s="5" t="s">
        <v>264</v>
      </c>
      <c r="E9" s="5" t="s">
        <v>1984</v>
      </c>
      <c r="F9" s="5" t="s">
        <v>1987</v>
      </c>
      <c r="G9" s="6" t="s">
        <v>182</v>
      </c>
      <c r="H9" s="6" t="s">
        <v>183</v>
      </c>
      <c r="I9" s="6" t="s">
        <v>221</v>
      </c>
      <c r="J9" s="6" t="s">
        <v>182</v>
      </c>
      <c r="K9" s="6" t="s">
        <v>183</v>
      </c>
      <c r="L9" s="6" t="s">
        <v>221</v>
      </c>
      <c r="M9" s="6" t="s">
        <v>1931</v>
      </c>
      <c r="N9" s="6" t="s">
        <v>118</v>
      </c>
      <c r="O9" s="5" t="s">
        <v>32</v>
      </c>
      <c r="P9" s="6" t="s">
        <v>1931</v>
      </c>
      <c r="Q9" s="6" t="s">
        <v>118</v>
      </c>
      <c r="R9" s="5" t="s">
        <v>32</v>
      </c>
      <c r="S9" s="6" t="s">
        <v>1931</v>
      </c>
      <c r="T9" s="6" t="s">
        <v>118</v>
      </c>
      <c r="U9" s="5" t="s">
        <v>32</v>
      </c>
      <c r="V9" s="6" t="s">
        <v>1931</v>
      </c>
      <c r="W9" s="6" t="s">
        <v>118</v>
      </c>
      <c r="X9" s="5" t="s">
        <v>32</v>
      </c>
      <c r="Y9" s="6" t="s">
        <v>1931</v>
      </c>
      <c r="Z9" s="6" t="s">
        <v>118</v>
      </c>
      <c r="AA9" s="5" t="s">
        <v>32</v>
      </c>
      <c r="AB9" s="6" t="s">
        <v>1931</v>
      </c>
      <c r="AC9" s="6" t="s">
        <v>118</v>
      </c>
      <c r="AD9" s="5" t="s">
        <v>32</v>
      </c>
      <c r="AE9" s="6" t="s">
        <v>1931</v>
      </c>
      <c r="AF9" s="6" t="s">
        <v>118</v>
      </c>
      <c r="AG9" s="5" t="s">
        <v>32</v>
      </c>
      <c r="AH9" s="6" t="s">
        <v>1931</v>
      </c>
      <c r="AI9" s="6" t="s">
        <v>118</v>
      </c>
      <c r="AJ9" s="5" t="s">
        <v>32</v>
      </c>
      <c r="AK9" s="6" t="s">
        <v>1931</v>
      </c>
      <c r="AL9" s="6" t="s">
        <v>118</v>
      </c>
      <c r="AM9" s="5" t="s">
        <v>32</v>
      </c>
      <c r="AN9" s="6" t="s">
        <v>1931</v>
      </c>
      <c r="AO9" s="6" t="s">
        <v>118</v>
      </c>
      <c r="AP9" s="5" t="s">
        <v>32</v>
      </c>
      <c r="AQ9" s="6" t="s">
        <v>1931</v>
      </c>
      <c r="AR9" s="6" t="s">
        <v>118</v>
      </c>
      <c r="AS9" s="5" t="s">
        <v>32</v>
      </c>
      <c r="AT9" s="6" t="s">
        <v>1931</v>
      </c>
      <c r="AU9" s="6" t="s">
        <v>118</v>
      </c>
      <c r="AV9" s="5" t="s">
        <v>32</v>
      </c>
      <c r="AW9" s="6" t="s">
        <v>1931</v>
      </c>
      <c r="AX9" s="6" t="s">
        <v>118</v>
      </c>
      <c r="AY9" s="5" t="s">
        <v>32</v>
      </c>
      <c r="AZ9" s="6" t="s">
        <v>1931</v>
      </c>
      <c r="BA9" s="6" t="s">
        <v>118</v>
      </c>
      <c r="BB9" s="5" t="s">
        <v>32</v>
      </c>
      <c r="BC9" s="6" t="s">
        <v>1931</v>
      </c>
      <c r="BD9" s="6" t="s">
        <v>118</v>
      </c>
      <c r="BE9" s="5" t="s">
        <v>32</v>
      </c>
      <c r="BF9" s="6" t="s">
        <v>1931</v>
      </c>
      <c r="BG9" s="6" t="s">
        <v>118</v>
      </c>
      <c r="BH9" s="5" t="s">
        <v>32</v>
      </c>
      <c r="BI9" s="6" t="s">
        <v>1931</v>
      </c>
      <c r="BJ9" s="6" t="s">
        <v>118</v>
      </c>
      <c r="BK9" s="5" t="s">
        <v>32</v>
      </c>
      <c r="BL9" s="6" t="s">
        <v>1931</v>
      </c>
      <c r="BM9" s="6" t="s">
        <v>118</v>
      </c>
      <c r="BN9" s="5" t="s">
        <v>32</v>
      </c>
      <c r="BO9" s="6" t="s">
        <v>1931</v>
      </c>
      <c r="BP9" s="6" t="s">
        <v>118</v>
      </c>
      <c r="BQ9" s="5" t="s">
        <v>32</v>
      </c>
      <c r="BR9" s="6" t="s">
        <v>1931</v>
      </c>
      <c r="BS9" s="6" t="s">
        <v>118</v>
      </c>
      <c r="BT9" s="5" t="s">
        <v>32</v>
      </c>
      <c r="BU9" s="6" t="s">
        <v>1931</v>
      </c>
      <c r="BV9" s="6" t="s">
        <v>118</v>
      </c>
      <c r="BW9" s="5" t="s">
        <v>32</v>
      </c>
      <c r="BX9" s="6" t="s">
        <v>1931</v>
      </c>
      <c r="BY9" s="6" t="s">
        <v>118</v>
      </c>
      <c r="BZ9" s="5" t="s">
        <v>32</v>
      </c>
      <c r="CA9" s="6" t="s">
        <v>1931</v>
      </c>
      <c r="CB9" s="6" t="s">
        <v>118</v>
      </c>
      <c r="CC9" s="5" t="s">
        <v>32</v>
      </c>
      <c r="CD9" s="6" t="s">
        <v>1931</v>
      </c>
      <c r="CE9" s="6" t="s">
        <v>118</v>
      </c>
      <c r="CF9" s="5" t="s">
        <v>32</v>
      </c>
      <c r="CG9" s="6" t="s">
        <v>1931</v>
      </c>
      <c r="CH9" s="6" t="s">
        <v>118</v>
      </c>
      <c r="CI9" s="5" t="s">
        <v>32</v>
      </c>
      <c r="CJ9" s="6" t="s">
        <v>1931</v>
      </c>
      <c r="CK9" s="6" t="s">
        <v>118</v>
      </c>
      <c r="CL9" s="5" t="s">
        <v>32</v>
      </c>
      <c r="CM9" s="6" t="s">
        <v>1931</v>
      </c>
      <c r="CN9" s="6" t="s">
        <v>118</v>
      </c>
      <c r="CO9" s="5" t="s">
        <v>32</v>
      </c>
      <c r="CP9" s="6" t="s">
        <v>1931</v>
      </c>
      <c r="CQ9" s="6" t="s">
        <v>118</v>
      </c>
      <c r="CR9" s="5" t="s">
        <v>32</v>
      </c>
      <c r="CS9" s="6" t="s">
        <v>1931</v>
      </c>
      <c r="CT9" s="6" t="s">
        <v>118</v>
      </c>
      <c r="CU9" s="5" t="s">
        <v>32</v>
      </c>
      <c r="CV9" s="6" t="s">
        <v>1931</v>
      </c>
      <c r="CW9" s="6" t="s">
        <v>118</v>
      </c>
      <c r="CX9" s="5" t="s">
        <v>32</v>
      </c>
    </row>
    <row r="10" spans="1:114" ht="191.25" customHeight="1">
      <c r="A10" s="55" t="s">
        <v>12</v>
      </c>
      <c r="B10" s="18"/>
      <c r="C10" s="18"/>
      <c r="D10" s="18"/>
      <c r="E10" s="19" t="s">
        <v>1985</v>
      </c>
      <c r="F10" s="19"/>
      <c r="G10" s="19" t="s">
        <v>232</v>
      </c>
      <c r="H10" s="19"/>
      <c r="I10" s="19"/>
      <c r="J10" s="19" t="s">
        <v>232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56" t="s">
        <v>13</v>
      </c>
      <c r="B11" s="14">
        <v>1001</v>
      </c>
      <c r="C11" s="14" t="s">
        <v>261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56"/>
      <c r="B12" s="14">
        <v>1002</v>
      </c>
      <c r="C12" s="14" t="s">
        <v>1982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1977</v>
      </c>
      <c r="D13" s="14"/>
      <c r="E13" s="14">
        <v>0</v>
      </c>
      <c r="F13" s="14">
        <v>0</v>
      </c>
      <c r="G13" s="14">
        <v>3</v>
      </c>
      <c r="H13" s="14"/>
      <c r="I13" s="23" t="s">
        <v>1979</v>
      </c>
      <c r="J13" s="14">
        <v>4</v>
      </c>
      <c r="K13" s="14"/>
      <c r="L13" s="23" t="s">
        <v>1980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54</v>
      </c>
      <c r="CX13" s="7">
        <v>1</v>
      </c>
    </row>
    <row r="14" spans="1:114" ht="18.75" customHeight="1">
      <c r="A14" s="8"/>
      <c r="B14" s="14">
        <v>2002</v>
      </c>
      <c r="C14" s="14" t="s">
        <v>1981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34"/>
      <c r="K53" s="34"/>
      <c r="L53" s="1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34"/>
      <c r="K54" s="34"/>
      <c r="L54" s="21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34"/>
      <c r="K56" s="34"/>
      <c r="L56" s="1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34"/>
      <c r="K57" s="34"/>
      <c r="L57" s="21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34"/>
      <c r="K59" s="34"/>
      <c r="L59" s="1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34"/>
      <c r="K60" s="34"/>
      <c r="L60" s="21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34"/>
      <c r="K62" s="34"/>
      <c r="L62" s="1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34"/>
      <c r="K63" s="34"/>
      <c r="L63" s="21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34"/>
      <c r="K65" s="34"/>
      <c r="L65" s="1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34"/>
      <c r="K66" s="34"/>
      <c r="L66" s="21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34"/>
      <c r="K80" s="34"/>
      <c r="L80" s="1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52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</row>
    <row r="85" spans="2:102" ht="18.75" customHeight="1">
      <c r="B85" s="14"/>
      <c r="C85" s="14"/>
      <c r="D85" s="14"/>
      <c r="E85" s="14"/>
      <c r="F85" s="14"/>
      <c r="G85" s="24"/>
      <c r="H85" s="34"/>
      <c r="I85" s="23"/>
      <c r="J85" s="24"/>
      <c r="K85" s="34"/>
      <c r="L85" s="23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102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102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102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102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102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102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102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102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102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102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102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5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4" priority="30">
      <formula>CELL("ROW")=ROW()</formula>
    </cfRule>
  </conditionalFormatting>
  <conditionalFormatting sqref="P7:R7">
    <cfRule type="expression" dxfId="33" priority="29">
      <formula>CELL("ROW")=ROW()</formula>
    </cfRule>
  </conditionalFormatting>
  <conditionalFormatting sqref="S7:U7">
    <cfRule type="expression" dxfId="32" priority="28">
      <formula>CELL("ROW")=ROW()</formula>
    </cfRule>
  </conditionalFormatting>
  <conditionalFormatting sqref="V7:X7">
    <cfRule type="expression" dxfId="31" priority="27">
      <formula>CELL("ROW")=ROW()</formula>
    </cfRule>
  </conditionalFormatting>
  <conditionalFormatting sqref="Y7:AA7">
    <cfRule type="expression" dxfId="30" priority="26">
      <formula>CELL("ROW")=ROW()</formula>
    </cfRule>
  </conditionalFormatting>
  <conditionalFormatting sqref="AB7:AD7">
    <cfRule type="expression" dxfId="29" priority="25">
      <formula>CELL("ROW")=ROW()</formula>
    </cfRule>
  </conditionalFormatting>
  <conditionalFormatting sqref="AE7:AG7">
    <cfRule type="expression" dxfId="28" priority="24">
      <formula>CELL("ROW")=ROW()</formula>
    </cfRule>
  </conditionalFormatting>
  <conditionalFormatting sqref="AH7:AJ7">
    <cfRule type="expression" dxfId="27" priority="23">
      <formula>CELL("ROW")=ROW()</formula>
    </cfRule>
  </conditionalFormatting>
  <conditionalFormatting sqref="AK7:AM7">
    <cfRule type="expression" dxfId="26" priority="22">
      <formula>CELL("ROW")=ROW()</formula>
    </cfRule>
  </conditionalFormatting>
  <conditionalFormatting sqref="AN7:AP7">
    <cfRule type="expression" dxfId="25" priority="21">
      <formula>CELL("ROW")=ROW()</formula>
    </cfRule>
  </conditionalFormatting>
  <conditionalFormatting sqref="AQ7:AS7">
    <cfRule type="expression" dxfId="24" priority="20">
      <formula>CELL("ROW")=ROW()</formula>
    </cfRule>
  </conditionalFormatting>
  <conditionalFormatting sqref="AT7:AV7">
    <cfRule type="expression" dxfId="23" priority="19">
      <formula>CELL("ROW")=ROW()</formula>
    </cfRule>
  </conditionalFormatting>
  <conditionalFormatting sqref="AW7:AY7">
    <cfRule type="expression" dxfId="22" priority="18">
      <formula>CELL("ROW")=ROW()</formula>
    </cfRule>
  </conditionalFormatting>
  <conditionalFormatting sqref="AZ7:BB7">
    <cfRule type="expression" dxfId="21" priority="17">
      <formula>CELL("ROW")=ROW()</formula>
    </cfRule>
  </conditionalFormatting>
  <conditionalFormatting sqref="BC7:BE7">
    <cfRule type="expression" dxfId="20" priority="16">
      <formula>CELL("ROW")=ROW()</formula>
    </cfRule>
  </conditionalFormatting>
  <conditionalFormatting sqref="BF7:BH7">
    <cfRule type="expression" dxfId="19" priority="15">
      <formula>CELL("ROW")=ROW()</formula>
    </cfRule>
  </conditionalFormatting>
  <conditionalFormatting sqref="BI7:BK7">
    <cfRule type="expression" dxfId="18" priority="14">
      <formula>CELL("ROW")=ROW()</formula>
    </cfRule>
  </conditionalFormatting>
  <conditionalFormatting sqref="BL7:BN7">
    <cfRule type="expression" dxfId="17" priority="13">
      <formula>CELL("ROW")=ROW()</formula>
    </cfRule>
  </conditionalFormatting>
  <conditionalFormatting sqref="BO7:BQ7">
    <cfRule type="expression" dxfId="16" priority="12">
      <formula>CELL("ROW")=ROW()</formula>
    </cfRule>
  </conditionalFormatting>
  <conditionalFormatting sqref="BR7:BT7">
    <cfRule type="expression" dxfId="15" priority="11">
      <formula>CELL("ROW")=ROW()</formula>
    </cfRule>
  </conditionalFormatting>
  <conditionalFormatting sqref="BU7:BW7">
    <cfRule type="expression" dxfId="14" priority="10">
      <formula>CELL("ROW")=ROW()</formula>
    </cfRule>
  </conditionalFormatting>
  <conditionalFormatting sqref="BX7:BZ7">
    <cfRule type="expression" dxfId="13" priority="9">
      <formula>CELL("ROW")=ROW()</formula>
    </cfRule>
  </conditionalFormatting>
  <conditionalFormatting sqref="CA7:CC7">
    <cfRule type="expression" dxfId="12" priority="8">
      <formula>CELL("ROW")=ROW()</formula>
    </cfRule>
  </conditionalFormatting>
  <conditionalFormatting sqref="CD7:CF7">
    <cfRule type="expression" dxfId="11" priority="7">
      <formula>CELL("ROW")=ROW()</formula>
    </cfRule>
  </conditionalFormatting>
  <conditionalFormatting sqref="CG7:CI7">
    <cfRule type="expression" dxfId="10" priority="6">
      <formula>CELL("ROW")=ROW()</formula>
    </cfRule>
  </conditionalFormatting>
  <conditionalFormatting sqref="CJ7:CL7">
    <cfRule type="expression" dxfId="9" priority="5">
      <formula>CELL("ROW")=ROW()</formula>
    </cfRule>
  </conditionalFormatting>
  <conditionalFormatting sqref="CM7:CO7">
    <cfRule type="expression" dxfId="8" priority="4">
      <formula>CELL("ROW")=ROW()</formula>
    </cfRule>
  </conditionalFormatting>
  <conditionalFormatting sqref="CP7:CR7">
    <cfRule type="expression" dxfId="7" priority="3">
      <formula>CELL("ROW")=ROW()</formula>
    </cfRule>
  </conditionalFormatting>
  <conditionalFormatting sqref="CS7:CU7">
    <cfRule type="expression" dxfId="6" priority="2">
      <formula>CELL("ROW")=ROW()</formula>
    </cfRule>
  </conditionalFormatting>
  <conditionalFormatting sqref="CV7:CX7">
    <cfRule type="expression" dxfId="5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2"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1277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1278</v>
      </c>
      <c r="D4" s="3" t="s">
        <v>1280</v>
      </c>
      <c r="E4" s="3" t="s">
        <v>1282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1922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1279</v>
      </c>
      <c r="D9" s="5" t="s">
        <v>1281</v>
      </c>
      <c r="E9" s="6" t="s">
        <v>1283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 t="s">
        <v>1284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4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1733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1726</v>
      </c>
      <c r="D4" s="3" t="s">
        <v>1727</v>
      </c>
      <c r="E4" s="3" t="s">
        <v>1728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1922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1729</v>
      </c>
      <c r="D9" s="5" t="s">
        <v>1730</v>
      </c>
      <c r="E9" s="6" t="s">
        <v>1731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 t="s">
        <v>1732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3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3.625" style="36" customWidth="1"/>
    <col min="4" max="4" width="17" style="36" customWidth="1"/>
    <col min="5" max="16" width="13" style="36" customWidth="1"/>
    <col min="17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1742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1743</v>
      </c>
      <c r="D4" s="3" t="s">
        <v>1744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1922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55" t="s">
        <v>10</v>
      </c>
      <c r="B9" s="5" t="s">
        <v>11</v>
      </c>
      <c r="C9" s="5" t="s">
        <v>1746</v>
      </c>
      <c r="D9" s="5" t="s">
        <v>1745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32"/>
      <c r="J11" s="33"/>
      <c r="K11" s="33"/>
      <c r="L11" s="32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33">
        <v>6</v>
      </c>
      <c r="J12" s="33">
        <v>10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33">
        <v>6</v>
      </c>
      <c r="J13" s="33">
        <v>25</v>
      </c>
      <c r="K13" s="33">
        <v>3</v>
      </c>
      <c r="L13" s="33">
        <v>11</v>
      </c>
      <c r="M13" s="33">
        <v>10</v>
      </c>
      <c r="N13" s="33"/>
      <c r="O13" s="33"/>
      <c r="P13" s="33"/>
      <c r="Q13" s="33"/>
      <c r="R13" s="33"/>
      <c r="S13" s="33"/>
      <c r="T13" s="33"/>
      <c r="U13" s="33"/>
      <c r="V13" s="33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33">
        <v>6</v>
      </c>
      <c r="J14" s="33">
        <v>50</v>
      </c>
      <c r="K14" s="33">
        <v>3</v>
      </c>
      <c r="L14" s="33">
        <v>11</v>
      </c>
      <c r="M14" s="33">
        <v>25</v>
      </c>
      <c r="N14" s="33">
        <v>3</v>
      </c>
      <c r="O14" s="33">
        <v>16</v>
      </c>
      <c r="P14" s="33">
        <v>10</v>
      </c>
      <c r="Q14" s="33"/>
      <c r="R14" s="33"/>
      <c r="S14" s="33"/>
      <c r="T14" s="33"/>
      <c r="U14" s="33"/>
      <c r="V14" s="33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33">
        <v>6</v>
      </c>
      <c r="J15" s="33">
        <v>100</v>
      </c>
      <c r="K15" s="33">
        <v>3</v>
      </c>
      <c r="L15" s="33">
        <v>11</v>
      </c>
      <c r="M15" s="33">
        <v>50</v>
      </c>
      <c r="N15" s="33">
        <v>3</v>
      </c>
      <c r="O15" s="33">
        <v>16</v>
      </c>
      <c r="P15" s="33">
        <v>25</v>
      </c>
      <c r="Q15" s="33">
        <v>3</v>
      </c>
      <c r="R15" s="33">
        <v>21</v>
      </c>
      <c r="S15" s="33">
        <v>1</v>
      </c>
      <c r="T15" s="33"/>
      <c r="U15" s="33"/>
      <c r="V15" s="33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32"/>
      <c r="J16" s="33"/>
      <c r="K16" s="33"/>
      <c r="L16" s="32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33">
        <v>7</v>
      </c>
      <c r="J17" s="33">
        <v>10</v>
      </c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33">
        <v>7</v>
      </c>
      <c r="J18" s="33">
        <v>25</v>
      </c>
      <c r="K18" s="33">
        <v>3</v>
      </c>
      <c r="L18" s="33">
        <v>12</v>
      </c>
      <c r="M18" s="33">
        <v>10</v>
      </c>
      <c r="N18" s="33"/>
      <c r="O18" s="33"/>
      <c r="P18" s="33"/>
      <c r="Q18" s="33"/>
      <c r="R18" s="33"/>
      <c r="S18" s="33"/>
      <c r="T18" s="33"/>
      <c r="U18" s="33"/>
      <c r="V18" s="33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33">
        <v>7</v>
      </c>
      <c r="J19" s="33">
        <v>50</v>
      </c>
      <c r="K19" s="33">
        <v>3</v>
      </c>
      <c r="L19" s="33">
        <v>12</v>
      </c>
      <c r="M19" s="33">
        <v>25</v>
      </c>
      <c r="N19" s="33">
        <v>3</v>
      </c>
      <c r="O19" s="33">
        <v>17</v>
      </c>
      <c r="P19" s="33">
        <v>10</v>
      </c>
      <c r="Q19" s="33"/>
      <c r="R19" s="33"/>
      <c r="S19" s="33"/>
      <c r="T19" s="33"/>
      <c r="U19" s="33"/>
      <c r="V19" s="33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33">
        <v>7</v>
      </c>
      <c r="J20" s="33">
        <v>100</v>
      </c>
      <c r="K20" s="33">
        <v>3</v>
      </c>
      <c r="L20" s="33">
        <v>12</v>
      </c>
      <c r="M20" s="33">
        <v>50</v>
      </c>
      <c r="N20" s="33">
        <v>3</v>
      </c>
      <c r="O20" s="33">
        <v>17</v>
      </c>
      <c r="P20" s="33">
        <v>25</v>
      </c>
      <c r="Q20" s="33">
        <v>3</v>
      </c>
      <c r="R20" s="33">
        <v>21</v>
      </c>
      <c r="S20" s="33">
        <v>1</v>
      </c>
      <c r="T20" s="33"/>
      <c r="U20" s="33"/>
      <c r="V20" s="33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32"/>
      <c r="J21" s="33"/>
      <c r="K21" s="33"/>
      <c r="L21" s="32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33">
        <v>8</v>
      </c>
      <c r="J22" s="33">
        <v>10</v>
      </c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33">
        <v>8</v>
      </c>
      <c r="J23" s="33">
        <v>25</v>
      </c>
      <c r="K23" s="33">
        <v>3</v>
      </c>
      <c r="L23" s="33">
        <v>13</v>
      </c>
      <c r="M23" s="33">
        <v>10</v>
      </c>
      <c r="N23" s="33"/>
      <c r="O23" s="33"/>
      <c r="P23" s="33"/>
      <c r="Q23" s="33"/>
      <c r="R23" s="33"/>
      <c r="S23" s="33"/>
      <c r="T23" s="33"/>
      <c r="U23" s="33"/>
      <c r="V23" s="33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33">
        <v>8</v>
      </c>
      <c r="J24" s="33">
        <v>50</v>
      </c>
      <c r="K24" s="33">
        <v>3</v>
      </c>
      <c r="L24" s="33">
        <v>13</v>
      </c>
      <c r="M24" s="33">
        <v>25</v>
      </c>
      <c r="N24" s="33">
        <v>3</v>
      </c>
      <c r="O24" s="33">
        <v>18</v>
      </c>
      <c r="P24" s="33">
        <v>10</v>
      </c>
      <c r="Q24" s="33"/>
      <c r="R24" s="33"/>
      <c r="S24" s="33"/>
      <c r="T24" s="33"/>
      <c r="U24" s="33"/>
      <c r="V24" s="33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33">
        <v>8</v>
      </c>
      <c r="J25" s="33">
        <v>100</v>
      </c>
      <c r="K25" s="33">
        <v>3</v>
      </c>
      <c r="L25" s="33">
        <v>13</v>
      </c>
      <c r="M25" s="33">
        <v>50</v>
      </c>
      <c r="N25" s="33">
        <v>3</v>
      </c>
      <c r="O25" s="33">
        <v>18</v>
      </c>
      <c r="P25" s="33">
        <v>25</v>
      </c>
      <c r="Q25" s="33">
        <v>3</v>
      </c>
      <c r="R25" s="33">
        <v>21</v>
      </c>
      <c r="S25" s="33">
        <v>1</v>
      </c>
      <c r="T25" s="33"/>
      <c r="U25" s="33"/>
      <c r="V25" s="33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32"/>
      <c r="J26" s="33"/>
      <c r="K26" s="33"/>
      <c r="L26" s="32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33">
        <v>9</v>
      </c>
      <c r="J27" s="33">
        <v>10</v>
      </c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33">
        <v>9</v>
      </c>
      <c r="J28" s="33">
        <v>25</v>
      </c>
      <c r="K28" s="33">
        <v>3</v>
      </c>
      <c r="L28" s="33">
        <v>14</v>
      </c>
      <c r="M28" s="33">
        <v>10</v>
      </c>
      <c r="N28" s="33"/>
      <c r="O28" s="33"/>
      <c r="P28" s="33"/>
      <c r="Q28" s="33"/>
      <c r="R28" s="33"/>
      <c r="S28" s="33"/>
      <c r="T28" s="33"/>
      <c r="U28" s="33"/>
      <c r="V28" s="33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33">
        <v>9</v>
      </c>
      <c r="J29" s="33">
        <v>50</v>
      </c>
      <c r="K29" s="33">
        <v>3</v>
      </c>
      <c r="L29" s="33">
        <v>14</v>
      </c>
      <c r="M29" s="33">
        <v>25</v>
      </c>
      <c r="N29" s="33">
        <v>3</v>
      </c>
      <c r="O29" s="33">
        <v>19</v>
      </c>
      <c r="P29" s="33">
        <v>10</v>
      </c>
      <c r="Q29" s="33"/>
      <c r="R29" s="33"/>
      <c r="S29" s="33"/>
      <c r="T29" s="33"/>
      <c r="U29" s="33"/>
      <c r="V29" s="33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33">
        <v>9</v>
      </c>
      <c r="J30" s="33">
        <v>100</v>
      </c>
      <c r="K30" s="33">
        <v>3</v>
      </c>
      <c r="L30" s="33">
        <v>14</v>
      </c>
      <c r="M30" s="33">
        <v>50</v>
      </c>
      <c r="N30" s="33">
        <v>3</v>
      </c>
      <c r="O30" s="33">
        <v>19</v>
      </c>
      <c r="P30" s="33">
        <v>25</v>
      </c>
      <c r="Q30" s="33">
        <v>3</v>
      </c>
      <c r="R30" s="33">
        <v>21</v>
      </c>
      <c r="S30" s="33">
        <v>1</v>
      </c>
      <c r="T30" s="33"/>
      <c r="U30" s="33"/>
      <c r="V30" s="33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32"/>
      <c r="J31" s="33"/>
      <c r="K31" s="33"/>
      <c r="L31" s="32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33">
        <v>10</v>
      </c>
      <c r="J32" s="33">
        <v>10</v>
      </c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33">
        <v>10</v>
      </c>
      <c r="J33" s="33">
        <v>25</v>
      </c>
      <c r="K33" s="33">
        <v>3</v>
      </c>
      <c r="L33" s="33">
        <v>15</v>
      </c>
      <c r="M33" s="33">
        <v>10</v>
      </c>
      <c r="N33" s="33"/>
      <c r="O33" s="33"/>
      <c r="P33" s="33"/>
      <c r="Q33" s="33"/>
      <c r="R33" s="33"/>
      <c r="S33" s="33"/>
      <c r="T33" s="33"/>
      <c r="U33" s="33"/>
      <c r="V33" s="33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33">
        <v>10</v>
      </c>
      <c r="J34" s="33">
        <v>50</v>
      </c>
      <c r="K34" s="33">
        <v>3</v>
      </c>
      <c r="L34" s="33">
        <v>15</v>
      </c>
      <c r="M34" s="33">
        <v>25</v>
      </c>
      <c r="N34" s="33">
        <v>3</v>
      </c>
      <c r="O34" s="33">
        <v>20</v>
      </c>
      <c r="P34" s="33">
        <v>10</v>
      </c>
      <c r="Q34" s="33"/>
      <c r="R34" s="33"/>
      <c r="S34" s="33"/>
      <c r="T34" s="33"/>
      <c r="U34" s="33"/>
      <c r="V34" s="33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33">
        <v>10</v>
      </c>
      <c r="J35" s="33">
        <v>100</v>
      </c>
      <c r="K35" s="33">
        <v>3</v>
      </c>
      <c r="L35" s="33">
        <v>15</v>
      </c>
      <c r="M35" s="33">
        <v>50</v>
      </c>
      <c r="N35" s="33">
        <v>3</v>
      </c>
      <c r="O35" s="33">
        <v>20</v>
      </c>
      <c r="P35" s="33">
        <v>25</v>
      </c>
      <c r="Q35" s="33">
        <v>3</v>
      </c>
      <c r="R35" s="33">
        <v>21</v>
      </c>
      <c r="S35" s="33">
        <v>1</v>
      </c>
      <c r="T35" s="33"/>
      <c r="U35" s="33"/>
      <c r="V35" s="33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33"/>
      <c r="J44" s="51"/>
      <c r="K44" s="51"/>
      <c r="L44" s="33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33"/>
      <c r="J45" s="51"/>
      <c r="K45" s="51"/>
      <c r="L45" s="33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33"/>
      <c r="J46" s="51"/>
      <c r="K46" s="51"/>
      <c r="L46" s="33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33"/>
      <c r="J47" s="51"/>
      <c r="K47" s="51"/>
      <c r="L47" s="33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33"/>
      <c r="J48" s="51"/>
      <c r="K48" s="51"/>
      <c r="L48" s="33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33"/>
      <c r="J49" s="51"/>
      <c r="K49" s="51"/>
      <c r="L49" s="33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33"/>
      <c r="J50" s="51"/>
      <c r="K50" s="51"/>
      <c r="L50" s="33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33"/>
      <c r="J51" s="51"/>
      <c r="K51" s="51"/>
      <c r="L51" s="33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33"/>
      <c r="J52" s="51"/>
      <c r="K52" s="51"/>
      <c r="L52" s="33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32"/>
      <c r="J53" s="51"/>
      <c r="K53" s="51"/>
      <c r="L53" s="32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33"/>
      <c r="J54" s="51"/>
      <c r="K54" s="51"/>
      <c r="L54" s="33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33"/>
      <c r="J55" s="51"/>
      <c r="K55" s="51"/>
      <c r="L55" s="33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32"/>
      <c r="J56" s="51"/>
      <c r="K56" s="51"/>
      <c r="L56" s="32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33"/>
      <c r="J57" s="51"/>
      <c r="K57" s="51"/>
      <c r="L57" s="33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33"/>
      <c r="J58" s="51"/>
      <c r="K58" s="51"/>
      <c r="L58" s="33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32"/>
      <c r="J59" s="51"/>
      <c r="K59" s="51"/>
      <c r="L59" s="32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33"/>
      <c r="J60" s="51"/>
      <c r="K60" s="51"/>
      <c r="L60" s="33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33"/>
      <c r="J61" s="51"/>
      <c r="K61" s="51"/>
      <c r="L61" s="33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32"/>
      <c r="J62" s="51"/>
      <c r="K62" s="51"/>
      <c r="L62" s="32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33"/>
      <c r="J63" s="51"/>
      <c r="K63" s="51"/>
      <c r="L63" s="33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33"/>
      <c r="J64" s="51"/>
      <c r="K64" s="51"/>
      <c r="L64" s="33"/>
      <c r="M64" s="51"/>
      <c r="N64" s="51"/>
      <c r="O64" s="51"/>
      <c r="P64" s="51"/>
      <c r="Q64" s="51"/>
      <c r="R64" s="51"/>
      <c r="S64" s="51"/>
      <c r="T64" s="51"/>
      <c r="U64" s="51"/>
      <c r="V64" s="51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32"/>
      <c r="J65" s="51"/>
      <c r="K65" s="51"/>
      <c r="L65" s="32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33"/>
      <c r="J66" s="51"/>
      <c r="K66" s="51"/>
      <c r="L66" s="33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33"/>
      <c r="J67" s="51"/>
      <c r="K67" s="51"/>
      <c r="L67" s="33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2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2" sqref="D12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9" width="21.25" style="36" customWidth="1"/>
    <col min="10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2020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254</v>
      </c>
      <c r="D4" s="3" t="s">
        <v>2021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 t="s">
        <v>179</v>
      </c>
      <c r="E6" s="3" t="s">
        <v>180</v>
      </c>
      <c r="F6" s="3" t="s">
        <v>220</v>
      </c>
      <c r="G6" s="3" t="s">
        <v>179</v>
      </c>
      <c r="H6" s="3" t="s">
        <v>180</v>
      </c>
      <c r="I6" s="3" t="s">
        <v>220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1922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255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264</v>
      </c>
      <c r="D9" s="6" t="s">
        <v>182</v>
      </c>
      <c r="E9" s="6" t="s">
        <v>183</v>
      </c>
      <c r="F9" s="6" t="s">
        <v>221</v>
      </c>
      <c r="G9" s="6" t="s">
        <v>182</v>
      </c>
      <c r="H9" s="6" t="s">
        <v>183</v>
      </c>
      <c r="I9" s="6" t="s">
        <v>221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/>
      <c r="D10" s="19" t="s">
        <v>232</v>
      </c>
      <c r="E10" s="19"/>
      <c r="F10" s="19"/>
      <c r="G10" s="19" t="s">
        <v>232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 t="s">
        <v>2022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1" priority="2">
      <formula>CELL("ROW")=ROW()</formula>
    </cfRule>
  </conditionalFormatting>
  <conditionalFormatting sqref="D7:I7">
    <cfRule type="expression" dxfId="0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A1:O35"/>
  <sheetViews>
    <sheetView topLeftCell="C3" workbookViewId="0">
      <selection activeCell="H35" sqref="H35"/>
    </sheetView>
  </sheetViews>
  <sheetFormatPr defaultRowHeight="14.25"/>
  <cols>
    <col min="1" max="1" width="9" style="57" hidden="1" customWidth="1"/>
    <col min="2" max="2" width="10.625" style="57" hidden="1" customWidth="1"/>
    <col min="3" max="3" width="3.75" style="57" customWidth="1"/>
    <col min="4" max="15" width="13.25" style="57" customWidth="1"/>
    <col min="16" max="16384" width="9" style="57"/>
  </cols>
  <sheetData>
    <row r="1" spans="2:15" ht="15" hidden="1" thickBot="1"/>
    <row r="2" spans="2:15" ht="15" hidden="1" customHeight="1" thickBot="1">
      <c r="B2" s="58" t="s">
        <v>1875</v>
      </c>
    </row>
    <row r="3" spans="2:15" ht="15" customHeight="1" thickBot="1">
      <c r="B3" s="74"/>
    </row>
    <row r="4" spans="2:15" ht="15" thickBot="1">
      <c r="D4" s="62" t="s">
        <v>1881</v>
      </c>
      <c r="E4" s="61" t="s">
        <v>1426</v>
      </c>
      <c r="F4" s="60" t="s">
        <v>1877</v>
      </c>
      <c r="G4" s="60" t="s">
        <v>1879</v>
      </c>
      <c r="H4" s="59" t="s">
        <v>1880</v>
      </c>
      <c r="I4" s="74"/>
      <c r="J4" s="74"/>
    </row>
    <row r="5" spans="2:15">
      <c r="D5" s="63" t="s">
        <v>1876</v>
      </c>
      <c r="E5" s="67">
        <v>1</v>
      </c>
      <c r="F5" s="68">
        <v>100</v>
      </c>
      <c r="G5" s="68">
        <v>0</v>
      </c>
      <c r="H5" s="69">
        <v>0</v>
      </c>
      <c r="I5" s="74"/>
      <c r="J5" s="74"/>
    </row>
    <row r="6" spans="2:15" ht="15" thickBot="1">
      <c r="D6" s="64" t="s">
        <v>1878</v>
      </c>
      <c r="E6" s="70">
        <v>2</v>
      </c>
      <c r="F6" s="71">
        <v>100</v>
      </c>
      <c r="G6" s="71">
        <v>0</v>
      </c>
      <c r="H6" s="72">
        <v>0</v>
      </c>
      <c r="I6" s="74"/>
      <c r="J6" s="74"/>
    </row>
    <row r="7" spans="2:15" ht="15" thickBot="1"/>
    <row r="8" spans="2:15" ht="15" thickBot="1">
      <c r="D8" s="62" t="s">
        <v>1887</v>
      </c>
      <c r="E8" s="66">
        <v>100</v>
      </c>
    </row>
    <row r="9" spans="2:15" ht="15" thickBot="1"/>
    <row r="10" spans="2:15" ht="15" thickBot="1">
      <c r="D10" s="62" t="s">
        <v>1882</v>
      </c>
      <c r="E10" s="61" t="s">
        <v>1907</v>
      </c>
      <c r="F10" s="66" t="s">
        <v>1908</v>
      </c>
      <c r="G10" s="74"/>
      <c r="H10" s="74"/>
      <c r="I10" s="74"/>
      <c r="J10" s="74"/>
    </row>
    <row r="11" spans="2:15" ht="15" thickBot="1">
      <c r="D11" s="65" t="s">
        <v>1893</v>
      </c>
      <c r="E11" s="76">
        <v>31</v>
      </c>
      <c r="F11" s="73">
        <v>252</v>
      </c>
      <c r="G11" s="74"/>
      <c r="H11" s="74"/>
      <c r="I11" s="74"/>
      <c r="J11" s="74"/>
    </row>
    <row r="12" spans="2:15" ht="15" thickBot="1"/>
    <row r="13" spans="2:15" ht="15" hidden="1" thickBot="1">
      <c r="D13" s="79" t="s">
        <v>1916</v>
      </c>
    </row>
    <row r="14" spans="2:15" ht="15" hidden="1" thickBot="1">
      <c r="D14" s="75" t="s">
        <v>1891</v>
      </c>
      <c r="E14" s="61" t="s">
        <v>1892</v>
      </c>
      <c r="F14" s="60" t="s">
        <v>1883</v>
      </c>
      <c r="G14" s="60" t="s">
        <v>1884</v>
      </c>
      <c r="H14" s="60" t="s">
        <v>1885</v>
      </c>
      <c r="I14" s="60" t="s">
        <v>1911</v>
      </c>
      <c r="J14" s="60" t="s">
        <v>1912</v>
      </c>
      <c r="K14" s="60" t="s">
        <v>1886</v>
      </c>
      <c r="L14" s="61" t="s">
        <v>1903</v>
      </c>
      <c r="M14" s="60" t="s">
        <v>1904</v>
      </c>
      <c r="N14" s="60" t="s">
        <v>1905</v>
      </c>
      <c r="O14" s="59" t="s">
        <v>1906</v>
      </c>
    </row>
    <row r="15" spans="2:15" hidden="1">
      <c r="D15" s="63" t="s">
        <v>1876</v>
      </c>
      <c r="E15" s="67" t="str">
        <f>_xlfn.XLOOKUP($E$5,MonsterMB!$B:$B,MonsterMB!$C:$C)</f>
        <v>火</v>
      </c>
      <c r="F15" s="68">
        <f>ROUNDDOWN((L15*2+$E$11+$F$11/4)*$F$5/100+$F$5+10,0)</f>
        <v>244</v>
      </c>
      <c r="G15" s="68">
        <f>ROUNDDOWN((M15*2+$E$11+$F$11/4)*$F$5/100+5,0)</f>
        <v>173</v>
      </c>
      <c r="H15" s="68">
        <f>ROUNDDOWN((N15*2+$E$11+$F$11/4)*$F$5/100+5,0)</f>
        <v>149</v>
      </c>
      <c r="I15" s="68">
        <f>ROUNDDOWN(G15*(100+$G$5)/100,0)</f>
        <v>173</v>
      </c>
      <c r="J15" s="68">
        <f>ROUNDDOWN(H15*(100+$H$5)/100,0)</f>
        <v>149</v>
      </c>
      <c r="K15" s="68">
        <f>ROUNDDOWN((O15*2+$E$11+$F$11/4)*$F$5/100+5,0)</f>
        <v>219</v>
      </c>
      <c r="L15" s="67">
        <f>_xlfn.XLOOKUP($E$5,MonsterMB!$B:$B,MonsterMB!$I:$I)</f>
        <v>20</v>
      </c>
      <c r="M15" s="68">
        <f>_xlfn.XLOOKUP($E$5,MonsterMB!$B:$B,MonsterMB!$J:$J)</f>
        <v>37</v>
      </c>
      <c r="N15" s="68">
        <f>_xlfn.XLOOKUP($E$5,MonsterMB!$B:$B,MonsterMB!$K:$K)</f>
        <v>25</v>
      </c>
      <c r="O15" s="69">
        <f>_xlfn.XLOOKUP($E$5,MonsterMB!$B:$B,MonsterMB!$L:$L)</f>
        <v>60</v>
      </c>
    </row>
    <row r="16" spans="2:15" ht="15" hidden="1" thickBot="1">
      <c r="D16" s="64" t="s">
        <v>1878</v>
      </c>
      <c r="E16" s="70" t="str">
        <f>_xlfn.XLOOKUP($E$6,MonsterMB!$B:$B,MonsterMB!$C:$C)</f>
        <v>水</v>
      </c>
      <c r="F16" s="71">
        <f>ROUNDDOWN((L16*2+$E$11+$F$11/4)*$F$6/100+$F$6+10,0)</f>
        <v>274</v>
      </c>
      <c r="G16" s="71">
        <f>ROUNDDOWN((M16*2+$E$11+$F$11/4)*$F$6/100+5,0)</f>
        <v>169</v>
      </c>
      <c r="H16" s="71">
        <f>ROUNDDOWN((N16*2+$E$11+$F$11/4)*$F$6/100+5,0)</f>
        <v>169</v>
      </c>
      <c r="I16" s="71">
        <f>ROUNDDOWN(G16*(100+$G$6)/100,0)</f>
        <v>169</v>
      </c>
      <c r="J16" s="71">
        <f>ROUNDDOWN(H16*(100+$H$6)/100,0)</f>
        <v>169</v>
      </c>
      <c r="K16" s="71">
        <f>ROUNDDOWN((O16*2+$E$11+$F$11/4)*$F$6/100+5,0)</f>
        <v>169</v>
      </c>
      <c r="L16" s="71">
        <f>_xlfn.XLOOKUP($E$6,MonsterMB!$B:$B,MonsterMB!$I:$I)</f>
        <v>35</v>
      </c>
      <c r="M16" s="71">
        <f>_xlfn.XLOOKUP($E$6,MonsterMB!$B:$B,MonsterMB!$J:$J)</f>
        <v>35</v>
      </c>
      <c r="N16" s="71">
        <f>_xlfn.XLOOKUP($E$6,MonsterMB!$B:$B,MonsterMB!$K:$K)</f>
        <v>35</v>
      </c>
      <c r="O16" s="72">
        <f>_xlfn.XLOOKUP($E$6,MonsterMB!$B:$B,MonsterMB!$L:$L)</f>
        <v>35</v>
      </c>
    </row>
    <row r="17" spans="4:15" ht="15" hidden="1" thickBot="1">
      <c r="D17" s="77" t="s">
        <v>1888</v>
      </c>
      <c r="E17" s="61" t="s">
        <v>1889</v>
      </c>
      <c r="F17" s="60" t="s">
        <v>1890</v>
      </c>
      <c r="G17" s="60" t="s">
        <v>1918</v>
      </c>
      <c r="H17" s="60" t="s">
        <v>1913</v>
      </c>
      <c r="I17" s="60" t="s">
        <v>1914</v>
      </c>
      <c r="J17" s="78" t="s">
        <v>1915</v>
      </c>
    </row>
    <row r="18" spans="4:15" hidden="1">
      <c r="D18" s="63" t="s">
        <v>1909</v>
      </c>
      <c r="E18" s="67">
        <f>ROUNDDOWN((ROUNDDOWN(ROUNDDOWN(ROUNDDOWN($F$5*2/5+2,0)*$E$8*I15/J16,0)/50,0)+2)*0.85,0)</f>
        <v>73</v>
      </c>
      <c r="F18" s="68">
        <f>ROUNDDOWN((ROUNDDOWN(ROUNDDOWN(ROUNDDOWN($F$5*2/5+2,0)*$E$8*I15/J16,0)/50,0)+2)*1,0)</f>
        <v>87</v>
      </c>
      <c r="G18" s="68" t="str">
        <f>ROUND(E18/F16*100,1)&amp;"% ~ "&amp;ROUND(F18/F16*100,1)&amp;"%"</f>
        <v>26.6% ~ 31.8%</v>
      </c>
      <c r="H18" s="68"/>
      <c r="I18" s="68"/>
      <c r="J18" s="69"/>
    </row>
    <row r="19" spans="4:15" ht="15" hidden="1" thickBot="1">
      <c r="D19" s="64" t="s">
        <v>1910</v>
      </c>
      <c r="E19" s="70">
        <f>ROUNDDOWN((I15*($E$8/100)*(1-(J16/(180+20*$F$6))))*0.85,0)</f>
        <v>135</v>
      </c>
      <c r="F19" s="71">
        <f>ROUNDDOWN(I15*($E$8/100)*(1-(J16/(180+20*$F$6))),0)</f>
        <v>159</v>
      </c>
      <c r="G19" s="71" t="str">
        <f>ROUND(E19/F16*100,1)&amp;"% ~ "&amp;ROUND(F19/F16*100,1)&amp;"%"</f>
        <v>49.3% ~ 58%</v>
      </c>
      <c r="H19" s="71"/>
      <c r="I19" s="71"/>
      <c r="J19" s="72"/>
    </row>
    <row r="20" spans="4:15" ht="15" hidden="1" thickBot="1"/>
    <row r="21" spans="4:15" ht="15" hidden="1" thickBot="1">
      <c r="D21" s="79" t="s">
        <v>1917</v>
      </c>
      <c r="E21" s="80" t="s">
        <v>1919</v>
      </c>
      <c r="F21" s="81"/>
      <c r="G21" s="81"/>
    </row>
    <row r="22" spans="4:15" ht="15" hidden="1" thickBot="1">
      <c r="D22" s="75" t="s">
        <v>1891</v>
      </c>
      <c r="E22" s="61" t="s">
        <v>1892</v>
      </c>
      <c r="F22" s="60" t="s">
        <v>1883</v>
      </c>
      <c r="G22" s="60" t="s">
        <v>1884</v>
      </c>
      <c r="H22" s="60" t="s">
        <v>1885</v>
      </c>
      <c r="I22" s="60" t="s">
        <v>1911</v>
      </c>
      <c r="J22" s="60" t="s">
        <v>1912</v>
      </c>
      <c r="K22" s="60" t="s">
        <v>1886</v>
      </c>
      <c r="L22" s="61" t="s">
        <v>1903</v>
      </c>
      <c r="M22" s="60" t="s">
        <v>1904</v>
      </c>
      <c r="N22" s="60" t="s">
        <v>1905</v>
      </c>
      <c r="O22" s="59" t="s">
        <v>1906</v>
      </c>
    </row>
    <row r="23" spans="4:15" hidden="1">
      <c r="D23" s="63" t="s">
        <v>1876</v>
      </c>
      <c r="E23" s="67" t="str">
        <f>_xlfn.XLOOKUP($E$5,MonsterMB!$B:$B,MonsterMB!$C:$C)</f>
        <v>火</v>
      </c>
      <c r="F23" s="68">
        <f>ROUNDDOWN(($L$23*2+$E$11+$F$11/4)*F5^2/100+F5^2+10,0)*3</f>
        <v>70230</v>
      </c>
      <c r="G23" s="68">
        <f>ROUNDDOWN(($M$23*2+$E$11+$F$11/4)*$F$5^2/100+5,0)</f>
        <v>16805</v>
      </c>
      <c r="H23" s="68">
        <f>ROUNDDOWN(($N$23*2+$E$11+$F$11/4)*$F$5^2/100+5,0)</f>
        <v>14405</v>
      </c>
      <c r="I23" s="68">
        <f>ROUNDDOWN(G23*(100+$G$5)/100,0)</f>
        <v>16805</v>
      </c>
      <c r="J23" s="68">
        <f>ROUNDDOWN(H23*(100+$H$5)/100,0)</f>
        <v>14405</v>
      </c>
      <c r="K23" s="68">
        <f>ROUNDDOWN(($O$23*2+$E$11+$F$11/4)*$F$5^2/100+5,0)</f>
        <v>21405</v>
      </c>
      <c r="L23" s="67">
        <f>_xlfn.XLOOKUP($E$5,MonsterMB!$B:$B,MonsterMB!$I:$I)</f>
        <v>20</v>
      </c>
      <c r="M23" s="68">
        <f>_xlfn.XLOOKUP($E$5,MonsterMB!$B:$B,MonsterMB!$J:$J)</f>
        <v>37</v>
      </c>
      <c r="N23" s="68">
        <f>_xlfn.XLOOKUP($E$5,MonsterMB!$B:$B,MonsterMB!$K:$K)</f>
        <v>25</v>
      </c>
      <c r="O23" s="69">
        <f>_xlfn.XLOOKUP($E$5,MonsterMB!$B:$B,MonsterMB!$L:$L)</f>
        <v>60</v>
      </c>
    </row>
    <row r="24" spans="4:15" ht="15" hidden="1" thickBot="1">
      <c r="D24" s="64" t="s">
        <v>1878</v>
      </c>
      <c r="E24" s="70" t="str">
        <f>_xlfn.XLOOKUP($E$6,MonsterMB!$B:$B,MonsterMB!$C:$C)</f>
        <v>水</v>
      </c>
      <c r="F24" s="71">
        <f>ROUNDDOWN(($L$24*2+$E$11+$F$11/4)*$F$6^2/100+$F$6^2+10,0)*3</f>
        <v>79230</v>
      </c>
      <c r="G24" s="71">
        <f>ROUNDDOWN(($M$24*2+$E$11+$F$11/4)*$F$6^2/100+5,0)</f>
        <v>16405</v>
      </c>
      <c r="H24" s="71">
        <f>ROUNDDOWN(($N$24*2+$E$11+$F$11/4)*$F$6^2/100+5,0)</f>
        <v>16405</v>
      </c>
      <c r="I24" s="71">
        <f>ROUNDDOWN(G24*(100+$G$6)/100,0)</f>
        <v>16405</v>
      </c>
      <c r="J24" s="71">
        <f>ROUNDDOWN(H24*(100+$H$6)/100,0)</f>
        <v>16405</v>
      </c>
      <c r="K24" s="71">
        <f>ROUNDDOWN(($O$24*2+$E$11+$F$11/4)*$F$6^2/100+5,0)</f>
        <v>16405</v>
      </c>
      <c r="L24" s="71">
        <f>_xlfn.XLOOKUP($E$6,MonsterMB!$B:$B,MonsterMB!$I:$I)</f>
        <v>35</v>
      </c>
      <c r="M24" s="71">
        <f>_xlfn.XLOOKUP($E$6,MonsterMB!$B:$B,MonsterMB!$J:$J)</f>
        <v>35</v>
      </c>
      <c r="N24" s="71">
        <f>_xlfn.XLOOKUP($E$6,MonsterMB!$B:$B,MonsterMB!$K:$K)</f>
        <v>35</v>
      </c>
      <c r="O24" s="72">
        <f>_xlfn.XLOOKUP($E$6,MonsterMB!$B:$B,MonsterMB!$L:$L)</f>
        <v>35</v>
      </c>
    </row>
    <row r="25" spans="4:15" ht="15" hidden="1" thickBot="1">
      <c r="D25" s="77" t="s">
        <v>1888</v>
      </c>
      <c r="E25" s="61" t="s">
        <v>1889</v>
      </c>
      <c r="F25" s="60" t="s">
        <v>1890</v>
      </c>
      <c r="G25" s="60" t="s">
        <v>1918</v>
      </c>
      <c r="H25" s="60" t="s">
        <v>1913</v>
      </c>
      <c r="I25" s="60" t="s">
        <v>1914</v>
      </c>
      <c r="J25" s="78" t="s">
        <v>1915</v>
      </c>
    </row>
    <row r="26" spans="4:15" hidden="1">
      <c r="D26" s="63" t="s">
        <v>1909</v>
      </c>
      <c r="E26" s="67">
        <f>ROUNDDOWN((ROUNDDOWN(ROUNDDOWN(ROUNDDOWN($F$5^2*2/5+2,0)*$E$8*$I$23/$J$24,0)/50,0)+2)*0.85,0)</f>
        <v>6970</v>
      </c>
      <c r="F26" s="68">
        <f>ROUNDDOWN((ROUNDDOWN(ROUNDDOWN(ROUNDDOWN($F$5^2*2/5+2,0)*$E$8*$I$15/$J$16,0)/50,0)+2)*1,0)</f>
        <v>8195</v>
      </c>
      <c r="G26" s="68" t="str">
        <f>ROUND(E26/F24*100,1)&amp;"% ~ "&amp;ROUND(F26/F24*100,1)&amp;"%"</f>
        <v>8.8% ~ 10.3%</v>
      </c>
      <c r="H26" s="68"/>
      <c r="I26" s="68"/>
      <c r="J26" s="69"/>
    </row>
    <row r="27" spans="4:15" ht="15" hidden="1" thickBot="1">
      <c r="D27" s="64" t="s">
        <v>1910</v>
      </c>
      <c r="E27" s="70">
        <f>ROUNDDOWN((I23*(E8/100)*(1-(J24/(180+20*F6^2))))*0.85,0)</f>
        <v>13113</v>
      </c>
      <c r="F27" s="71">
        <f>ROUNDDOWN(I23*(E8/100)*(1-(J24/(180+20*F6^2))),0)</f>
        <v>15427</v>
      </c>
      <c r="G27" s="71" t="str">
        <f>ROUND(E27/F24*100,1)&amp;"% ~ "&amp;ROUND(F27/F24*100,1)&amp;"%"</f>
        <v>16.6% ~ 19.5%</v>
      </c>
      <c r="H27" s="71"/>
      <c r="I27" s="71"/>
      <c r="J27" s="72"/>
    </row>
    <row r="28" spans="4:15" ht="15" hidden="1" thickBot="1"/>
    <row r="29" spans="4:15" ht="15" thickBot="1">
      <c r="D29" s="79" t="s">
        <v>1920</v>
      </c>
      <c r="E29" s="80" t="s">
        <v>1921</v>
      </c>
      <c r="F29" s="81"/>
      <c r="G29" s="81"/>
    </row>
    <row r="30" spans="4:15" ht="15" thickBot="1">
      <c r="D30" s="75" t="s">
        <v>1891</v>
      </c>
      <c r="E30" s="61" t="s">
        <v>1892</v>
      </c>
      <c r="F30" s="60" t="s">
        <v>1883</v>
      </c>
      <c r="G30" s="60" t="s">
        <v>1884</v>
      </c>
      <c r="H30" s="60" t="s">
        <v>1885</v>
      </c>
      <c r="I30" s="60" t="s">
        <v>1911</v>
      </c>
      <c r="J30" s="60" t="s">
        <v>1912</v>
      </c>
      <c r="K30" s="60" t="s">
        <v>1886</v>
      </c>
      <c r="L30" s="61" t="s">
        <v>1903</v>
      </c>
      <c r="M30" s="60" t="s">
        <v>1904</v>
      </c>
      <c r="N30" s="60" t="s">
        <v>1905</v>
      </c>
      <c r="O30" s="59" t="s">
        <v>1906</v>
      </c>
    </row>
    <row r="31" spans="4:15">
      <c r="D31" s="63" t="s">
        <v>1876</v>
      </c>
      <c r="E31" s="67" t="str">
        <f>_xlfn.XLOOKUP($E$5,MonsterMB!$B:$B,MonsterMB!$C:$C)</f>
        <v>火</v>
      </c>
      <c r="F31" s="68">
        <f>ROUNDDOWN((L31^2+$E$11+$F$11/4)*$F$5/100+$F$5+10,0)*4</f>
        <v>2416</v>
      </c>
      <c r="G31" s="68">
        <f>ROUNDDOWN((M31^2+$E$11+$F$11/4)*$F$5/100+5,0)</f>
        <v>1468</v>
      </c>
      <c r="H31" s="68">
        <f>ROUNDDOWN((N31^2+$E$11+$F$11/4)*$F$5/100+5,0)</f>
        <v>724</v>
      </c>
      <c r="I31" s="68">
        <f>ROUNDDOWN(G31*(100+$G$5)/100,0)</f>
        <v>1468</v>
      </c>
      <c r="J31" s="68">
        <f>ROUNDDOWN(H31*(100+$H$5)/100,0)</f>
        <v>724</v>
      </c>
      <c r="K31" s="68">
        <f>ROUNDDOWN((O31^2+$E$11+$F$11/4)*$F$5/100+5,0)</f>
        <v>3699</v>
      </c>
      <c r="L31" s="67">
        <f>_xlfn.XLOOKUP($E$5,MonsterMB!$B:$B,MonsterMB!$I:$I)</f>
        <v>20</v>
      </c>
      <c r="M31" s="68">
        <f>_xlfn.XLOOKUP($E$5,MonsterMB!$B:$B,MonsterMB!$J:$J)</f>
        <v>37</v>
      </c>
      <c r="N31" s="68">
        <f>_xlfn.XLOOKUP($E$5,MonsterMB!$B:$B,MonsterMB!$K:$K)</f>
        <v>25</v>
      </c>
      <c r="O31" s="69">
        <f>_xlfn.XLOOKUP($E$5,MonsterMB!$B:$B,MonsterMB!$L:$L)</f>
        <v>60</v>
      </c>
    </row>
    <row r="32" spans="4:15" ht="15" thickBot="1">
      <c r="D32" s="64" t="s">
        <v>1878</v>
      </c>
      <c r="E32" s="70" t="str">
        <f>_xlfn.XLOOKUP($E$6,MonsterMB!$B:$B,MonsterMB!$C:$C)</f>
        <v>水</v>
      </c>
      <c r="F32" s="71">
        <f>ROUNDDOWN((L32^2+$E$11+$F$11/4)*$F$6/100+$F$6+10,0)*4</f>
        <v>5716</v>
      </c>
      <c r="G32" s="71">
        <f>ROUNDDOWN((M32^2+$E$11+$F$11/4)*$F$6/100+5,0)</f>
        <v>1324</v>
      </c>
      <c r="H32" s="71">
        <f>ROUNDDOWN((N32^2+$E$11+$F$11/4)*$F$6/100+5,0)</f>
        <v>1324</v>
      </c>
      <c r="I32" s="71">
        <f>ROUNDDOWN(G32*(100+$G$6)/100,0)</f>
        <v>1324</v>
      </c>
      <c r="J32" s="71">
        <f>ROUNDDOWN(H32*(100+$H$6)/100,0)</f>
        <v>1324</v>
      </c>
      <c r="K32" s="71">
        <f>ROUNDDOWN((O32^2+$E$11+$F$11/4)*$F$6/100+5,0)</f>
        <v>1324</v>
      </c>
      <c r="L32" s="71">
        <f>_xlfn.XLOOKUP($E$6,MonsterMB!$B:$B,MonsterMB!$I:$I)</f>
        <v>35</v>
      </c>
      <c r="M32" s="71">
        <f>_xlfn.XLOOKUP($E$6,MonsterMB!$B:$B,MonsterMB!$J:$J)</f>
        <v>35</v>
      </c>
      <c r="N32" s="71">
        <f>_xlfn.XLOOKUP($E$6,MonsterMB!$B:$B,MonsterMB!$K:$K)</f>
        <v>35</v>
      </c>
      <c r="O32" s="72">
        <f>_xlfn.XLOOKUP($E$6,MonsterMB!$B:$B,MonsterMB!$L:$L)</f>
        <v>35</v>
      </c>
    </row>
    <row r="33" spans="4:10" ht="12.75" customHeight="1" thickBot="1">
      <c r="D33" s="77" t="s">
        <v>1888</v>
      </c>
      <c r="E33" s="61" t="s">
        <v>1889</v>
      </c>
      <c r="F33" s="60" t="s">
        <v>1890</v>
      </c>
      <c r="G33" s="60" t="s">
        <v>1918</v>
      </c>
      <c r="H33" s="60" t="s">
        <v>1913</v>
      </c>
      <c r="I33" s="60" t="s">
        <v>1914</v>
      </c>
      <c r="J33" s="78" t="s">
        <v>1915</v>
      </c>
    </row>
    <row r="34" spans="4:10" hidden="1">
      <c r="D34" s="63" t="s">
        <v>1909</v>
      </c>
      <c r="E34" s="67">
        <f>ROUNDDOWN((ROUNDDOWN(ROUNDDOWN(ROUNDDOWN($F$5*2/5+2,0)*$E$8*I31/J32,0)/50,0)+2)*0.85,0)</f>
        <v>80</v>
      </c>
      <c r="F34" s="68">
        <f>ROUNDDOWN((ROUNDDOWN(ROUNDDOWN(ROUNDDOWN($F$5*2/5+2,0)*$E$8*I31/J32,0)/50,0)+2)*1,0)</f>
        <v>95</v>
      </c>
      <c r="G34" s="68" t="str">
        <f>ROUND(E34/F32*100,1)&amp;"% ~ "&amp;ROUND(F34/F32*100,1)&amp;"%"</f>
        <v>1.4% ~ 1.7%</v>
      </c>
      <c r="H34" s="68"/>
      <c r="I34" s="68"/>
      <c r="J34" s="69"/>
    </row>
    <row r="35" spans="4:10" ht="15" thickBot="1">
      <c r="D35" s="64" t="s">
        <v>1910</v>
      </c>
      <c r="E35" s="70">
        <f>ROUNDDOWN((I31*($E$8/100)*(1-((J32/10)/(180+$F$6))))*0.85,0)</f>
        <v>657</v>
      </c>
      <c r="F35" s="71">
        <f>ROUNDDOWN(I31*($E$8/100)*(1-((J32/10)/(180+$F$6))),0)</f>
        <v>773</v>
      </c>
      <c r="G35" s="71" t="str">
        <f>ROUND(E35/F32*100,1)&amp;"% ~ "&amp;ROUND(F35/F32*100,1)&amp;"%"</f>
        <v>11.5% ~ 13.5%</v>
      </c>
      <c r="H35" s="71"/>
      <c r="I35" s="71"/>
      <c r="J35" s="72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29</vt:i4>
      </vt:variant>
    </vt:vector>
  </HeadingPairs>
  <TitlesOfParts>
    <vt:vector size="29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2022-10-01T05:07:36Z</dcterms:modified>
</cp:coreProperties>
</file>