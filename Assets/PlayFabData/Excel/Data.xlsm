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4CF21CD1-79AB-4590-9A14-9261538BDD84}" xr6:coauthVersionLast="47" xr6:coauthVersionMax="47" xr10:uidLastSave="{00000000-0000-0000-0000-000000000000}"/>
  <bookViews>
    <workbookView xWindow="-28920" yWindow="-120" windowWidth="29040" windowHeight="15840" firstSheet="6" activeTab="12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PassiveSkillMB" sheetId="19" r:id="rId18"/>
    <sheet name="NormalSkillMB" sheetId="20" r:id="rId19"/>
    <sheet name="UltimateSkillMB" sheetId="21" r:id="rId20"/>
    <sheet name="SkillFxMB" sheetId="22" r:id="rId21"/>
    <sheet name="MissionMB" sheetId="24" r:id="rId22"/>
    <sheet name="ContainerMB" sheetId="25" r:id="rId23"/>
    <sheet name="LoginBonusMB" sheetId="26" r:id="rId24"/>
    <sheet name="SkillLevelUpTableMB" sheetId="28" r:id="rId25"/>
    <sheet name="MaxMonsterLevelMB" sheetId="29" r:id="rId26"/>
    <sheet name="GradeUpTableMB" sheetId="30" r:id="rId27"/>
    <sheet name="LockableMB" sheetId="33" r:id="rId28"/>
    <sheet name="ダメージシミュレーション" sheetId="31" r:id="rId2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0" roundtripDataSignature="AMtx7mi1iiCHMCpdZRORiJYO+zEEYvYOEw=="/>
    </ext>
  </extLst>
</workbook>
</file>

<file path=xl/calcChain.xml><?xml version="1.0" encoding="utf-8"?>
<calcChain xmlns="http://schemas.openxmlformats.org/spreadsheetml/2006/main">
  <c r="E14" i="10" l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E13" i="10"/>
  <c r="E12" i="10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J32" i="31"/>
  <c r="F19" i="31"/>
  <c r="E19" i="31"/>
  <c r="F18" i="31"/>
  <c r="E18" i="31"/>
  <c r="E27" i="31"/>
  <c r="E26" i="31"/>
  <c r="F27" i="31"/>
  <c r="F35" i="31" l="1"/>
  <c r="E35" i="31"/>
  <c r="E34" i="31"/>
  <c r="G19" i="31"/>
  <c r="F34" i="31"/>
  <c r="G18" i="31"/>
  <c r="G27" i="31"/>
  <c r="F26" i="31"/>
  <c r="G26" i="31" s="1"/>
  <c r="G35" i="31" l="1"/>
  <c r="G34" i="31"/>
</calcChain>
</file>

<file path=xl/sharedStrings.xml><?xml version="1.0" encoding="utf-8"?>
<sst xmlns="http://schemas.openxmlformats.org/spreadsheetml/2006/main" count="5380" uniqueCount="2038">
  <si>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</si>
  <si>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</si>
  <si>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</si>
  <si>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</si>
  <si>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</si>
  <si>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</si>
  <si>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</si>
  <si>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</si>
  <si>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</si>
  <si>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</si>
  <si>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</si>
  <si>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</si>
  <si>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</si>
  <si>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</si>
  <si>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</si>
  <si>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</si>
  <si>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</si>
  <si>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</si>
  <si>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</si>
  <si>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</si>
  <si>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</si>
  <si>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</si>
  <si>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</si>
  <si>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</si>
  <si>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</si>
  <si>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</si>
  <si>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</si>
  <si>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</si>
  <si>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</si>
  <si>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</si>
  <si>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</si>
  <si>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</si>
  <si>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</si>
  <si>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</si>
  <si>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</si>
  <si>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</si>
  <si>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</si>
  <si>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</si>
  <si>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</si>
  <si>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</si>
  <si>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</si>
  <si>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</si>
  <si>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</si>
  <si>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</si>
  <si>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</si>
  <si>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</si>
  <si>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</si>
  <si>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</si>
  <si>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</si>
  <si>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</si>
  <si>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</si>
  <si>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</si>
  <si>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</si>
  <si>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</si>
  <si>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</si>
  <si>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</si>
  <si>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</si>
  <si>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</si>
  <si>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</si>
  <si>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</si>
  <si>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</si>
  <si>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</si>
  <si>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</si>
  <si>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</si>
  <si>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</si>
  <si>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</si>
  <si>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</si>
  <si>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</si>
  <si>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</si>
  <si>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</si>
  <si>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</si>
  <si>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</si>
  <si>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</si>
  <si>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</si>
  <si>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</si>
  <si>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</si>
  <si>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</si>
  <si>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</si>
  <si>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</si>
  <si>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</si>
  <si>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</si>
  <si>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</si>
  <si>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</si>
  <si>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</si>
  <si>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</si>
  <si>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</si>
  <si>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</si>
  <si>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</si>
  <si>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</si>
  <si>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</si>
  <si>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</si>
  <si>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</si>
  <si>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</si>
  <si>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</si>
  <si>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</si>
  <si>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</si>
  <si>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</si>
  <si>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</si>
  <si>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</si>
  <si>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</si>
  <si>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</si>
  <si>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</si>
  <si>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</si>
  <si>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</si>
  <si>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</si>
  <si>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</si>
  <si>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</si>
  <si>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</si>
  <si>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</si>
  <si>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</si>
  <si>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</si>
  <si>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</si>
  <si>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</si>
  <si>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</si>
  <si>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</si>
  <si>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</si>
  <si>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</si>
  <si>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</si>
  <si>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</si>
  <si>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</si>
  <si>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</si>
  <si>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</si>
  <si>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</si>
  <si>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</si>
  <si>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</si>
  <si>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</si>
  <si>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</si>
  <si>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</si>
  <si>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</si>
  <si>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</si>
  <si>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</si>
  <si>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</si>
  <si>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</si>
  <si>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</si>
  <si>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</si>
  <si>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</si>
  <si>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</si>
  <si>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</si>
  <si>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</si>
  <si>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</si>
  <si>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</si>
  <si>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</si>
  <si>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</si>
  <si>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</si>
  <si>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</si>
  <si>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</si>
  <si>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</si>
  <si>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</si>
  <si>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</si>
  <si>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</si>
  <si>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</si>
  <si>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</si>
  <si>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</si>
  <si>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</si>
  <si>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</si>
  <si>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</si>
  <si>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</si>
  <si>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</si>
  <si>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</si>
  <si>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</si>
  <si>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</si>
  <si>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</si>
  <si>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</si>
  <si>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</si>
  <si>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</si>
  <si>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</si>
  <si>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</si>
  <si>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</si>
  <si>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</si>
  <si>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</si>
  <si>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</si>
  <si>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</si>
  <si>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</si>
  <si>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</si>
  <si>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</si>
  <si>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</si>
  <si>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</si>
  <si>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</si>
  <si>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</si>
  <si>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</si>
  <si>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</si>
  <si>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</si>
  <si>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</si>
  <si>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</si>
  <si>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</si>
  <si>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</si>
  <si>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</si>
  <si>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</si>
  <si>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</si>
  <si>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</si>
  <si>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</si>
  <si>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</si>
  <si>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</si>
  <si>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</si>
  <si>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</si>
  <si>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</si>
  <si>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</si>
  <si>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</si>
  <si>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</si>
  <si>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</si>
  <si>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</si>
  <si>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</si>
  <si>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</si>
  <si>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</si>
  <si>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</si>
  <si>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</si>
  <si>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</si>
  <si>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</si>
  <si>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</si>
  <si>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</si>
  <si>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</si>
  <si>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</si>
  <si>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</si>
  <si>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</si>
  <si>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</si>
  <si>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</si>
  <si>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</si>
  <si>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</si>
  <si>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</si>
  <si>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</si>
  <si>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</si>
  <si>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</si>
  <si>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</si>
  <si>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</si>
  <si>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</si>
  <si>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</si>
  <si>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</si>
  <si>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</si>
  <si>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</si>
  <si>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</si>
  <si>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</si>
  <si>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</si>
  <si>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</si>
  <si>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</si>
  <si>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</si>
  <si>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</si>
  <si>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</si>
  <si>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</si>
  <si>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</si>
  <si>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</si>
  <si>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</si>
  <si>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</si>
  <si>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</si>
  <si>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</si>
  <si>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</si>
  <si>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</si>
  <si>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</si>
  <si>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</si>
  <si>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</si>
  <si>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</si>
  <si>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</si>
  <si>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</si>
  <si>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</si>
  <si>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</si>
  <si>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</si>
  <si>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</si>
  <si>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</si>
  <si>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</si>
  <si>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</si>
  <si>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</si>
  <si>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</si>
  <si>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</si>
  <si>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</si>
  <si>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</si>
  <si>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</si>
  <si>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</si>
  <si>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</si>
  <si>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</si>
  <si>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</si>
  <si>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</si>
  <si>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</si>
  <si>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</si>
  <si>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</si>
  <si>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</si>
  <si>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</si>
  <si>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</si>
  <si>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</si>
  <si>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</si>
  <si>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</si>
  <si>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</si>
  <si>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</si>
  <si>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</si>
  <si>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</si>
  <si>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</si>
  <si>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</si>
  <si>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</si>
  <si>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</si>
  <si>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</si>
  <si>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</si>
  <si>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</si>
  <si>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</si>
  <si>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</si>
  <si>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</si>
  <si>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</si>
  <si>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</si>
  <si>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</si>
  <si>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</si>
  <si>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</si>
  <si>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</si>
  <si>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</si>
  <si>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</si>
  <si>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</si>
  <si>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</si>
  <si>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</si>
  <si>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</si>
  <si>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</si>
  <si>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</si>
  <si>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</si>
  <si>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</si>
  <si>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</si>
  <si>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</si>
  <si>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</si>
  <si>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</si>
  <si>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</si>
  <si>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</si>
  <si>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</si>
  <si>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</si>
  <si>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</si>
  <si>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</si>
  <si>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</si>
  <si>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</si>
  <si>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</si>
  <si>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</si>
  <si>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</si>
  <si>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</si>
  <si>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</si>
  <si>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</si>
  <si>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</si>
  <si>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</si>
  <si>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</si>
  <si>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</si>
  <si>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</si>
  <si>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</si>
  <si>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</si>
  <si>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</si>
  <si>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</si>
  <si>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</si>
  <si>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</si>
  <si>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</si>
  <si>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</si>
  <si>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</si>
  <si>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</si>
  <si>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</si>
  <si>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</si>
  <si>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</si>
  <si>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</si>
  <si>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</si>
  <si>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</si>
  <si>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</si>
  <si>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</si>
  <si>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</si>
  <si>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</si>
  <si>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</si>
  <si>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</si>
  <si>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</si>
  <si>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</si>
  <si>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</si>
  <si>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</si>
  <si>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</si>
  <si>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</si>
  <si>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</si>
  <si>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</si>
  <si>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</si>
  <si>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</si>
  <si>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</si>
  <si>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</si>
  <si>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</si>
  <si>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</si>
  <si>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</si>
  <si>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</si>
  <si>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</si>
  <si>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</si>
  <si>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</si>
  <si>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</si>
  <si>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</si>
  <si>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</si>
  <si>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</si>
  <si>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</si>
  <si>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</si>
  <si>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</si>
  <si>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</si>
  <si>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</si>
  <si>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</si>
  <si>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</si>
  <si>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</si>
  <si>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</si>
  <si>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</si>
  <si>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</si>
  <si>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</si>
  <si>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</si>
  <si>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</si>
  <si>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</si>
  <si>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</si>
  <si>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</si>
  <si>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</si>
  <si>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</si>
  <si>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</si>
  <si>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</si>
  <si>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</si>
  <si>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</si>
  <si>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</si>
  <si>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</si>
  <si>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</si>
  <si>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</si>
  <si>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</si>
  <si>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</si>
  <si>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</si>
  <si>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</si>
  <si>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</si>
  <si>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</si>
  <si>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</si>
  <si>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</si>
  <si>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</si>
  <si>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</si>
  <si>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</si>
  <si>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</si>
  <si>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</si>
  <si>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</si>
  <si>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</si>
  <si>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</si>
  <si>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</si>
  <si>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</si>
  <si>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</si>
  <si>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</si>
  <si>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</si>
  <si>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</si>
  <si>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</si>
  <si>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</si>
  <si>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</si>
  <si>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</si>
  <si>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</si>
  <si>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</si>
  <si>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</si>
  <si>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</si>
  <si>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</si>
  <si>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</si>
  <si>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</si>
  <si>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</si>
  <si>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</si>
  <si>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</si>
  <si>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</si>
  <si>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</si>
  <si>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</si>
  <si>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</si>
  <si>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</si>
  <si>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</si>
  <si>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</si>
  <si>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</si>
  <si>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</si>
  <si>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</si>
  <si>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</si>
  <si>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</si>
  <si>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</si>
  <si>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</si>
  <si>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</si>
  <si>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</si>
  <si>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</si>
  <si>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</si>
  <si>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</si>
  <si>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</si>
  <si>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</si>
  <si>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</si>
  <si>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</si>
  <si>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</si>
  <si>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</si>
  <si>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</si>
  <si>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</si>
  <si>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</si>
  <si>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</si>
  <si>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</si>
  <si>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</si>
  <si>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</si>
  <si>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</si>
  <si>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</si>
  <si>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</si>
  <si>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</si>
  <si>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</si>
  <si>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</si>
  <si>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</si>
  <si>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</si>
  <si>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</si>
  <si>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</si>
  <si>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</si>
  <si>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</si>
  <si>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</si>
  <si>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</si>
  <si>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</si>
  <si>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</si>
  <si>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</si>
  <si>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</si>
  <si>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</si>
  <si>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</si>
  <si>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</si>
  <si>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</si>
  <si>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</si>
  <si>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</si>
  <si>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</si>
  <si>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</si>
  <si>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</si>
  <si>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</si>
  <si>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</si>
  <si>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</si>
  <si>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</si>
  <si>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</si>
  <si>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</si>
  <si>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</si>
  <si>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</si>
  <si>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</si>
  <si>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</si>
  <si>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</si>
  <si>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</si>
  <si>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</si>
  <si>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</si>
  <si>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</si>
  <si>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</si>
  <si>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</si>
  <si>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</si>
  <si>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</si>
  <si>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</si>
  <si>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</si>
  <si>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</si>
  <si>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</si>
  <si>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</si>
  <si>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</si>
  <si>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</si>
  <si>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</si>
  <si>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</si>
  <si>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</si>
  <si>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</si>
  <si>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</si>
  <si>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</si>
  <si>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</si>
  <si>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</si>
  <si>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</si>
  <si>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</si>
  <si>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</si>
  <si>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</si>
  <si>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</si>
  <si>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</si>
  <si>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</si>
  <si>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</si>
  <si>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</si>
  <si>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</si>
  <si>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</si>
  <si>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</si>
  <si>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</si>
  <si>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</si>
  <si>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</si>
  <si>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</si>
  <si>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</si>
  <si>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</si>
  <si>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</si>
  <si>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</si>
  <si>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</si>
  <si>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</si>
  <si>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</si>
  <si>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</si>
  <si>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</si>
  <si>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</si>
  <si>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</si>
  <si>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</si>
  <si>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</si>
  <si>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</si>
  <si>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</si>
  <si>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</si>
  <si>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</si>
  <si>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</si>
  <si>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</si>
  <si>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</si>
  <si>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</si>
  <si>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</si>
  <si>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</si>
  <si>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</si>
  <si>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</si>
  <si>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</si>
  <si>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</si>
  <si>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</si>
  <si>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</si>
  <si>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</si>
  <si>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</si>
  <si>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</si>
  <si>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</si>
  <si>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</si>
  <si>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</si>
  <si>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</si>
  <si>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</si>
  <si>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</si>
  <si>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</si>
  <si>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</si>
  <si>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</si>
  <si>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</si>
  <si>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</si>
  <si>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</si>
  <si>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</si>
  <si>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</si>
  <si>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</si>
  <si>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</si>
  <si>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</si>
  <si>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</si>
  <si>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</si>
  <si>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</si>
  <si>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</si>
  <si>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</si>
  <si>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</si>
  <si>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</si>
  <si>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</si>
  <si>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</si>
  <si>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</si>
  <si>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</si>
  <si>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</si>
  <si>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</si>
  <si>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</si>
  <si>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</si>
  <si>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</si>
  <si>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</si>
  <si>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</si>
  <si>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</si>
  <si>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</si>
  <si>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</si>
  <si>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</si>
  <si>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</si>
  <si>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</si>
  <si>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</si>
  <si>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</si>
  <si>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</si>
  <si>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</si>
  <si>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</si>
  <si>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</si>
  <si>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</si>
  <si>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</si>
  <si>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</si>
  <si>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</si>
  <si>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</si>
  <si>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</si>
  <si>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</si>
  <si>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</si>
  <si>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</si>
  <si>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</si>
  <si>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</si>
  <si>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</si>
  <si>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</si>
  <si>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</si>
  <si>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</si>
  <si>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</si>
  <si>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</si>
  <si>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</si>
  <si>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</si>
  <si>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</si>
  <si>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</si>
  <si>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</si>
  <si>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</si>
  <si>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</si>
  <si>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</si>
  <si>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</si>
  <si>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</si>
  <si>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</si>
  <si>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</si>
  <si>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</si>
  <si>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</si>
  <si>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</si>
  <si>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</si>
  <si>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</si>
  <si>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</si>
  <si>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</si>
  <si>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</si>
  <si>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</si>
  <si>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</si>
  <si>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</si>
  <si>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</si>
  <si>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</si>
  <si>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</si>
  <si>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</si>
  <si>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</si>
  <si>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</si>
  <si>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</si>
  <si>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</si>
  <si>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</si>
  <si>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</si>
  <si>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</si>
  <si>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</si>
  <si>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</si>
  <si>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</si>
  <si>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</si>
  <si>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</si>
  <si>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</si>
  <si>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</si>
  <si>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</si>
  <si>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</si>
  <si>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</si>
  <si>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</si>
  <si>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</si>
  <si>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</si>
  <si>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</si>
  <si>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</si>
  <si>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</si>
  <si>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</si>
  <si>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</si>
  <si>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</si>
  <si>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</si>
  <si>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</si>
  <si>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</si>
  <si>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</si>
  <si>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</si>
  <si>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</si>
  <si>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</si>
  <si>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</si>
  <si>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</si>
  <si>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</si>
  <si>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</si>
  <si>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</si>
  <si>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</si>
  <si>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</si>
  <si>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</si>
  <si>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</si>
  <si>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</si>
  <si>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</si>
  <si>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</si>
  <si>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</si>
  <si>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</si>
  <si>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</si>
  <si>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</si>
  <si>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</si>
  <si>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</si>
  <si>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</si>
  <si>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</si>
  <si>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</si>
  <si>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</si>
  <si>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</si>
  <si>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</si>
  <si>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</si>
  <si>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</si>
  <si>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</si>
  <si>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</si>
  <si>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</si>
  <si>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</si>
  <si>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</si>
  <si>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</si>
  <si>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</si>
  <si>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</si>
  <si>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</si>
  <si>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</si>
  <si>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</si>
  <si>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</si>
  <si>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</si>
  <si>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</si>
  <si>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</si>
  <si>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</si>
  <si>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</si>
  <si>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</si>
  <si>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</si>
  <si>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</si>
  <si>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</si>
  <si>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</si>
  <si>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</si>
  <si>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</si>
  <si>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</si>
  <si>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</si>
  <si>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</si>
  <si>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</si>
  <si>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</si>
  <si>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</si>
  <si>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</si>
  <si>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</si>
  <si>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</si>
  <si>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</si>
  <si>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</si>
  <si>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</si>
  <si>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</si>
  <si>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</si>
  <si>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</si>
  <si>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</si>
  <si>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</si>
  <si>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</si>
  <si>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</si>
  <si>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</si>
  <si>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</si>
  <si>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</si>
  <si>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</si>
  <si>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</si>
  <si>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</si>
  <si>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</si>
  <si>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</si>
  <si>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</si>
  <si>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</si>
  <si>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</si>
  <si>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</si>
  <si>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</si>
  <si>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</si>
  <si>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</si>
  <si>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</si>
  <si>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</si>
  <si>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</si>
  <si>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</si>
  <si>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</si>
  <si>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</si>
  <si>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</si>
  <si>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</si>
  <si>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</si>
  <si>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</si>
  <si>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</si>
  <si>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</si>
  <si>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</si>
  <si>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</si>
  <si>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</si>
  <si>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</si>
  <si>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</si>
  <si>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</si>
  <si>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</si>
  <si>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</si>
  <si>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</si>
  <si>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</si>
  <si>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</si>
  <si>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</si>
  <si>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</si>
  <si>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</si>
  <si>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</si>
  <si>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</si>
  <si>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</si>
  <si>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</si>
  <si>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</si>
  <si>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</si>
  <si>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</si>
  <si>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</si>
  <si>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</si>
  <si>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</si>
  <si>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</si>
  <si>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</si>
  <si>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</si>
  <si>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</si>
  <si>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</si>
  <si>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</si>
  <si>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</si>
  <si>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</si>
  <si>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</si>
  <si>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</si>
  <si>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</si>
  <si>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</si>
  <si>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</si>
  <si>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</si>
  <si>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</si>
  <si>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</si>
  <si>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</si>
  <si>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</si>
  <si>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</si>
  <si>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</si>
  <si>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</si>
  <si>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</si>
  <si>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</si>
  <si>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</si>
  <si>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</si>
  <si>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</si>
  <si>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</si>
  <si>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</si>
  <si>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</si>
  <si>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</si>
  <si>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</si>
  <si>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</si>
  <si>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</si>
  <si>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</si>
  <si>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</si>
  <si>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</si>
  <si>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</si>
  <si>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</si>
  <si>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</si>
  <si>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</si>
  <si>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</si>
  <si>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</si>
  <si>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</si>
  <si>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</si>
  <si>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</si>
  <si>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</si>
  <si>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</si>
  <si>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</si>
  <si>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</si>
  <si>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</si>
  <si>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</si>
  <si>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</si>
  <si>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</si>
  <si>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</si>
  <si>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</si>
  <si>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</si>
  <si>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</si>
  <si>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</si>
  <si>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</si>
  <si>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</si>
  <si>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</si>
  <si>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</si>
  <si>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</si>
  <si>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</si>
  <si>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</si>
  <si>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</si>
  <si>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</si>
  <si>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</si>
  <si>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</si>
  <si>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</si>
  <si>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</si>
  <si>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</si>
  <si>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</si>
  <si>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</si>
  <si>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</si>
  <si>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</si>
  <si>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</si>
  <si>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</si>
  <si>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</si>
  <si>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</si>
  <si>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</si>
  <si>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</si>
  <si>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</si>
  <si>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</si>
  <si>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</si>
  <si>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</si>
  <si>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</si>
  <si>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</si>
  <si>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</si>
  <si>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</si>
  <si>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</si>
  <si>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</si>
  <si>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</si>
  <si>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</si>
  <si>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</si>
  <si>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</si>
  <si>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</si>
  <si>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</si>
  <si>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</si>
  <si>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</si>
  <si>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</si>
  <si>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</si>
  <si>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</si>
  <si>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</si>
  <si>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</si>
  <si>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</si>
  <si>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</si>
  <si>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</si>
  <si>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</si>
  <si>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</si>
  <si>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</si>
  <si>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</si>
  <si>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</si>
  <si>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</si>
  <si>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</si>
  <si>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</si>
  <si>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</si>
  <si>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</si>
  <si>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</si>
  <si>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</si>
  <si>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</si>
  <si>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</si>
  <si>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</si>
  <si>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</si>
  <si>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</si>
  <si>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</si>
  <si>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</si>
  <si>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</si>
  <si>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</si>
  <si>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</si>
  <si>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</si>
  <si>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</si>
  <si>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</si>
  <si>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</si>
  <si>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</si>
  <si>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</si>
  <si>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</si>
  <si>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</si>
  <si>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</si>
  <si>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</si>
  <si>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</si>
  <si>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</si>
  <si>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</si>
  <si>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</si>
  <si>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</si>
  <si>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</si>
  <si>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</si>
  <si>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</si>
  <si>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</si>
  <si>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</si>
  <si>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</si>
  <si>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</si>
  <si>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</si>
  <si>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</si>
  <si>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</si>
  <si>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</si>
  <si>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</si>
  <si>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</si>
  <si>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</si>
  <si>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</si>
  <si>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</si>
  <si>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</si>
  <si>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</si>
  <si>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</si>
  <si>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</si>
  <si>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</si>
  <si>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</si>
  <si>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</si>
  <si>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</si>
  <si>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</si>
  <si>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</si>
  <si>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</si>
  <si>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</si>
  <si>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</si>
  <si>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</si>
  <si>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</si>
  <si>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</si>
  <si>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</si>
  <si>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</si>
  <si>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</si>
  <si>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</si>
  <si>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</si>
  <si>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</si>
  <si>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</si>
  <si>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</si>
  <si>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</si>
  <si>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</si>
  <si>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</si>
  <si>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</si>
  <si>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</si>
  <si>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</si>
  <si>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</si>
  <si>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</si>
  <si>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</si>
  <si>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</si>
  <si>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</si>
  <si>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</si>
  <si>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</si>
  <si>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</si>
  <si>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</si>
  <si>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</si>
  <si>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</si>
  <si>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</si>
  <si>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</si>
  <si>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</si>
  <si>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</si>
  <si>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</si>
  <si>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</si>
  <si>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</si>
  <si>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</si>
  <si>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</si>
  <si>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</si>
  <si>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</si>
  <si>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</si>
  <si>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</si>
  <si>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</si>
  <si>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</si>
  <si>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</si>
  <si>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</si>
  <si>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</si>
  <si>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</si>
  <si>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</si>
  <si>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</si>
  <si>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</si>
  <si>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</si>
  <si>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</si>
  <si>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</si>
  <si>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</si>
  <si>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</si>
  <si>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</si>
  <si>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</si>
  <si>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</si>
  <si>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</si>
  <si>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</si>
  <si>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</si>
  <si>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</si>
  <si>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</si>
  <si>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</si>
  <si>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</si>
  <si>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</si>
  <si>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</si>
  <si>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</si>
  <si>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</si>
  <si>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</si>
  <si>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</si>
  <si>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</si>
  <si>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</si>
  <si>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</si>
  <si>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</si>
  <si>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</si>
  <si>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</si>
  <si>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</si>
  <si>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</si>
  <si>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</si>
  <si>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</si>
  <si>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</si>
  <si>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</si>
  <si>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</si>
  <si>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</si>
  <si>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</si>
  <si>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</si>
  <si>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</si>
  <si>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</si>
  <si>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</si>
  <si>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</si>
  <si>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</si>
  <si>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</si>
  <si>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</si>
  <si>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</si>
  <si>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</si>
  <si>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</si>
  <si>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</si>
  <si>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</si>
  <si>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</si>
  <si>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</si>
  <si>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</si>
  <si>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</si>
  <si>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</si>
  <si>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</si>
  <si>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</si>
  <si>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</si>
  <si>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</si>
  <si>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</si>
  <si>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</si>
  <si>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</si>
  <si>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</si>
  <si>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</si>
  <si>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</si>
  <si>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</si>
  <si>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</si>
  <si>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</si>
  <si>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</si>
  <si>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</si>
  <si>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</si>
  <si>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</si>
  <si>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</si>
  <si>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</si>
  <si>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</si>
  <si>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</si>
  <si>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</si>
  <si>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</si>
  <si>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</si>
  <si>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</si>
  <si>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</si>
  <si>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</si>
  <si>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</si>
  <si>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</si>
  <si>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</si>
  <si>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</si>
  <si>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</si>
  <si>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</si>
  <si>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</si>
  <si>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</si>
  <si>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</si>
  <si>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</si>
  <si>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</si>
  <si>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</si>
  <si>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</si>
  <si>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</si>
  <si>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</si>
  <si>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</si>
  <si>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</si>
  <si>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</si>
  <si>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</si>
  <si>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</si>
  <si>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</si>
  <si>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</si>
  <si>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</si>
  <si>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</si>
  <si>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</si>
  <si>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</si>
  <si>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</si>
  <si>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</si>
  <si>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</si>
  <si>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</si>
  <si>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</si>
  <si>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</si>
  <si>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</si>
  <si>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</si>
  <si>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</si>
  <si>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</si>
  <si>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</si>
  <si>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</si>
  <si>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</si>
  <si>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</si>
  <si>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</si>
  <si>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</si>
  <si>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</si>
  <si>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</si>
  <si>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</si>
  <si>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</si>
  <si>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</si>
  <si>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</si>
  <si>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</si>
  <si>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</si>
  <si>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</si>
  <si>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</si>
  <si>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</si>
  <si>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</si>
  <si>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</si>
  <si>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</si>
  <si>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</si>
  <si>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</si>
  <si>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</si>
  <si>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</si>
  <si>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</si>
  <si>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</si>
  <si>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</si>
  <si>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</si>
  <si>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</si>
  <si>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</si>
  <si>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</si>
  <si>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</si>
  <si>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</si>
  <si>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</si>
  <si>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</si>
  <si>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</si>
  <si>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</si>
  <si>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</si>
  <si>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</si>
  <si>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</si>
  <si>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</si>
  <si>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</si>
  <si>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</si>
  <si>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</si>
  <si>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</si>
  <si>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</si>
  <si>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</si>
  <si>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</si>
  <si>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</si>
  <si>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</si>
  <si>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</si>
  <si>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</si>
  <si>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</si>
  <si>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</si>
  <si>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</si>
  <si>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</si>
  <si>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</si>
  <si>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</si>
  <si>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</si>
  <si>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</si>
  <si>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</si>
  <si>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</si>
  <si>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</si>
  <si>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</si>
  <si>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</si>
  <si>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</si>
  <si>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</si>
  <si>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</si>
  <si>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</si>
  <si>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</si>
  <si>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</si>
  <si>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</si>
  <si>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</si>
  <si>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</si>
  <si>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</si>
  <si>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</si>
  <si>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</si>
  <si>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</si>
  <si>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</si>
  <si>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</si>
  <si>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</si>
  <si>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</si>
  <si>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</si>
  <si>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</si>
  <si>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</si>
  <si>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</si>
  <si>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</si>
  <si>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</si>
  <si>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</si>
  <si>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</si>
  <si>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</si>
  <si>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</si>
  <si>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</si>
  <si>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</si>
  <si>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</si>
  <si>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</si>
  <si>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</si>
  <si>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</si>
  <si>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</si>
  <si>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</si>
  <si>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</si>
  <si>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</si>
  <si>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</si>
  <si>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</si>
  <si>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</si>
  <si>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</si>
  <si>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</si>
  <si>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</si>
  <si>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</si>
  <si>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</si>
  <si>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</si>
  <si>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</si>
  <si>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</si>
  <si>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</si>
  <si>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</si>
  <si>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</si>
  <si>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</si>
  <si>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</si>
  <si>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</si>
  <si>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</si>
  <si>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</si>
  <si>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</si>
  <si>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</si>
  <si>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</si>
  <si>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</si>
  <si>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</si>
  <si>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</si>
  <si>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</si>
  <si>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</si>
  <si>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</si>
  <si>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</si>
  <si>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</si>
  <si>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</si>
  <si>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</si>
  <si>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</si>
  <si>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</si>
  <si>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</si>
  <si>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</si>
  <si>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</si>
  <si>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</si>
  <si>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</si>
  <si>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</si>
  <si>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</si>
  <si>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</si>
  <si>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</si>
  <si>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</si>
  <si>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</si>
  <si>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</si>
  <si>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</si>
  <si>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</si>
  <si>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</si>
  <si>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</si>
  <si>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</si>
  <si>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</si>
  <si>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</si>
  <si>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</si>
  <si>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</si>
  <si>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</si>
  <si>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</si>
  <si>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</si>
  <si>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</si>
  <si>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</si>
  <si>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</si>
  <si>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</si>
  <si>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</si>
  <si>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</si>
  <si>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</si>
  <si>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</si>
  <si>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</si>
  <si>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</si>
  <si>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</si>
  <si>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</si>
  <si>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</si>
  <si>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</si>
  <si>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</si>
  <si>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</si>
  <si>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</si>
  <si>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</si>
  <si>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</si>
  <si>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</si>
  <si>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</si>
  <si>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</si>
  <si>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</si>
  <si>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</si>
  <si>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</si>
  <si>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</si>
  <si>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</si>
  <si>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</si>
  <si>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</si>
  <si>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</si>
  <si>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</si>
  <si>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</si>
  <si>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</si>
  <si>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</si>
  <si>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</si>
  <si>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</si>
  <si>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</si>
  <si>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</si>
  <si>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</si>
  <si>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</si>
  <si>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</si>
  <si>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</si>
  <si>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</si>
  <si>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</si>
  <si>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</si>
  <si>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</si>
  <si>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</si>
  <si>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</si>
  <si>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</si>
  <si>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</si>
  <si>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</si>
  <si>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</si>
  <si>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</si>
  <si>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</si>
  <si>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</si>
  <si>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</si>
  <si>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</si>
  <si>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</si>
  <si>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</si>
  <si>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</si>
  <si>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</si>
  <si>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</si>
  <si>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</si>
  <si>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</si>
  <si>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</si>
  <si>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</si>
  <si>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</si>
  <si>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</si>
  <si>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</si>
  <si>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</si>
  <si>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</si>
  <si>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</si>
  <si>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</si>
  <si>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</si>
  <si>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</si>
  <si>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</si>
  <si>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</si>
  <si>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</si>
  <si>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</si>
  <si>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</si>
  <si>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</si>
  <si>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</si>
  <si>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</si>
  <si>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</si>
  <si>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</si>
  <si>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</si>
  <si>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</si>
  <si>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</si>
  <si>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</si>
  <si>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</si>
  <si>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</si>
  <si>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</si>
  <si>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</si>
  <si>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</si>
  <si>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</si>
  <si>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</si>
  <si>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</si>
  <si>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</si>
  <si>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</si>
  <si>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</si>
  <si>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</si>
  <si>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</si>
  <si>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</si>
  <si>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</si>
  <si>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</si>
  <si>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</si>
  <si>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</si>
  <si>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</si>
  <si>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</si>
  <si>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</si>
  <si>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</si>
  <si>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</si>
  <si>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</si>
  <si>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</si>
  <si>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</si>
  <si>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</si>
  <si>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</si>
  <si>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</si>
  <si>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</si>
  <si>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</si>
  <si>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</si>
  <si>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</si>
  <si>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</si>
  <si>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</si>
  <si>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</si>
  <si>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</si>
  <si>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</si>
  <si>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</si>
  <si>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</si>
  <si>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</si>
  <si>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</si>
  <si>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</si>
  <si>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</si>
  <si>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</si>
  <si>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</si>
  <si>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</si>
  <si>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</si>
  <si>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</si>
  <si>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</si>
  <si>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</si>
  <si>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</si>
  <si>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</si>
  <si>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</si>
  <si>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</si>
  <si>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</si>
  <si>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</si>
  <si>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</si>
  <si>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</si>
  <si>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</si>
  <si>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</si>
  <si>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</si>
  <si>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</si>
  <si>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</si>
  <si>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</si>
  <si>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</si>
  <si>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</si>
  <si>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</si>
  <si>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</si>
  <si>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</si>
  <si>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</si>
  <si>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</si>
  <si>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</si>
  <si>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</si>
  <si>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</si>
  <si>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</si>
  <si>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</si>
  <si>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</si>
  <si>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</si>
  <si>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</si>
  <si>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</si>
  <si>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</si>
  <si>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</si>
  <si>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</si>
  <si>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</si>
  <si>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</si>
  <si>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</si>
  <si>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</si>
  <si>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</si>
  <si>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</si>
  <si>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</si>
  <si>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</si>
  <si>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</si>
  <si>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</si>
  <si>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</si>
  <si>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</si>
  <si>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</si>
  <si>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</si>
  <si>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</si>
  <si>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</si>
  <si>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</si>
  <si>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</si>
  <si>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</si>
  <si>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</si>
  <si>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</si>
  <si>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</si>
  <si>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</si>
  <si>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</si>
  <si>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</si>
  <si>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</si>
  <si>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</si>
  <si>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</si>
  <si>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</si>
  <si>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</si>
  <si>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</si>
  <si>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</si>
  <si>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</si>
  <si>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</si>
  <si>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</si>
  <si>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</si>
  <si>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</si>
  <si>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</si>
  <si>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</si>
  <si>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</si>
  <si>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</si>
  <si>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</si>
  <si>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</si>
  <si>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</si>
  <si>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</si>
  <si>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</si>
  <si>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</si>
  <si>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</si>
  <si>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</si>
  <si>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</si>
  <si>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</si>
  <si>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</si>
  <si>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</si>
  <si>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</si>
  <si>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</si>
  <si>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</si>
  <si>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</si>
  <si>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</si>
  <si>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</si>
  <si>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</si>
  <si>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</si>
  <si>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</si>
  <si>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</si>
  <si>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</si>
  <si>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</si>
  <si>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</si>
  <si>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</si>
  <si>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</si>
  <si>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</si>
  <si>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</si>
  <si>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</si>
  <si>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</si>
  <si>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</si>
  <si>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</si>
  <si>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</si>
  <si>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</si>
  <si>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</si>
  <si>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</si>
  <si>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</si>
  <si>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</si>
  <si>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</si>
  <si>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</si>
  <si>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</si>
  <si>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</si>
  <si>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</si>
  <si>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</si>
  <si>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</si>
  <si>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</si>
  <si>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</si>
  <si>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</si>
  <si>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</si>
  <si>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</si>
  <si>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</si>
  <si>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</si>
  <si>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</si>
  <si>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</si>
  <si>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</si>
  <si>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</si>
  <si>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</si>
  <si>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</si>
  <si>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</si>
  <si>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</si>
  <si>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</si>
  <si>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</si>
  <si>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</si>
  <si>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</si>
  <si>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</si>
  <si>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</si>
  <si>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</si>
  <si>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</si>
  <si>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</si>
  <si>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</si>
  <si>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</si>
  <si>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</si>
  <si>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</si>
  <si>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</si>
  <si>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</si>
  <si>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</si>
  <si>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</si>
  <si>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</si>
  <si>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</si>
  <si>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</si>
  <si>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</si>
  <si>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</si>
  <si>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</si>
  <si>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</si>
  <si>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</si>
  <si>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</si>
  <si>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</si>
  <si>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</si>
  <si>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</si>
  <si>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</si>
  <si>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</si>
  <si>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</si>
  <si>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</si>
  <si>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</si>
  <si>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</si>
  <si>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</si>
  <si>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</si>
  <si>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</si>
  <si>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</si>
  <si>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</si>
  <si>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</si>
  <si>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</si>
  <si>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</si>
  <si>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</si>
  <si>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</si>
  <si>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</si>
  <si>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</si>
  <si>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</si>
  <si>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</si>
  <si>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</si>
  <si>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</si>
  <si>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</si>
  <si>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</si>
  <si>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</si>
  <si>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</si>
  <si>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</si>
  <si>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</si>
  <si>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</si>
  <si>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</si>
  <si>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</si>
  <si>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</si>
  <si>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</si>
  <si>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</si>
  <si>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</si>
  <si>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</si>
  <si>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</si>
  <si>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</si>
  <si>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</si>
  <si>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</si>
  <si>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</si>
  <si>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</si>
  <si>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</si>
  <si>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</si>
  <si>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</si>
  <si>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</si>
  <si>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</si>
  <si>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</si>
  <si>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</si>
  <si>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</si>
  <si>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</si>
  <si>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</si>
  <si>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</si>
  <si>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</si>
  <si>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</si>
  <si>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</si>
  <si>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</si>
  <si>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</si>
  <si>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</si>
  <si>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</si>
  <si>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</si>
  <si>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</si>
  <si>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</si>
  <si>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</si>
  <si>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</si>
  <si>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</si>
  <si>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</si>
  <si>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</si>
  <si>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</si>
  <si>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</si>
  <si>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</si>
  <si>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</si>
  <si>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</si>
  <si>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</si>
  <si>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</si>
  <si>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</si>
  <si>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</si>
  <si>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</si>
  <si>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</si>
  <si>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</si>
  <si>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</si>
  <si>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</si>
  <si>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</si>
  <si>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</si>
  <si>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</si>
  <si>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</si>
  <si>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</si>
  <si>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</si>
  <si>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</si>
  <si>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</si>
  <si>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</si>
  <si>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</si>
  <si>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</si>
  <si>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</si>
  <si>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</si>
  <si>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</si>
  <si>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</si>
  <si>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</si>
  <si>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</si>
  <si>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</si>
  <si>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</si>
  <si>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</si>
  <si>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</si>
  <si>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</si>
  <si>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</si>
  <si>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</si>
  <si>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</si>
  <si>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</si>
  <si>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</si>
  <si>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</si>
  <si>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</si>
  <si>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</si>
  <si>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</si>
  <si>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</si>
  <si>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</si>
  <si>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</si>
  <si>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</si>
  <si>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</si>
  <si>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</si>
  <si>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</si>
  <si>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</si>
  <si>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</si>
  <si>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</si>
  <si>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</si>
  <si>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</si>
  <si>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</si>
  <si>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</si>
  <si>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</si>
  <si>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</si>
  <si>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</si>
  <si>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</si>
  <si>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</si>
  <si>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</si>
  <si>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</si>
  <si>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</si>
  <si>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</si>
  <si>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</si>
  <si>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</si>
  <si>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</si>
  <si>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</si>
  <si>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</si>
  <si>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</si>
  <si>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</si>
  <si>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</si>
  <si>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</si>
  <si>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</si>
  <si>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</si>
  <si>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</si>
  <si>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</si>
  <si>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</si>
  <si>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</si>
  <si>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</si>
  <si>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</si>
  <si>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</si>
  <si>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</si>
  <si>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</si>
  <si>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</si>
  <si>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</si>
  <si>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</si>
  <si>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</si>
  <si>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</si>
  <si>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</si>
  <si>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</si>
  <si>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</si>
  <si>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</si>
  <si>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</si>
  <si>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</si>
  <si>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</si>
  <si>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</si>
  <si>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</si>
  <si>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</si>
  <si>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</si>
  <si>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</si>
  <si>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</si>
  <si>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</si>
  <si>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</si>
  <si>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</si>
  <si>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</si>
  <si>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</si>
  <si>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</si>
  <si>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</si>
  <si>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</si>
  <si>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</si>
  <si>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</si>
  <si>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</si>
  <si>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</si>
  <si>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</si>
  <si>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</si>
  <si>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</si>
  <si>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</si>
  <si>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</si>
  <si>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</si>
  <si>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</si>
  <si>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</si>
  <si>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</si>
  <si>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</si>
  <si>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</si>
  <si>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</si>
  <si>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</si>
  <si>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</si>
  <si>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</si>
  <si>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</si>
  <si>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</si>
  <si>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</si>
  <si>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</si>
  <si>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</si>
  <si>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</si>
  <si>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</si>
  <si>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</si>
  <si>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</si>
  <si>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</si>
  <si>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</si>
  <si>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</si>
  <si>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</si>
  <si>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</si>
  <si>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</si>
  <si>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</si>
  <si>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</si>
  <si>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</si>
  <si>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</si>
  <si>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</si>
  <si>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</si>
  <si>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</si>
  <si>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</si>
  <si>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</si>
  <si>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</si>
  <si>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</si>
  <si>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</si>
  <si>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</si>
  <si>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</si>
  <si>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</si>
  <si>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</si>
  <si>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</si>
  <si>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</si>
  <si>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</si>
  <si>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</si>
  <si>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</si>
  <si>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</si>
  <si>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</si>
  <si>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</si>
  <si>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</si>
  <si>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</si>
  <si>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</si>
  <si>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</si>
  <si>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</si>
  <si>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</si>
  <si>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</si>
  <si>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</si>
  <si>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</si>
  <si>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</si>
  <si>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</si>
  <si>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</si>
  <si>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</si>
  <si>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</si>
  <si>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</si>
  <si>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</si>
  <si>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</si>
  <si>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</si>
  <si>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</si>
  <si>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</si>
  <si>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</si>
  <si>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</si>
  <si>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</si>
  <si>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</si>
  <si>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</si>
  <si>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</si>
  <si>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</si>
  <si>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</si>
  <si>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</si>
  <si>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</si>
  <si>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</si>
  <si>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</si>
  <si>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</si>
  <si>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</si>
  <si>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</si>
  <si>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</si>
  <si>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</si>
  <si>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</si>
  <si>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</si>
  <si>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</si>
  <si>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</si>
  <si>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</si>
  <si>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</si>
  <si>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</si>
  <si>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</si>
  <si>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</si>
  <si>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</si>
  <si>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</si>
  <si>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</si>
  <si>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</si>
  <si>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</si>
  <si>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</si>
  <si>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</si>
  <si>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</si>
  <si>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</si>
  <si>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</si>
  <si>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</si>
  <si>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</si>
  <si>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</si>
  <si>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</si>
  <si>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</si>
  <si>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</si>
  <si>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</si>
  <si>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</si>
  <si>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</si>
  <si>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</si>
  <si>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</si>
  <si>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</si>
  <si>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</si>
  <si>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</si>
  <si>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</si>
  <si>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</si>
  <si>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</si>
  <si>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</si>
  <si>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</si>
  <si>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</si>
  <si>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</si>
  <si>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</si>
  <si>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</si>
  <si>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</si>
  <si>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</si>
  <si>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</si>
  <si>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</si>
  <si>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</si>
  <si>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</si>
  <si>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</si>
  <si>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</si>
  <si>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</si>
  <si>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</si>
  <si>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</si>
  <si>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</si>
  <si>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</si>
  <si>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</si>
  <si>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</si>
  <si>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</si>
  <si>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</si>
  <si>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</si>
  <si>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</si>
  <si>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</si>
  <si>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</si>
  <si>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</si>
  <si>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</si>
  <si>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</si>
  <si>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</si>
  <si>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</si>
  <si>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</si>
  <si>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</si>
  <si>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</si>
  <si>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</si>
  <si>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</si>
  <si>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</si>
  <si>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</si>
  <si>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</si>
  <si>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</si>
  <si>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</si>
  <si>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</si>
  <si>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</si>
  <si>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</si>
  <si>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</si>
  <si>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</si>
  <si>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</si>
  <si>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</si>
  <si>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</si>
  <si>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</si>
  <si>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</si>
  <si>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</si>
  <si>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</si>
  <si>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</si>
  <si>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</si>
  <si>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</si>
  <si>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</si>
  <si>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</si>
  <si>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</si>
  <si>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</si>
  <si>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</si>
  <si>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</si>
  <si>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</si>
  <si>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</si>
  <si>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</si>
  <si>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</si>
  <si>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</si>
  <si>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</si>
  <si>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2022-06-06 04:00:00</t>
    <phoneticPr fontId="3"/>
  </si>
  <si>
    <t>2022-06-07 04:00:00</t>
    <phoneticPr fontId="3"/>
  </si>
  <si>
    <t>2022-06-08 04:00:00</t>
    <phoneticPr fontId="3"/>
  </si>
  <si>
    <t>2022-06-09 04:00:00</t>
    <phoneticPr fontId="3"/>
  </si>
  <si>
    <t>2022-06-10 04:00:00</t>
    <phoneticPr fontId="3"/>
  </si>
  <si>
    <t>2022-06-11 04:00:00</t>
    <phoneticPr fontId="3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</si>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</sst>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 applyAlignme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/>
    <xf numFmtId="0" fontId="2" fillId="0" borderId="0" xfId="0" applyNumberFormat="1" applyFont="1" applyAlignment="1"/>
    <xf numFmtId="0" fontId="2" fillId="0" borderId="0" xfId="0" applyNumberFormat="1" applyFont="1" applyAlignment="1">
      <alignment vertical="center"/>
    </xf>
    <xf numFmtId="0" fontId="2" fillId="3" borderId="1" xfId="0" applyNumberFormat="1" applyFont="1" applyFill="1" applyBorder="1" applyAlignment="1">
      <alignment vertical="center"/>
    </xf>
    <xf numFmtId="0" fontId="2" fillId="4" borderId="1" xfId="0" applyNumberFormat="1" applyFont="1" applyFill="1" applyBorder="1" applyAlignment="1">
      <alignment vertical="center"/>
    </xf>
    <xf numFmtId="0" fontId="2" fillId="5" borderId="1" xfId="0" applyNumberFormat="1" applyFont="1" applyFill="1" applyBorder="1" applyAlignment="1">
      <alignment vertical="center" wrapText="1"/>
    </xf>
    <xf numFmtId="0" fontId="2" fillId="5" borderId="6" xfId="0" applyNumberFormat="1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vertical="center"/>
    </xf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</cellXfs>
  <cellStyles count="1">
    <cellStyle name="標準" xfId="0" builtinId="0"/>
  </cellStyles>
  <dxfs count="69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customschemas.google.com/relationships/workbookmetadata" Target="metadata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P1001"/>
  <sheetViews>
    <sheetView topLeftCell="A54" workbookViewId="0">
      <selection activeCell="G80" sqref="G8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12" width="12.625" style="36" customWidth="1"/>
    <col min="13" max="19" width="14.75" style="36" customWidth="1"/>
    <col min="20" max="20" width="15.25" style="36" customWidth="1"/>
    <col min="21" max="21" width="17.5" style="36" customWidth="1"/>
    <col min="22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14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103</v>
      </c>
      <c r="E4" s="3" t="s">
        <v>1733</v>
      </c>
      <c r="F4" s="3" t="s">
        <v>1767</v>
      </c>
      <c r="G4" s="3" t="s">
        <v>22</v>
      </c>
      <c r="H4" s="3"/>
      <c r="I4" s="3" t="s">
        <v>1893</v>
      </c>
      <c r="J4" s="3" t="s">
        <v>1894</v>
      </c>
      <c r="K4" s="3" t="s">
        <v>1895</v>
      </c>
      <c r="L4" s="3" t="s">
        <v>1896</v>
      </c>
      <c r="M4" s="3" t="s">
        <v>1707</v>
      </c>
      <c r="N4" s="3" t="s">
        <v>1708</v>
      </c>
      <c r="O4" s="3" t="s">
        <v>1709</v>
      </c>
      <c r="P4" s="3" t="s">
        <v>1713</v>
      </c>
      <c r="Q4" s="3" t="s">
        <v>1715</v>
      </c>
      <c r="R4" s="3" t="s">
        <v>1716</v>
      </c>
      <c r="S4" s="3" t="s">
        <v>1719</v>
      </c>
      <c r="T4" s="3" t="s">
        <v>1723</v>
      </c>
      <c r="U4" s="3" t="s">
        <v>1724</v>
      </c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1897</v>
      </c>
      <c r="J8" s="4" t="s">
        <v>1897</v>
      </c>
      <c r="K8" s="4" t="s">
        <v>1897</v>
      </c>
      <c r="L8" s="4" t="s">
        <v>1897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6" t="s">
        <v>11</v>
      </c>
      <c r="C9" s="6" t="s">
        <v>16</v>
      </c>
      <c r="D9" s="6" t="s">
        <v>1735</v>
      </c>
      <c r="E9" s="6" t="s">
        <v>1734</v>
      </c>
      <c r="F9" s="6" t="s">
        <v>1768</v>
      </c>
      <c r="G9" s="6" t="s">
        <v>1997</v>
      </c>
      <c r="H9" s="6" t="s">
        <v>1997</v>
      </c>
      <c r="I9" s="6" t="s">
        <v>1898</v>
      </c>
      <c r="J9" s="6" t="s">
        <v>1899</v>
      </c>
      <c r="K9" s="6" t="s">
        <v>1900</v>
      </c>
      <c r="L9" s="6" t="s">
        <v>1901</v>
      </c>
      <c r="M9" s="6" t="s">
        <v>1710</v>
      </c>
      <c r="N9" s="6" t="s">
        <v>1711</v>
      </c>
      <c r="O9" s="6" t="s">
        <v>1712</v>
      </c>
      <c r="P9" s="6" t="s">
        <v>1714</v>
      </c>
      <c r="Q9" s="6" t="s">
        <v>1717</v>
      </c>
      <c r="R9" s="6" t="s">
        <v>1718</v>
      </c>
      <c r="S9" s="6" t="s">
        <v>1720</v>
      </c>
      <c r="T9" s="6" t="s">
        <v>1721</v>
      </c>
      <c r="U9" s="6" t="s">
        <v>1722</v>
      </c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132" customHeight="1">
      <c r="A10" s="55" t="s">
        <v>12</v>
      </c>
      <c r="B10" s="6"/>
      <c r="C10" s="6"/>
      <c r="D10" s="6" t="s">
        <v>104</v>
      </c>
      <c r="E10" s="6" t="s">
        <v>1736</v>
      </c>
      <c r="F10" s="6"/>
      <c r="G10" s="6" t="s">
        <v>23</v>
      </c>
      <c r="H10" s="6"/>
      <c r="I10" s="6"/>
      <c r="J10" s="6"/>
      <c r="K10" s="6"/>
      <c r="L10" s="6"/>
      <c r="M10" s="5"/>
      <c r="N10" s="5"/>
      <c r="O10" s="5"/>
      <c r="P10" s="5"/>
      <c r="Q10" s="5"/>
      <c r="R10" s="5"/>
      <c r="S10" s="5"/>
      <c r="T10" s="5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18.75" customHeight="1">
      <c r="A11" s="56" t="s">
        <v>13</v>
      </c>
      <c r="B11" s="7">
        <v>1</v>
      </c>
      <c r="C11" s="7" t="s">
        <v>520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v>100010001</v>
      </c>
      <c r="N11" s="7">
        <v>100010002</v>
      </c>
      <c r="O11" s="7">
        <v>100010003</v>
      </c>
      <c r="P11" s="7">
        <v>10001</v>
      </c>
      <c r="Q11" s="7">
        <v>10002</v>
      </c>
      <c r="R11" s="7">
        <v>10003</v>
      </c>
      <c r="S11" s="7">
        <v>10001</v>
      </c>
      <c r="T11" s="7">
        <v>10002</v>
      </c>
      <c r="U11" s="7">
        <v>10003</v>
      </c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42" ht="18.75" customHeight="1">
      <c r="A12" s="8"/>
      <c r="B12" s="7">
        <v>2</v>
      </c>
      <c r="C12" s="7" t="s">
        <v>521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v>200010001</v>
      </c>
      <c r="N12" s="7">
        <v>200010002</v>
      </c>
      <c r="O12" s="7">
        <v>200010003</v>
      </c>
      <c r="P12" s="7">
        <v>20001</v>
      </c>
      <c r="Q12" s="7">
        <v>20002</v>
      </c>
      <c r="R12" s="7">
        <v>20003</v>
      </c>
      <c r="S12" s="7">
        <v>20001</v>
      </c>
      <c r="T12" s="7">
        <v>20002</v>
      </c>
      <c r="U12" s="7">
        <v>20003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8"/>
      <c r="B13" s="7">
        <v>3</v>
      </c>
      <c r="C13" s="7" t="s">
        <v>522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v>300010001</v>
      </c>
      <c r="N13" s="7">
        <v>300010002</v>
      </c>
      <c r="O13" s="7">
        <v>300010003</v>
      </c>
      <c r="P13" s="7">
        <v>30001</v>
      </c>
      <c r="Q13" s="7">
        <v>30002</v>
      </c>
      <c r="R13" s="7">
        <v>30003</v>
      </c>
      <c r="S13" s="7">
        <v>30001</v>
      </c>
      <c r="T13" s="7">
        <v>30002</v>
      </c>
      <c r="U13" s="7">
        <v>30003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7">
        <v>4</v>
      </c>
      <c r="C14" s="7" t="s">
        <v>523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v>400010001</v>
      </c>
      <c r="N14" s="7">
        <v>400010002</v>
      </c>
      <c r="O14" s="7">
        <v>400010003</v>
      </c>
      <c r="P14" s="7">
        <v>40001</v>
      </c>
      <c r="Q14" s="7">
        <v>40002</v>
      </c>
      <c r="R14" s="7">
        <v>40003</v>
      </c>
      <c r="S14" s="7">
        <v>40001</v>
      </c>
      <c r="T14" s="7">
        <v>40002</v>
      </c>
      <c r="U14" s="7">
        <v>40003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7">
        <v>5</v>
      </c>
      <c r="C15" s="7" t="s">
        <v>524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v>500010001</v>
      </c>
      <c r="N15" s="7">
        <v>500010002</v>
      </c>
      <c r="O15" s="7">
        <v>500010003</v>
      </c>
      <c r="P15" s="7">
        <v>50001</v>
      </c>
      <c r="Q15" s="7">
        <v>50002</v>
      </c>
      <c r="R15" s="7">
        <v>50003</v>
      </c>
      <c r="S15" s="7">
        <v>50001</v>
      </c>
      <c r="T15" s="7">
        <v>50002</v>
      </c>
      <c r="U15" s="7">
        <v>50003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7">
        <v>6</v>
      </c>
      <c r="C16" s="7" t="s">
        <v>525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v>600010001</v>
      </c>
      <c r="N16" s="7">
        <v>600010002</v>
      </c>
      <c r="O16" s="7">
        <v>600010003</v>
      </c>
      <c r="P16" s="7">
        <v>60001</v>
      </c>
      <c r="Q16" s="7">
        <v>60002</v>
      </c>
      <c r="R16" s="7">
        <v>60003</v>
      </c>
      <c r="S16" s="7">
        <v>60001</v>
      </c>
      <c r="T16" s="7">
        <v>60002</v>
      </c>
      <c r="U16" s="7">
        <v>60003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7</v>
      </c>
      <c r="C17" s="7" t="s">
        <v>526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v>700010001</v>
      </c>
      <c r="N17" s="7">
        <v>700010002</v>
      </c>
      <c r="O17" s="7">
        <v>700010003</v>
      </c>
      <c r="P17" s="7">
        <v>70001</v>
      </c>
      <c r="Q17" s="7">
        <v>70002</v>
      </c>
      <c r="R17" s="7">
        <v>70003</v>
      </c>
      <c r="S17" s="7">
        <v>70001</v>
      </c>
      <c r="T17" s="7">
        <v>70002</v>
      </c>
      <c r="U17" s="7">
        <v>70003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8</v>
      </c>
      <c r="C18" s="7" t="s">
        <v>527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v>800010001</v>
      </c>
      <c r="N18" s="7">
        <v>800010002</v>
      </c>
      <c r="O18" s="7">
        <v>800010003</v>
      </c>
      <c r="P18" s="7">
        <v>80001</v>
      </c>
      <c r="Q18" s="7">
        <v>80002</v>
      </c>
      <c r="R18" s="7">
        <v>80003</v>
      </c>
      <c r="S18" s="7">
        <v>80001</v>
      </c>
      <c r="T18" s="7">
        <v>80002</v>
      </c>
      <c r="U18" s="7">
        <v>80003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9</v>
      </c>
      <c r="C19" s="7" t="s">
        <v>528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v>900010001</v>
      </c>
      <c r="N19" s="7">
        <v>900010002</v>
      </c>
      <c r="O19" s="7">
        <v>900010003</v>
      </c>
      <c r="P19" s="7">
        <v>90001</v>
      </c>
      <c r="Q19" s="7">
        <v>90002</v>
      </c>
      <c r="R19" s="7">
        <v>90003</v>
      </c>
      <c r="S19" s="7">
        <v>90001</v>
      </c>
      <c r="T19" s="7">
        <v>90002</v>
      </c>
      <c r="U19" s="7">
        <v>90003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7">
        <v>10</v>
      </c>
      <c r="C20" s="7" t="s">
        <v>529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v>1000010001</v>
      </c>
      <c r="N20" s="7">
        <v>1000010002</v>
      </c>
      <c r="O20" s="7">
        <v>1000010003</v>
      </c>
      <c r="P20" s="7">
        <v>100001</v>
      </c>
      <c r="Q20" s="7">
        <v>100002</v>
      </c>
      <c r="R20" s="7">
        <v>100003</v>
      </c>
      <c r="S20" s="7">
        <v>100001</v>
      </c>
      <c r="T20" s="7">
        <v>100002</v>
      </c>
      <c r="U20" s="7">
        <v>100003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>
        <v>11</v>
      </c>
      <c r="C21" s="7" t="s">
        <v>530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v>1100010001</v>
      </c>
      <c r="N21" s="7">
        <v>1100010002</v>
      </c>
      <c r="O21" s="7">
        <v>1100010003</v>
      </c>
      <c r="P21" s="7">
        <v>110001</v>
      </c>
      <c r="Q21" s="7">
        <v>110002</v>
      </c>
      <c r="R21" s="7">
        <v>110003</v>
      </c>
      <c r="S21" s="7">
        <v>110001</v>
      </c>
      <c r="T21" s="7">
        <v>110002</v>
      </c>
      <c r="U21" s="7">
        <v>110003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7">
        <v>12</v>
      </c>
      <c r="C22" s="7" t="s">
        <v>531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v>1200010001</v>
      </c>
      <c r="N22" s="7">
        <v>1200010002</v>
      </c>
      <c r="O22" s="7">
        <v>1200010003</v>
      </c>
      <c r="P22" s="7">
        <v>120001</v>
      </c>
      <c r="Q22" s="7">
        <v>120002</v>
      </c>
      <c r="R22" s="7">
        <v>120003</v>
      </c>
      <c r="S22" s="7">
        <v>120001</v>
      </c>
      <c r="T22" s="7">
        <v>120002</v>
      </c>
      <c r="U22" s="7">
        <v>120003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>
        <v>13</v>
      </c>
      <c r="C23" s="7" t="s">
        <v>532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v>1300010001</v>
      </c>
      <c r="N23" s="7">
        <v>1300010002</v>
      </c>
      <c r="O23" s="7">
        <v>1300010003</v>
      </c>
      <c r="P23" s="7">
        <v>130001</v>
      </c>
      <c r="Q23" s="7">
        <v>130002</v>
      </c>
      <c r="R23" s="7">
        <v>130003</v>
      </c>
      <c r="S23" s="7">
        <v>130001</v>
      </c>
      <c r="T23" s="7">
        <v>130002</v>
      </c>
      <c r="U23" s="7">
        <v>130003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7">
        <v>14</v>
      </c>
      <c r="C24" s="7" t="s">
        <v>533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v>1400010001</v>
      </c>
      <c r="N24" s="7">
        <v>1400010002</v>
      </c>
      <c r="O24" s="7">
        <v>1400010003</v>
      </c>
      <c r="P24" s="7">
        <v>140001</v>
      </c>
      <c r="Q24" s="7">
        <v>140002</v>
      </c>
      <c r="R24" s="7">
        <v>140003</v>
      </c>
      <c r="S24" s="7">
        <v>140001</v>
      </c>
      <c r="T24" s="7">
        <v>140002</v>
      </c>
      <c r="U24" s="7">
        <v>140003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>
        <v>15</v>
      </c>
      <c r="C25" s="7" t="s">
        <v>534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v>1500010001</v>
      </c>
      <c r="N25" s="7">
        <v>1500010002</v>
      </c>
      <c r="O25" s="7">
        <v>1500010003</v>
      </c>
      <c r="P25" s="7">
        <v>150001</v>
      </c>
      <c r="Q25" s="7">
        <v>150002</v>
      </c>
      <c r="R25" s="7">
        <v>150003</v>
      </c>
      <c r="S25" s="7">
        <v>150001</v>
      </c>
      <c r="T25" s="7">
        <v>150002</v>
      </c>
      <c r="U25" s="7">
        <v>150003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7">
        <v>16</v>
      </c>
      <c r="C26" s="7" t="s">
        <v>535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v>1600010001</v>
      </c>
      <c r="N26" s="7">
        <v>1600010002</v>
      </c>
      <c r="O26" s="7">
        <v>1600010003</v>
      </c>
      <c r="P26" s="7">
        <v>160001</v>
      </c>
      <c r="Q26" s="7">
        <v>160002</v>
      </c>
      <c r="R26" s="7">
        <v>160003</v>
      </c>
      <c r="S26" s="7">
        <v>160001</v>
      </c>
      <c r="T26" s="7">
        <v>160002</v>
      </c>
      <c r="U26" s="7">
        <v>160003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>
        <v>17</v>
      </c>
      <c r="C27" s="7" t="s">
        <v>536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v>1700010001</v>
      </c>
      <c r="N27" s="7">
        <v>1700010002</v>
      </c>
      <c r="O27" s="7">
        <v>1700010003</v>
      </c>
      <c r="P27" s="7">
        <v>170001</v>
      </c>
      <c r="Q27" s="7">
        <v>170002</v>
      </c>
      <c r="R27" s="7">
        <v>170003</v>
      </c>
      <c r="S27" s="7">
        <v>170001</v>
      </c>
      <c r="T27" s="7">
        <v>170002</v>
      </c>
      <c r="U27" s="7">
        <v>170003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7">
        <v>18</v>
      </c>
      <c r="C28" s="7" t="s">
        <v>537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v>1800010001</v>
      </c>
      <c r="N28" s="7">
        <v>1800010002</v>
      </c>
      <c r="O28" s="7">
        <v>1800010003</v>
      </c>
      <c r="P28" s="7">
        <v>180001</v>
      </c>
      <c r="Q28" s="7">
        <v>180002</v>
      </c>
      <c r="R28" s="7">
        <v>180003</v>
      </c>
      <c r="S28" s="7">
        <v>180001</v>
      </c>
      <c r="T28" s="7">
        <v>180002</v>
      </c>
      <c r="U28" s="7">
        <v>180003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>
        <v>19</v>
      </c>
      <c r="C29" s="7" t="s">
        <v>538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v>1900010001</v>
      </c>
      <c r="N29" s="7">
        <v>1900010002</v>
      </c>
      <c r="O29" s="7">
        <v>1900010003</v>
      </c>
      <c r="P29" s="7">
        <v>190001</v>
      </c>
      <c r="Q29" s="7">
        <v>190002</v>
      </c>
      <c r="R29" s="7">
        <v>190003</v>
      </c>
      <c r="S29" s="7">
        <v>190001</v>
      </c>
      <c r="T29" s="7">
        <v>190002</v>
      </c>
      <c r="U29" s="7">
        <v>190003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7">
        <v>20</v>
      </c>
      <c r="C30" s="7" t="s">
        <v>539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v>2000010001</v>
      </c>
      <c r="N30" s="7">
        <v>2000010002</v>
      </c>
      <c r="O30" s="7">
        <v>2000010003</v>
      </c>
      <c r="P30" s="7">
        <v>200001</v>
      </c>
      <c r="Q30" s="7">
        <v>200002</v>
      </c>
      <c r="R30" s="7">
        <v>200003</v>
      </c>
      <c r="S30" s="7">
        <v>200001</v>
      </c>
      <c r="T30" s="7">
        <v>200002</v>
      </c>
      <c r="U30" s="7">
        <v>200003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>
        <v>21</v>
      </c>
      <c r="C31" s="7" t="s">
        <v>540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v>2100010001</v>
      </c>
      <c r="N31" s="7">
        <v>2100010002</v>
      </c>
      <c r="O31" s="7">
        <v>2100010003</v>
      </c>
      <c r="P31" s="7">
        <v>210001</v>
      </c>
      <c r="Q31" s="7">
        <v>210002</v>
      </c>
      <c r="R31" s="7">
        <v>210003</v>
      </c>
      <c r="S31" s="7">
        <v>210001</v>
      </c>
      <c r="T31" s="7">
        <v>210002</v>
      </c>
      <c r="U31" s="7">
        <v>210003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7">
        <v>22</v>
      </c>
      <c r="C32" s="7" t="s">
        <v>541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v>2200010001</v>
      </c>
      <c r="N32" s="7">
        <v>2200010002</v>
      </c>
      <c r="O32" s="7">
        <v>2200010003</v>
      </c>
      <c r="P32" s="7">
        <v>220001</v>
      </c>
      <c r="Q32" s="7">
        <v>220002</v>
      </c>
      <c r="R32" s="7">
        <v>220003</v>
      </c>
      <c r="S32" s="7">
        <v>220001</v>
      </c>
      <c r="T32" s="7">
        <v>220002</v>
      </c>
      <c r="U32" s="7">
        <v>220003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>
        <v>23</v>
      </c>
      <c r="C33" s="7" t="s">
        <v>542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v>2300010001</v>
      </c>
      <c r="N33" s="7">
        <v>2300010002</v>
      </c>
      <c r="O33" s="7">
        <v>2300010003</v>
      </c>
      <c r="P33" s="7">
        <v>230001</v>
      </c>
      <c r="Q33" s="7">
        <v>230002</v>
      </c>
      <c r="R33" s="7">
        <v>230003</v>
      </c>
      <c r="S33" s="7">
        <v>230001</v>
      </c>
      <c r="T33" s="7">
        <v>230002</v>
      </c>
      <c r="U33" s="7">
        <v>230003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7">
        <v>24</v>
      </c>
      <c r="C34" s="7" t="s">
        <v>543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v>2400010001</v>
      </c>
      <c r="N34" s="7">
        <v>2400010002</v>
      </c>
      <c r="O34" s="7">
        <v>2400010003</v>
      </c>
      <c r="P34" s="7">
        <v>240001</v>
      </c>
      <c r="Q34" s="7">
        <v>240002</v>
      </c>
      <c r="R34" s="7">
        <v>240003</v>
      </c>
      <c r="S34" s="7">
        <v>240001</v>
      </c>
      <c r="T34" s="7">
        <v>240002</v>
      </c>
      <c r="U34" s="7">
        <v>240003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>
        <v>25</v>
      </c>
      <c r="C35" s="7" t="s">
        <v>544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v>2500010001</v>
      </c>
      <c r="N35" s="7">
        <v>2500010002</v>
      </c>
      <c r="O35" s="7">
        <v>2500010003</v>
      </c>
      <c r="P35" s="7">
        <v>250001</v>
      </c>
      <c r="Q35" s="7">
        <v>250002</v>
      </c>
      <c r="R35" s="7">
        <v>250003</v>
      </c>
      <c r="S35" s="7">
        <v>250001</v>
      </c>
      <c r="T35" s="7">
        <v>250002</v>
      </c>
      <c r="U35" s="7">
        <v>250003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7">
        <v>26</v>
      </c>
      <c r="C36" s="7" t="s">
        <v>545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v>2600010001</v>
      </c>
      <c r="N36" s="7">
        <v>2600010002</v>
      </c>
      <c r="O36" s="7">
        <v>2600010003</v>
      </c>
      <c r="P36" s="7">
        <v>260001</v>
      </c>
      <c r="Q36" s="7">
        <v>260002</v>
      </c>
      <c r="R36" s="7">
        <v>260003</v>
      </c>
      <c r="S36" s="7">
        <v>260001</v>
      </c>
      <c r="T36" s="7">
        <v>260002</v>
      </c>
      <c r="U36" s="7">
        <v>260003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>
        <v>27</v>
      </c>
      <c r="C37" s="7" t="s">
        <v>546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v>2700010001</v>
      </c>
      <c r="N37" s="7">
        <v>2700010002</v>
      </c>
      <c r="O37" s="7">
        <v>2700010003</v>
      </c>
      <c r="P37" s="7">
        <v>270001</v>
      </c>
      <c r="Q37" s="7">
        <v>270002</v>
      </c>
      <c r="R37" s="7">
        <v>270003</v>
      </c>
      <c r="S37" s="7">
        <v>270001</v>
      </c>
      <c r="T37" s="7">
        <v>270002</v>
      </c>
      <c r="U37" s="7">
        <v>270003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7">
        <v>28</v>
      </c>
      <c r="C38" s="7" t="s">
        <v>547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v>2800010001</v>
      </c>
      <c r="N38" s="7">
        <v>2800010002</v>
      </c>
      <c r="O38" s="7">
        <v>2800010003</v>
      </c>
      <c r="P38" s="7">
        <v>280001</v>
      </c>
      <c r="Q38" s="7">
        <v>280002</v>
      </c>
      <c r="R38" s="7">
        <v>280003</v>
      </c>
      <c r="S38" s="7">
        <v>280001</v>
      </c>
      <c r="T38" s="7">
        <v>280002</v>
      </c>
      <c r="U38" s="7">
        <v>280003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>
        <v>29</v>
      </c>
      <c r="C39" s="7" t="s">
        <v>548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v>2900010001</v>
      </c>
      <c r="N39" s="7">
        <v>2900010002</v>
      </c>
      <c r="O39" s="7">
        <v>2900010003</v>
      </c>
      <c r="P39" s="7">
        <v>290001</v>
      </c>
      <c r="Q39" s="7">
        <v>290002</v>
      </c>
      <c r="R39" s="7">
        <v>290003</v>
      </c>
      <c r="S39" s="7">
        <v>290001</v>
      </c>
      <c r="T39" s="7">
        <v>290002</v>
      </c>
      <c r="U39" s="7">
        <v>290003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7">
        <v>30</v>
      </c>
      <c r="C40" s="7" t="s">
        <v>549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v>3000010001</v>
      </c>
      <c r="N40" s="7">
        <v>3000010002</v>
      </c>
      <c r="O40" s="7">
        <v>3000010003</v>
      </c>
      <c r="P40" s="7">
        <v>300001</v>
      </c>
      <c r="Q40" s="7">
        <v>300002</v>
      </c>
      <c r="R40" s="7">
        <v>300003</v>
      </c>
      <c r="S40" s="7">
        <v>300001</v>
      </c>
      <c r="T40" s="7">
        <v>300002</v>
      </c>
      <c r="U40" s="7">
        <v>300003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>
        <v>31</v>
      </c>
      <c r="C41" s="7" t="s">
        <v>1954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v>3100010001</v>
      </c>
      <c r="N41" s="7">
        <v>3100010002</v>
      </c>
      <c r="O41" s="7">
        <v>3100010003</v>
      </c>
      <c r="P41" s="7">
        <v>310001</v>
      </c>
      <c r="Q41" s="7">
        <v>310002</v>
      </c>
      <c r="R41" s="7">
        <v>310003</v>
      </c>
      <c r="S41" s="7">
        <v>310001</v>
      </c>
      <c r="T41" s="7">
        <v>310002</v>
      </c>
      <c r="U41" s="7">
        <v>310003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>
        <v>32</v>
      </c>
      <c r="C42" s="7" t="s">
        <v>1955</v>
      </c>
      <c r="D42" s="7">
        <v>2</v>
      </c>
      <c r="E42" s="7">
        <v>4</v>
      </c>
      <c r="F42" s="7" t="b">
        <v>0</v>
      </c>
      <c r="G42" s="7"/>
      <c r="H42" s="7"/>
      <c r="I42" s="7">
        <v>50</v>
      </c>
      <c r="J42" s="7">
        <v>90</v>
      </c>
      <c r="K42" s="7">
        <v>110</v>
      </c>
      <c r="L42" s="7">
        <v>70</v>
      </c>
      <c r="M42" s="7">
        <v>3200010001</v>
      </c>
      <c r="N42" s="7">
        <v>3200010002</v>
      </c>
      <c r="O42" s="7">
        <v>3200010003</v>
      </c>
      <c r="P42" s="7">
        <v>320001</v>
      </c>
      <c r="Q42" s="7">
        <v>320002</v>
      </c>
      <c r="R42" s="7">
        <v>320003</v>
      </c>
      <c r="S42" s="7">
        <v>320001</v>
      </c>
      <c r="T42" s="7">
        <v>320002</v>
      </c>
      <c r="U42" s="7">
        <v>320003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1956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v>3300010001</v>
      </c>
      <c r="N43" s="7">
        <v>3300010002</v>
      </c>
      <c r="O43" s="7">
        <v>3300010003</v>
      </c>
      <c r="P43" s="7">
        <v>330001</v>
      </c>
      <c r="Q43" s="7">
        <v>330002</v>
      </c>
      <c r="R43" s="7">
        <v>330003</v>
      </c>
      <c r="S43" s="7">
        <v>330001</v>
      </c>
      <c r="T43" s="7">
        <v>330002</v>
      </c>
      <c r="U43" s="7">
        <v>330003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>
        <v>34</v>
      </c>
      <c r="C44" s="7" t="s">
        <v>576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v>3400010001</v>
      </c>
      <c r="N44" s="7">
        <v>3400010002</v>
      </c>
      <c r="O44" s="7">
        <v>3400010003</v>
      </c>
      <c r="P44" s="7">
        <v>340001</v>
      </c>
      <c r="Q44" s="7">
        <v>340002</v>
      </c>
      <c r="R44" s="7">
        <v>340003</v>
      </c>
      <c r="S44" s="7">
        <v>340001</v>
      </c>
      <c r="T44" s="7">
        <v>340002</v>
      </c>
      <c r="U44" s="7">
        <v>340003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577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v>3500010001</v>
      </c>
      <c r="N45" s="7">
        <v>3500010002</v>
      </c>
      <c r="O45" s="7">
        <v>3500010003</v>
      </c>
      <c r="P45" s="7">
        <v>350001</v>
      </c>
      <c r="Q45" s="7">
        <v>350002</v>
      </c>
      <c r="R45" s="7">
        <v>350003</v>
      </c>
      <c r="S45" s="7">
        <v>350001</v>
      </c>
      <c r="T45" s="7">
        <v>350002</v>
      </c>
      <c r="U45" s="7">
        <v>350003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550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v>3600010001</v>
      </c>
      <c r="N46" s="7">
        <v>3600010002</v>
      </c>
      <c r="O46" s="7">
        <v>3600010003</v>
      </c>
      <c r="P46" s="7">
        <v>360001</v>
      </c>
      <c r="Q46" s="7">
        <v>360002</v>
      </c>
      <c r="R46" s="7">
        <v>360003</v>
      </c>
      <c r="S46" s="7">
        <v>360001</v>
      </c>
      <c r="T46" s="7">
        <v>360002</v>
      </c>
      <c r="U46" s="7">
        <v>360003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>
        <v>37</v>
      </c>
      <c r="C47" s="7" t="s">
        <v>551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v>3700010001</v>
      </c>
      <c r="N47" s="7">
        <v>3700010002</v>
      </c>
      <c r="O47" s="7">
        <v>3700010003</v>
      </c>
      <c r="P47" s="7">
        <v>370001</v>
      </c>
      <c r="Q47" s="7">
        <v>370002</v>
      </c>
      <c r="R47" s="7">
        <v>370003</v>
      </c>
      <c r="S47" s="7">
        <v>370001</v>
      </c>
      <c r="T47" s="7">
        <v>370002</v>
      </c>
      <c r="U47" s="7">
        <v>370003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552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v>3800010001</v>
      </c>
      <c r="N48" s="7">
        <v>3800010002</v>
      </c>
      <c r="O48" s="7">
        <v>3800010003</v>
      </c>
      <c r="P48" s="7">
        <v>380001</v>
      </c>
      <c r="Q48" s="7">
        <v>380002</v>
      </c>
      <c r="R48" s="7">
        <v>380003</v>
      </c>
      <c r="S48" s="7">
        <v>380001</v>
      </c>
      <c r="T48" s="7">
        <v>380002</v>
      </c>
      <c r="U48" s="7">
        <v>380003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553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v>3900010001</v>
      </c>
      <c r="N49" s="7">
        <v>3900010002</v>
      </c>
      <c r="O49" s="7">
        <v>3900010003</v>
      </c>
      <c r="P49" s="7">
        <v>390001</v>
      </c>
      <c r="Q49" s="7">
        <v>390002</v>
      </c>
      <c r="R49" s="7">
        <v>390003</v>
      </c>
      <c r="S49" s="7">
        <v>390001</v>
      </c>
      <c r="T49" s="7">
        <v>390002</v>
      </c>
      <c r="U49" s="7">
        <v>390003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B50" s="7">
        <v>40</v>
      </c>
      <c r="C50" s="7" t="s">
        <v>554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135</v>
      </c>
      <c r="K50" s="7">
        <v>85</v>
      </c>
      <c r="L50" s="7">
        <v>50</v>
      </c>
      <c r="M50" s="7">
        <v>4000010001</v>
      </c>
      <c r="N50" s="7">
        <v>4000010002</v>
      </c>
      <c r="O50" s="7">
        <v>4000010003</v>
      </c>
      <c r="P50" s="7">
        <v>400001</v>
      </c>
      <c r="Q50" s="7">
        <v>400002</v>
      </c>
      <c r="R50" s="7">
        <v>400003</v>
      </c>
      <c r="S50" s="7">
        <v>400001</v>
      </c>
      <c r="T50" s="7">
        <v>400002</v>
      </c>
      <c r="U50" s="7">
        <v>400003</v>
      </c>
    </row>
    <row r="51" spans="1:42" ht="18.75" customHeight="1">
      <c r="B51" s="7">
        <v>41</v>
      </c>
      <c r="C51" s="7" t="s">
        <v>555</v>
      </c>
      <c r="D51" s="7">
        <v>1</v>
      </c>
      <c r="E51" s="7">
        <v>4</v>
      </c>
      <c r="F51" s="7" t="b">
        <v>0</v>
      </c>
      <c r="G51" s="7"/>
      <c r="H51" s="7"/>
      <c r="I51" s="7">
        <v>130</v>
      </c>
      <c r="J51" s="7">
        <v>85</v>
      </c>
      <c r="K51" s="7">
        <v>90</v>
      </c>
      <c r="L51" s="7">
        <v>60</v>
      </c>
      <c r="M51" s="7">
        <v>4100010001</v>
      </c>
      <c r="N51" s="7">
        <v>4100010002</v>
      </c>
      <c r="O51" s="7">
        <v>4100010003</v>
      </c>
      <c r="P51" s="7">
        <v>410001</v>
      </c>
      <c r="Q51" s="7">
        <v>410002</v>
      </c>
      <c r="R51" s="7">
        <v>410003</v>
      </c>
      <c r="S51" s="7">
        <v>410001</v>
      </c>
      <c r="T51" s="7">
        <v>410002</v>
      </c>
      <c r="U51" s="7">
        <v>410003</v>
      </c>
    </row>
    <row r="52" spans="1:42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0</v>
      </c>
      <c r="G52" s="7"/>
      <c r="H52" s="7"/>
      <c r="I52" s="7">
        <v>65</v>
      </c>
      <c r="J52" s="7">
        <v>85</v>
      </c>
      <c r="K52" s="7">
        <v>75</v>
      </c>
      <c r="L52" s="7">
        <v>130</v>
      </c>
      <c r="M52" s="7">
        <v>4200010001</v>
      </c>
      <c r="N52" s="7">
        <v>4200010002</v>
      </c>
      <c r="O52" s="7">
        <v>4200010003</v>
      </c>
      <c r="P52" s="7">
        <v>420001</v>
      </c>
      <c r="Q52" s="7">
        <v>420002</v>
      </c>
      <c r="R52" s="7">
        <v>420003</v>
      </c>
      <c r="S52" s="7">
        <v>420001</v>
      </c>
      <c r="T52" s="7">
        <v>420002</v>
      </c>
      <c r="U52" s="7">
        <v>420003</v>
      </c>
    </row>
    <row r="53" spans="1:42" ht="18.75" customHeight="1">
      <c r="B53" s="7">
        <v>43</v>
      </c>
      <c r="C53" s="7" t="s">
        <v>556</v>
      </c>
      <c r="D53" s="7">
        <v>3</v>
      </c>
      <c r="E53" s="7">
        <v>4</v>
      </c>
      <c r="F53" s="7" t="b">
        <v>0</v>
      </c>
      <c r="G53" s="7"/>
      <c r="H53" s="7"/>
      <c r="I53" s="7">
        <v>79</v>
      </c>
      <c r="J53" s="7">
        <v>84</v>
      </c>
      <c r="K53" s="7">
        <v>103</v>
      </c>
      <c r="L53" s="7">
        <v>78</v>
      </c>
      <c r="M53" s="7">
        <v>4300010001</v>
      </c>
      <c r="N53" s="7">
        <v>4300010002</v>
      </c>
      <c r="O53" s="7">
        <v>4300010003</v>
      </c>
      <c r="P53" s="7">
        <v>430001</v>
      </c>
      <c r="Q53" s="7">
        <v>430002</v>
      </c>
      <c r="R53" s="7">
        <v>430003</v>
      </c>
      <c r="S53" s="7">
        <v>430001</v>
      </c>
      <c r="T53" s="7">
        <v>430002</v>
      </c>
      <c r="U53" s="7">
        <v>430003</v>
      </c>
    </row>
    <row r="54" spans="1:42" ht="18.75" customHeight="1">
      <c r="B54" s="7">
        <v>44</v>
      </c>
      <c r="C54" s="7" t="s">
        <v>557</v>
      </c>
      <c r="D54" s="7">
        <v>4</v>
      </c>
      <c r="E54" s="7">
        <v>4</v>
      </c>
      <c r="F54" s="7" t="b">
        <v>0</v>
      </c>
      <c r="G54" s="7"/>
      <c r="H54" s="7"/>
      <c r="I54" s="7">
        <v>85</v>
      </c>
      <c r="J54" s="7">
        <v>105</v>
      </c>
      <c r="K54" s="7">
        <v>73</v>
      </c>
      <c r="L54" s="7">
        <v>90</v>
      </c>
      <c r="M54" s="7">
        <v>4400010001</v>
      </c>
      <c r="N54" s="7">
        <v>4400010002</v>
      </c>
      <c r="O54" s="7">
        <v>4400010003</v>
      </c>
      <c r="P54" s="7">
        <v>440001</v>
      </c>
      <c r="Q54" s="7">
        <v>440002</v>
      </c>
      <c r="R54" s="7">
        <v>440003</v>
      </c>
      <c r="S54" s="7">
        <v>440001</v>
      </c>
      <c r="T54" s="7">
        <v>440002</v>
      </c>
      <c r="U54" s="7">
        <v>440003</v>
      </c>
    </row>
    <row r="55" spans="1:42" ht="18.75" customHeight="1">
      <c r="B55" s="7">
        <v>45</v>
      </c>
      <c r="C55" s="7" t="s">
        <v>558</v>
      </c>
      <c r="D55" s="7">
        <v>5</v>
      </c>
      <c r="E55" s="7">
        <v>4</v>
      </c>
      <c r="F55" s="7" t="b">
        <v>0</v>
      </c>
      <c r="G55" s="7"/>
      <c r="H55" s="7"/>
      <c r="I55" s="7">
        <v>78</v>
      </c>
      <c r="J55" s="7">
        <v>100</v>
      </c>
      <c r="K55" s="7">
        <v>80</v>
      </c>
      <c r="L55" s="7">
        <v>100</v>
      </c>
      <c r="M55" s="7">
        <v>4500010001</v>
      </c>
      <c r="N55" s="7">
        <v>4500010002</v>
      </c>
      <c r="O55" s="7">
        <v>4500010003</v>
      </c>
      <c r="P55" s="7">
        <v>450001</v>
      </c>
      <c r="Q55" s="7">
        <v>450002</v>
      </c>
      <c r="R55" s="7">
        <v>450003</v>
      </c>
      <c r="S55" s="7">
        <v>450001</v>
      </c>
      <c r="T55" s="7">
        <v>450002</v>
      </c>
      <c r="U55" s="7">
        <v>450003</v>
      </c>
    </row>
    <row r="56" spans="1:42" ht="18.75" customHeight="1">
      <c r="B56" s="7">
        <v>46</v>
      </c>
      <c r="C56" s="7" t="s">
        <v>559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200</v>
      </c>
      <c r="J56" s="7">
        <v>100</v>
      </c>
      <c r="K56" s="7">
        <v>50</v>
      </c>
      <c r="L56" s="7">
        <v>80</v>
      </c>
      <c r="M56" s="7">
        <v>4600010001</v>
      </c>
      <c r="N56" s="7">
        <v>4600010002</v>
      </c>
      <c r="O56" s="7">
        <v>4600010003</v>
      </c>
      <c r="P56" s="7">
        <v>460001</v>
      </c>
      <c r="Q56" s="7">
        <v>460002</v>
      </c>
      <c r="R56" s="7">
        <v>460003</v>
      </c>
      <c r="S56" s="7">
        <v>460001</v>
      </c>
      <c r="T56" s="7">
        <v>460002</v>
      </c>
      <c r="U56" s="7">
        <v>460003</v>
      </c>
    </row>
    <row r="57" spans="1:42" ht="18.75" customHeight="1">
      <c r="B57" s="7">
        <v>47</v>
      </c>
      <c r="C57" s="7" t="s">
        <v>560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79</v>
      </c>
      <c r="J57" s="7">
        <v>120</v>
      </c>
      <c r="K57" s="7">
        <v>75</v>
      </c>
      <c r="L57" s="7">
        <v>105</v>
      </c>
      <c r="M57" s="7">
        <v>4700010001</v>
      </c>
      <c r="N57" s="7">
        <v>4700010002</v>
      </c>
      <c r="O57" s="7">
        <v>4700010003</v>
      </c>
      <c r="P57" s="7">
        <v>470001</v>
      </c>
      <c r="Q57" s="7">
        <v>470002</v>
      </c>
      <c r="R57" s="7">
        <v>470003</v>
      </c>
      <c r="S57" s="7">
        <v>470001</v>
      </c>
      <c r="T57" s="7">
        <v>470002</v>
      </c>
      <c r="U57" s="7">
        <v>470003</v>
      </c>
    </row>
    <row r="58" spans="1:42" ht="18.75" customHeight="1">
      <c r="B58" s="7">
        <v>48</v>
      </c>
      <c r="C58" s="7" t="s">
        <v>561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79</v>
      </c>
      <c r="J58" s="7">
        <v>120</v>
      </c>
      <c r="K58" s="7">
        <v>75</v>
      </c>
      <c r="L58" s="7">
        <v>111</v>
      </c>
      <c r="M58" s="7">
        <v>4800010001</v>
      </c>
      <c r="N58" s="7">
        <v>4800010002</v>
      </c>
      <c r="O58" s="7">
        <v>4800010003</v>
      </c>
      <c r="P58" s="7">
        <v>480001</v>
      </c>
      <c r="Q58" s="7">
        <v>480002</v>
      </c>
      <c r="R58" s="7">
        <v>480003</v>
      </c>
      <c r="S58" s="7">
        <v>480001</v>
      </c>
      <c r="T58" s="7">
        <v>480002</v>
      </c>
      <c r="U58" s="7">
        <v>480003</v>
      </c>
    </row>
    <row r="59" spans="1:42" ht="18.75" customHeight="1">
      <c r="B59" s="7">
        <v>49</v>
      </c>
      <c r="C59" s="7" t="s">
        <v>562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v>4900010001</v>
      </c>
      <c r="N59" s="7">
        <v>4900010002</v>
      </c>
      <c r="O59" s="7">
        <v>4900010003</v>
      </c>
      <c r="P59" s="7">
        <v>490001</v>
      </c>
      <c r="Q59" s="7">
        <v>490002</v>
      </c>
      <c r="R59" s="7">
        <v>490003</v>
      </c>
      <c r="S59" s="7">
        <v>490001</v>
      </c>
      <c r="T59" s="7">
        <v>490002</v>
      </c>
      <c r="U59" s="7">
        <v>490003</v>
      </c>
    </row>
    <row r="60" spans="1:42" ht="18.75" customHeight="1">
      <c r="B60" s="7">
        <v>50</v>
      </c>
      <c r="C60" s="7" t="s">
        <v>563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82</v>
      </c>
      <c r="K60" s="7">
        <v>115</v>
      </c>
      <c r="L60" s="7">
        <v>85</v>
      </c>
      <c r="M60" s="7">
        <v>5000010001</v>
      </c>
      <c r="N60" s="7">
        <v>5000010002</v>
      </c>
      <c r="O60" s="7">
        <v>5000010003</v>
      </c>
      <c r="P60" s="7">
        <v>500001</v>
      </c>
      <c r="Q60" s="7">
        <v>500002</v>
      </c>
      <c r="R60" s="7">
        <v>500003</v>
      </c>
      <c r="S60" s="7">
        <v>500001</v>
      </c>
      <c r="T60" s="7">
        <v>500002</v>
      </c>
      <c r="U60" s="7">
        <v>500003</v>
      </c>
    </row>
    <row r="61" spans="1:42" ht="18.75" customHeight="1">
      <c r="B61" s="7">
        <v>51</v>
      </c>
      <c r="C61" s="7" t="s">
        <v>564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v>5100010001</v>
      </c>
      <c r="N61" s="7">
        <v>5100010002</v>
      </c>
      <c r="O61" s="7">
        <v>5100010003</v>
      </c>
      <c r="P61" s="7">
        <v>510001</v>
      </c>
      <c r="Q61" s="7">
        <v>510002</v>
      </c>
      <c r="R61" s="7">
        <v>510003</v>
      </c>
      <c r="S61" s="7">
        <v>510001</v>
      </c>
      <c r="T61" s="7">
        <v>510002</v>
      </c>
      <c r="U61" s="7">
        <v>510003</v>
      </c>
    </row>
    <row r="62" spans="1:42" ht="18.75" customHeight="1">
      <c r="B62" s="7">
        <v>52</v>
      </c>
      <c r="C62" s="7" t="s">
        <v>565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v>5200010001</v>
      </c>
      <c r="N62" s="7">
        <v>5200010002</v>
      </c>
      <c r="O62" s="7">
        <v>5200010003</v>
      </c>
      <c r="P62" s="7">
        <v>520001</v>
      </c>
      <c r="Q62" s="7">
        <v>520002</v>
      </c>
      <c r="R62" s="7">
        <v>520003</v>
      </c>
      <c r="S62" s="7">
        <v>520001</v>
      </c>
      <c r="T62" s="7">
        <v>520002</v>
      </c>
      <c r="U62" s="7">
        <v>520003</v>
      </c>
    </row>
    <row r="63" spans="1:42" ht="18.75" customHeight="1">
      <c r="B63" s="7">
        <v>53</v>
      </c>
      <c r="C63" s="7" t="s">
        <v>566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v>5300010001</v>
      </c>
      <c r="N63" s="7">
        <v>5300010002</v>
      </c>
      <c r="O63" s="7">
        <v>5300010003</v>
      </c>
      <c r="P63" s="7">
        <v>530001</v>
      </c>
      <c r="Q63" s="7">
        <v>530002</v>
      </c>
      <c r="R63" s="7">
        <v>530003</v>
      </c>
      <c r="S63" s="7">
        <v>530001</v>
      </c>
      <c r="T63" s="7">
        <v>530002</v>
      </c>
      <c r="U63" s="7">
        <v>530003</v>
      </c>
    </row>
    <row r="64" spans="1:42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v>5400010001</v>
      </c>
      <c r="N64" s="7">
        <v>5400010002</v>
      </c>
      <c r="O64" s="7">
        <v>5400010003</v>
      </c>
      <c r="P64" s="7">
        <v>540001</v>
      </c>
      <c r="Q64" s="7">
        <v>540002</v>
      </c>
      <c r="R64" s="7">
        <v>540003</v>
      </c>
      <c r="S64" s="7">
        <v>540001</v>
      </c>
      <c r="T64" s="7">
        <v>540002</v>
      </c>
      <c r="U64" s="7">
        <v>540003</v>
      </c>
    </row>
    <row r="65" spans="2:21" ht="18.75" customHeight="1">
      <c r="B65" s="7">
        <v>55</v>
      </c>
      <c r="C65" s="7" t="s">
        <v>567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80</v>
      </c>
      <c r="J65" s="7">
        <v>115</v>
      </c>
      <c r="K65" s="7">
        <v>110</v>
      </c>
      <c r="L65" s="7">
        <v>70</v>
      </c>
      <c r="M65" s="7">
        <v>5500010001</v>
      </c>
      <c r="N65" s="7">
        <v>5500010002</v>
      </c>
      <c r="O65" s="7">
        <v>5500010003</v>
      </c>
      <c r="P65" s="7">
        <v>550001</v>
      </c>
      <c r="Q65" s="7">
        <v>550002</v>
      </c>
      <c r="R65" s="7">
        <v>550003</v>
      </c>
      <c r="S65" s="7">
        <v>550001</v>
      </c>
      <c r="T65" s="7">
        <v>550002</v>
      </c>
      <c r="U65" s="7">
        <v>550003</v>
      </c>
    </row>
    <row r="66" spans="2:21" ht="18.75" customHeight="1">
      <c r="B66" s="7">
        <v>56</v>
      </c>
      <c r="C66" s="7" t="s">
        <v>568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v>5600010001</v>
      </c>
      <c r="N66" s="7">
        <v>5600010002</v>
      </c>
      <c r="O66" s="7">
        <v>5600010003</v>
      </c>
      <c r="P66" s="7">
        <v>560001</v>
      </c>
      <c r="Q66" s="7">
        <v>560002</v>
      </c>
      <c r="R66" s="7">
        <v>560003</v>
      </c>
      <c r="S66" s="7">
        <v>560001</v>
      </c>
      <c r="T66" s="7">
        <v>560002</v>
      </c>
      <c r="U66" s="7">
        <v>560003</v>
      </c>
    </row>
    <row r="67" spans="2:21" ht="18.75" customHeight="1">
      <c r="B67" s="7">
        <v>57</v>
      </c>
      <c r="C67" s="7" t="s">
        <v>569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v>5700010001</v>
      </c>
      <c r="N67" s="7">
        <v>5700010002</v>
      </c>
      <c r="O67" s="7">
        <v>5700010003</v>
      </c>
      <c r="P67" s="7">
        <v>570001</v>
      </c>
      <c r="Q67" s="7">
        <v>570002</v>
      </c>
      <c r="R67" s="7">
        <v>570003</v>
      </c>
      <c r="S67" s="7">
        <v>570001</v>
      </c>
      <c r="T67" s="7">
        <v>570002</v>
      </c>
      <c r="U67" s="7">
        <v>570003</v>
      </c>
    </row>
    <row r="68" spans="2:21" ht="18.75" customHeight="1">
      <c r="B68" s="7">
        <v>58</v>
      </c>
      <c r="C68" s="7" t="s">
        <v>570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v>5800010001</v>
      </c>
      <c r="N68" s="7">
        <v>5800010002</v>
      </c>
      <c r="O68" s="7">
        <v>5800010003</v>
      </c>
      <c r="P68" s="7">
        <v>580001</v>
      </c>
      <c r="Q68" s="7">
        <v>580002</v>
      </c>
      <c r="R68" s="7">
        <v>580003</v>
      </c>
      <c r="S68" s="7">
        <v>580001</v>
      </c>
      <c r="T68" s="7">
        <v>580002</v>
      </c>
      <c r="U68" s="7">
        <v>580003</v>
      </c>
    </row>
    <row r="69" spans="2:21" ht="18.75" customHeight="1">
      <c r="B69" s="7">
        <v>59</v>
      </c>
      <c r="C69" s="7" t="s">
        <v>571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v>5900010001</v>
      </c>
      <c r="N69" s="7">
        <v>5900010002</v>
      </c>
      <c r="O69" s="7">
        <v>5900010003</v>
      </c>
      <c r="P69" s="7">
        <v>590001</v>
      </c>
      <c r="Q69" s="7">
        <v>590002</v>
      </c>
      <c r="R69" s="7">
        <v>590003</v>
      </c>
      <c r="S69" s="7">
        <v>590001</v>
      </c>
      <c r="T69" s="7">
        <v>590002</v>
      </c>
      <c r="U69" s="7">
        <v>590003</v>
      </c>
    </row>
    <row r="70" spans="2:21" ht="18.75" customHeight="1">
      <c r="B70" s="7">
        <v>60</v>
      </c>
      <c r="C70" s="7" t="s">
        <v>572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v>6000010001</v>
      </c>
      <c r="N70" s="7">
        <v>6000010002</v>
      </c>
      <c r="O70" s="7">
        <v>6000010003</v>
      </c>
      <c r="P70" s="7">
        <v>600001</v>
      </c>
      <c r="Q70" s="7">
        <v>600002</v>
      </c>
      <c r="R70" s="7">
        <v>600003</v>
      </c>
      <c r="S70" s="7">
        <v>600001</v>
      </c>
      <c r="T70" s="7">
        <v>600002</v>
      </c>
      <c r="U70" s="7">
        <v>600003</v>
      </c>
    </row>
    <row r="71" spans="2:21" ht="18.75" customHeight="1">
      <c r="B71" s="7">
        <v>61</v>
      </c>
      <c r="C71" s="7" t="s">
        <v>573</v>
      </c>
      <c r="D71" s="7">
        <v>1</v>
      </c>
      <c r="E71" s="7">
        <v>4</v>
      </c>
      <c r="F71" s="7" t="b">
        <v>1</v>
      </c>
      <c r="G71" s="7">
        <v>2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v>6100010001</v>
      </c>
      <c r="N71" s="7">
        <v>6100010002</v>
      </c>
      <c r="O71" s="7">
        <v>6100010003</v>
      </c>
      <c r="P71" s="7">
        <v>610001</v>
      </c>
      <c r="Q71" s="7">
        <v>610002</v>
      </c>
      <c r="R71" s="7">
        <v>610003</v>
      </c>
      <c r="S71" s="7">
        <v>610001</v>
      </c>
      <c r="T71" s="7">
        <v>610002</v>
      </c>
      <c r="U71" s="7">
        <v>610003</v>
      </c>
    </row>
    <row r="72" spans="2:21" ht="18.75" customHeight="1">
      <c r="B72" s="7">
        <v>62</v>
      </c>
      <c r="C72" s="7" t="s">
        <v>574</v>
      </c>
      <c r="D72" s="7">
        <v>2</v>
      </c>
      <c r="E72" s="7">
        <v>4</v>
      </c>
      <c r="F72" s="7" t="b">
        <v>1</v>
      </c>
      <c r="G72" s="7">
        <v>2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v>6200010001</v>
      </c>
      <c r="N72" s="7">
        <v>6200010002</v>
      </c>
      <c r="O72" s="7">
        <v>6200010003</v>
      </c>
      <c r="P72" s="7">
        <v>620001</v>
      </c>
      <c r="Q72" s="7">
        <v>620002</v>
      </c>
      <c r="R72" s="7">
        <v>620003</v>
      </c>
      <c r="S72" s="7">
        <v>620001</v>
      </c>
      <c r="T72" s="7">
        <v>620002</v>
      </c>
      <c r="U72" s="7">
        <v>620003</v>
      </c>
    </row>
    <row r="73" spans="2:21" ht="18.75" customHeight="1">
      <c r="B73" s="7">
        <v>63</v>
      </c>
      <c r="C73" s="7" t="s">
        <v>575</v>
      </c>
      <c r="D73" s="7">
        <v>3</v>
      </c>
      <c r="E73" s="7">
        <v>4</v>
      </c>
      <c r="F73" s="7" t="b">
        <v>1</v>
      </c>
      <c r="G73" s="7">
        <v>2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v>6300010001</v>
      </c>
      <c r="N73" s="7">
        <v>6300010002</v>
      </c>
      <c r="O73" s="7">
        <v>6300010003</v>
      </c>
      <c r="P73" s="7">
        <v>630001</v>
      </c>
      <c r="Q73" s="7">
        <v>630002</v>
      </c>
      <c r="R73" s="7">
        <v>630003</v>
      </c>
      <c r="S73" s="7">
        <v>630001</v>
      </c>
      <c r="T73" s="7">
        <v>630002</v>
      </c>
      <c r="U73" s="7">
        <v>630003</v>
      </c>
    </row>
    <row r="74" spans="2:21" ht="18.75" customHeight="1">
      <c r="B74" s="7">
        <v>64</v>
      </c>
      <c r="C74" s="7" t="s">
        <v>576</v>
      </c>
      <c r="D74" s="7">
        <v>4</v>
      </c>
      <c r="E74" s="7">
        <v>4</v>
      </c>
      <c r="F74" s="7" t="b">
        <v>1</v>
      </c>
      <c r="G74" s="7">
        <v>2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v>6400010001</v>
      </c>
      <c r="N74" s="7">
        <v>6400010002</v>
      </c>
      <c r="O74" s="7">
        <v>6400010003</v>
      </c>
      <c r="P74" s="7">
        <v>640001</v>
      </c>
      <c r="Q74" s="7">
        <v>640002</v>
      </c>
      <c r="R74" s="7">
        <v>640003</v>
      </c>
      <c r="S74" s="7">
        <v>640001</v>
      </c>
      <c r="T74" s="7">
        <v>640002</v>
      </c>
      <c r="U74" s="7">
        <v>640003</v>
      </c>
    </row>
    <row r="75" spans="2:21" ht="18.75" customHeight="1">
      <c r="B75" s="7">
        <v>65</v>
      </c>
      <c r="C75" s="7" t="s">
        <v>577</v>
      </c>
      <c r="D75" s="7">
        <v>5</v>
      </c>
      <c r="E75" s="7">
        <v>4</v>
      </c>
      <c r="F75" s="7" t="b">
        <v>1</v>
      </c>
      <c r="G75" s="7">
        <v>2</v>
      </c>
      <c r="H75" s="7"/>
      <c r="I75" s="7">
        <v>90</v>
      </c>
      <c r="J75" s="7">
        <v>18</v>
      </c>
      <c r="K75" s="7">
        <v>87</v>
      </c>
      <c r="L75" s="7">
        <v>100</v>
      </c>
      <c r="M75" s="7">
        <v>6500010001</v>
      </c>
      <c r="N75" s="7">
        <v>6500010002</v>
      </c>
      <c r="O75" s="7">
        <v>6500010003</v>
      </c>
      <c r="P75" s="7">
        <v>650001</v>
      </c>
      <c r="Q75" s="7">
        <v>650002</v>
      </c>
      <c r="R75" s="7">
        <v>650003</v>
      </c>
      <c r="S75" s="7">
        <v>650001</v>
      </c>
      <c r="T75" s="7">
        <v>650002</v>
      </c>
      <c r="U75" s="7">
        <v>650003</v>
      </c>
    </row>
    <row r="76" spans="2:21" ht="18.75" customHeight="1">
      <c r="B76" s="7">
        <v>66</v>
      </c>
      <c r="C76" s="7" t="s">
        <v>578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v>6600010001</v>
      </c>
      <c r="N76" s="7">
        <v>6600010002</v>
      </c>
      <c r="O76" s="7">
        <v>6600010003</v>
      </c>
      <c r="P76" s="7">
        <v>660001</v>
      </c>
      <c r="Q76" s="7">
        <v>660002</v>
      </c>
      <c r="R76" s="7">
        <v>660003</v>
      </c>
      <c r="S76" s="7">
        <v>660001</v>
      </c>
      <c r="T76" s="7">
        <v>660002</v>
      </c>
      <c r="U76" s="7">
        <v>660003</v>
      </c>
    </row>
    <row r="77" spans="2:21" ht="18.75" customHeight="1">
      <c r="B77" s="7">
        <v>67</v>
      </c>
      <c r="C77" s="7" t="s">
        <v>579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80</v>
      </c>
      <c r="J77" s="7">
        <v>120</v>
      </c>
      <c r="K77" s="7">
        <v>105</v>
      </c>
      <c r="L77" s="7">
        <v>70</v>
      </c>
      <c r="M77" s="7">
        <v>6700010001</v>
      </c>
      <c r="N77" s="7">
        <v>6700010002</v>
      </c>
      <c r="O77" s="7">
        <v>6700010003</v>
      </c>
      <c r="P77" s="7">
        <v>670001</v>
      </c>
      <c r="Q77" s="7">
        <v>670002</v>
      </c>
      <c r="R77" s="7">
        <v>670003</v>
      </c>
      <c r="S77" s="7">
        <v>670001</v>
      </c>
      <c r="T77" s="7">
        <v>670002</v>
      </c>
      <c r="U77" s="7">
        <v>670003</v>
      </c>
    </row>
    <row r="78" spans="2:21" ht="18.75" customHeight="1">
      <c r="B78" s="7">
        <v>68</v>
      </c>
      <c r="C78" s="7" t="s">
        <v>580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71</v>
      </c>
      <c r="J78" s="7">
        <v>120</v>
      </c>
      <c r="K78" s="7">
        <v>95</v>
      </c>
      <c r="L78" s="7">
        <v>99</v>
      </c>
      <c r="M78" s="7">
        <v>6800010001</v>
      </c>
      <c r="N78" s="7">
        <v>6800010002</v>
      </c>
      <c r="O78" s="7">
        <v>6800010003</v>
      </c>
      <c r="P78" s="7">
        <v>680001</v>
      </c>
      <c r="Q78" s="7">
        <v>680002</v>
      </c>
      <c r="R78" s="7">
        <v>680003</v>
      </c>
      <c r="S78" s="7">
        <v>680001</v>
      </c>
      <c r="T78" s="7">
        <v>680002</v>
      </c>
      <c r="U78" s="7">
        <v>680003</v>
      </c>
    </row>
    <row r="79" spans="2:21" ht="18.75" customHeight="1">
      <c r="B79" s="7">
        <v>69</v>
      </c>
      <c r="C79" s="7" t="s">
        <v>581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100</v>
      </c>
      <c r="J79" s="7">
        <v>85</v>
      </c>
      <c r="K79" s="7">
        <v>105</v>
      </c>
      <c r="L79" s="7">
        <v>60</v>
      </c>
      <c r="M79" s="7">
        <v>6900010001</v>
      </c>
      <c r="N79" s="7">
        <v>6900010002</v>
      </c>
      <c r="O79" s="7">
        <v>6900010003</v>
      </c>
      <c r="P79" s="7">
        <v>690001</v>
      </c>
      <c r="Q79" s="7">
        <v>690002</v>
      </c>
      <c r="R79" s="7">
        <v>690003</v>
      </c>
      <c r="S79" s="7">
        <v>690001</v>
      </c>
      <c r="T79" s="7">
        <v>690002</v>
      </c>
      <c r="U79" s="7">
        <v>690003</v>
      </c>
    </row>
    <row r="80" spans="2:21" ht="18.75" customHeight="1">
      <c r="B80" s="7">
        <v>70</v>
      </c>
      <c r="C80" s="7" t="s">
        <v>582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80</v>
      </c>
      <c r="J80" s="7">
        <v>125</v>
      </c>
      <c r="K80" s="7">
        <v>85</v>
      </c>
      <c r="L80" s="7">
        <v>80</v>
      </c>
      <c r="M80" s="7">
        <v>7000010001</v>
      </c>
      <c r="N80" s="7">
        <v>7000010002</v>
      </c>
      <c r="O80" s="7">
        <v>7000010003</v>
      </c>
      <c r="P80" s="7">
        <v>700001</v>
      </c>
      <c r="Q80" s="7">
        <v>700002</v>
      </c>
      <c r="R80" s="7">
        <v>700003</v>
      </c>
      <c r="S80" s="7">
        <v>700001</v>
      </c>
      <c r="T80" s="7">
        <v>700002</v>
      </c>
      <c r="U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P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Q14" sqref="Q14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75" style="36" customWidth="1"/>
    <col min="4" max="5" width="13.75" style="36" customWidth="1"/>
    <col min="6" max="19" width="12.625" style="36" customWidth="1"/>
    <col min="20" max="16384" width="12.625" style="36"/>
  </cols>
  <sheetData>
    <row r="1" spans="1:20" ht="12" customHeight="1"/>
    <row r="2" spans="1:20" ht="40.5" customHeight="1">
      <c r="A2" s="55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55" t="s">
        <v>2</v>
      </c>
      <c r="B4" s="3" t="s">
        <v>3</v>
      </c>
      <c r="C4" s="3" t="s">
        <v>18</v>
      </c>
      <c r="D4" s="3" t="s">
        <v>22</v>
      </c>
      <c r="E4" s="3"/>
      <c r="F4" s="3" t="s">
        <v>1989</v>
      </c>
      <c r="G4" s="3"/>
      <c r="H4" s="3" t="s">
        <v>1990</v>
      </c>
      <c r="I4" s="3"/>
      <c r="J4" s="3"/>
      <c r="K4" s="3"/>
      <c r="L4" s="3" t="s">
        <v>1998</v>
      </c>
      <c r="M4" s="3"/>
      <c r="N4" s="3"/>
      <c r="O4" s="3"/>
      <c r="P4" s="3" t="s">
        <v>1999</v>
      </c>
      <c r="Q4" s="3"/>
      <c r="R4" s="3"/>
      <c r="S4" s="3"/>
      <c r="T4" s="3" t="s">
        <v>2002</v>
      </c>
    </row>
    <row r="5" spans="1:20" ht="18.75" customHeight="1">
      <c r="A5" s="55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1994</v>
      </c>
      <c r="I5" s="3" t="s">
        <v>1993</v>
      </c>
      <c r="J5" s="3" t="s">
        <v>1992</v>
      </c>
      <c r="K5" s="3" t="s">
        <v>1991</v>
      </c>
      <c r="L5" s="3" t="s">
        <v>1994</v>
      </c>
      <c r="M5" s="3" t="s">
        <v>1993</v>
      </c>
      <c r="N5" s="3" t="s">
        <v>1992</v>
      </c>
      <c r="O5" s="3" t="s">
        <v>1991</v>
      </c>
      <c r="P5" s="3" t="s">
        <v>1994</v>
      </c>
      <c r="Q5" s="3" t="s">
        <v>1993</v>
      </c>
      <c r="R5" s="3" t="s">
        <v>1992</v>
      </c>
      <c r="S5" s="3" t="s">
        <v>1991</v>
      </c>
      <c r="T5" s="3"/>
    </row>
    <row r="6" spans="1:20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1951</v>
      </c>
      <c r="I8" s="4" t="s">
        <v>1951</v>
      </c>
      <c r="J8" s="4" t="s">
        <v>1951</v>
      </c>
      <c r="K8" s="4" t="s">
        <v>1951</v>
      </c>
      <c r="L8" s="4" t="s">
        <v>1951</v>
      </c>
      <c r="M8" s="4" t="s">
        <v>1951</v>
      </c>
      <c r="N8" s="4" t="s">
        <v>1951</v>
      </c>
      <c r="O8" s="4" t="s">
        <v>1951</v>
      </c>
      <c r="P8" s="4" t="s">
        <v>1951</v>
      </c>
      <c r="Q8" s="4" t="s">
        <v>1951</v>
      </c>
      <c r="R8" s="4" t="s">
        <v>1951</v>
      </c>
      <c r="S8" s="4" t="s">
        <v>1951</v>
      </c>
      <c r="T8" s="4" t="s">
        <v>20</v>
      </c>
    </row>
    <row r="9" spans="1:20" ht="76.5" customHeight="1">
      <c r="A9" s="55" t="s">
        <v>10</v>
      </c>
      <c r="B9" s="6" t="s">
        <v>11</v>
      </c>
      <c r="C9" s="6" t="s">
        <v>19</v>
      </c>
      <c r="D9" s="6" t="s">
        <v>1996</v>
      </c>
      <c r="E9" s="6" t="s">
        <v>1996</v>
      </c>
      <c r="F9" s="6" t="s">
        <v>1995</v>
      </c>
      <c r="G9" s="6" t="s">
        <v>1995</v>
      </c>
      <c r="H9" s="6" t="s">
        <v>2022</v>
      </c>
      <c r="I9" s="6" t="s">
        <v>2023</v>
      </c>
      <c r="J9" s="6" t="s">
        <v>2024</v>
      </c>
      <c r="K9" s="6" t="s">
        <v>2025</v>
      </c>
      <c r="L9" s="6" t="s">
        <v>2026</v>
      </c>
      <c r="M9" s="6" t="s">
        <v>2027</v>
      </c>
      <c r="N9" s="6" t="s">
        <v>2028</v>
      </c>
      <c r="O9" s="6" t="s">
        <v>2029</v>
      </c>
      <c r="P9" s="6" t="s">
        <v>2030</v>
      </c>
      <c r="Q9" s="6" t="s">
        <v>2031</v>
      </c>
      <c r="R9" s="6" t="s">
        <v>2032</v>
      </c>
      <c r="S9" s="6" t="s">
        <v>2033</v>
      </c>
      <c r="T9" s="6" t="s">
        <v>2002</v>
      </c>
    </row>
    <row r="10" spans="1:20" ht="132" customHeight="1">
      <c r="A10" s="55" t="s">
        <v>12</v>
      </c>
      <c r="B10" s="5"/>
      <c r="C10" s="6"/>
      <c r="D10" s="6" t="s">
        <v>1997</v>
      </c>
      <c r="E10" s="6" t="s">
        <v>1997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56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2034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2035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7" workbookViewId="0">
      <selection activeCell="L15" sqref="L15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20" style="36" customWidth="1"/>
    <col min="5" max="7" width="12.625" style="36" customWidth="1"/>
    <col min="8" max="8" width="15.375" style="36" customWidth="1"/>
    <col min="9" max="9" width="31.5" style="36" customWidth="1"/>
    <col min="10" max="10" width="12.625" style="36" customWidth="1"/>
    <col min="11" max="11" width="22.75" style="89" customWidth="1"/>
    <col min="12" max="12" width="31.5" style="36" customWidth="1"/>
    <col min="13" max="13" width="12.625" style="36" customWidth="1"/>
    <col min="14" max="14" width="27.25" style="36" customWidth="1"/>
    <col min="15" max="15" width="31.5" style="36" customWidth="1"/>
    <col min="16" max="17" width="12.625" style="36" customWidth="1"/>
    <col min="18" max="18" width="31.5" style="36" customWidth="1"/>
    <col min="19" max="34" width="12.625" style="36" customWidth="1"/>
    <col min="35" max="16384" width="12.625" style="36"/>
  </cols>
  <sheetData>
    <row r="1" spans="1:38" ht="12" customHeight="1"/>
    <row r="2" spans="1:38" ht="40.5" customHeight="1">
      <c r="A2" s="55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90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55" t="s">
        <v>2</v>
      </c>
      <c r="B4" s="3" t="s">
        <v>3</v>
      </c>
      <c r="C4" s="3" t="s">
        <v>25</v>
      </c>
      <c r="D4" s="3" t="s">
        <v>18</v>
      </c>
      <c r="E4" s="3" t="s">
        <v>2000</v>
      </c>
      <c r="F4" s="3"/>
      <c r="G4" s="3"/>
      <c r="H4" s="3" t="s">
        <v>222</v>
      </c>
      <c r="I4" s="3" t="s">
        <v>178</v>
      </c>
      <c r="J4" s="3"/>
      <c r="K4" s="91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55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91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55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91" t="s">
        <v>220</v>
      </c>
      <c r="L6" s="3" t="s">
        <v>179</v>
      </c>
      <c r="M6" s="3" t="s">
        <v>180</v>
      </c>
      <c r="N6" s="3" t="s">
        <v>220</v>
      </c>
      <c r="O6" s="3" t="s">
        <v>179</v>
      </c>
      <c r="P6" s="3" t="s">
        <v>180</v>
      </c>
      <c r="Q6" s="3" t="s">
        <v>220</v>
      </c>
      <c r="R6" s="3" t="s">
        <v>179</v>
      </c>
      <c r="S6" s="3" t="s">
        <v>180</v>
      </c>
      <c r="T6" s="3" t="s">
        <v>220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91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55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92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55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2001</v>
      </c>
      <c r="I9" s="6" t="s">
        <v>182</v>
      </c>
      <c r="J9" s="6" t="s">
        <v>183</v>
      </c>
      <c r="K9" s="93" t="s">
        <v>221</v>
      </c>
      <c r="L9" s="6" t="s">
        <v>182</v>
      </c>
      <c r="M9" s="6" t="s">
        <v>183</v>
      </c>
      <c r="N9" s="6" t="s">
        <v>221</v>
      </c>
      <c r="O9" s="6" t="s">
        <v>182</v>
      </c>
      <c r="P9" s="6" t="s">
        <v>183</v>
      </c>
      <c r="Q9" s="6" t="s">
        <v>221</v>
      </c>
      <c r="R9" s="6" t="s">
        <v>182</v>
      </c>
      <c r="S9" s="6" t="s">
        <v>183</v>
      </c>
      <c r="T9" s="6" t="s">
        <v>221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37" customHeight="1">
      <c r="A10" s="55" t="s">
        <v>12</v>
      </c>
      <c r="B10" s="5"/>
      <c r="C10" s="6"/>
      <c r="D10" s="6"/>
      <c r="E10" s="6"/>
      <c r="F10" s="6"/>
      <c r="G10" s="5"/>
      <c r="H10" s="18"/>
      <c r="I10" s="19" t="s">
        <v>2037</v>
      </c>
      <c r="J10" s="19"/>
      <c r="K10" s="94"/>
      <c r="L10" s="19" t="s">
        <v>2037</v>
      </c>
      <c r="M10" s="19"/>
      <c r="N10" s="19"/>
      <c r="O10" s="19" t="s">
        <v>2037</v>
      </c>
      <c r="P10" s="18"/>
      <c r="Q10" s="19"/>
      <c r="R10" s="19" t="s">
        <v>2037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56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95"/>
      <c r="L11" s="7"/>
      <c r="M11" s="7"/>
      <c r="N11" s="25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56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95"/>
      <c r="L12" s="7"/>
      <c r="M12" s="7"/>
      <c r="N12" s="25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8"/>
      <c r="B13" s="7">
        <v>1002001</v>
      </c>
      <c r="C13" s="7">
        <v>2</v>
      </c>
      <c r="D13" s="5" t="s">
        <v>175</v>
      </c>
      <c r="E13" s="7">
        <v>1</v>
      </c>
      <c r="F13" s="7">
        <v>1</v>
      </c>
      <c r="G13" s="7">
        <v>5</v>
      </c>
      <c r="H13" s="7">
        <v>1</v>
      </c>
      <c r="I13" s="7"/>
      <c r="J13" s="7"/>
      <c r="K13" s="95"/>
      <c r="L13" s="7"/>
      <c r="M13" s="7"/>
      <c r="N13" s="25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8"/>
      <c r="B14" s="7">
        <v>1002002</v>
      </c>
      <c r="C14" s="7">
        <v>2</v>
      </c>
      <c r="D14" s="7" t="s">
        <v>176</v>
      </c>
      <c r="E14" s="7">
        <v>1</v>
      </c>
      <c r="F14" s="7">
        <v>1</v>
      </c>
      <c r="G14" s="7">
        <v>50</v>
      </c>
      <c r="H14" s="7">
        <v>3</v>
      </c>
      <c r="I14" s="7"/>
      <c r="J14" s="7"/>
      <c r="K14" s="95"/>
      <c r="L14" s="7"/>
      <c r="M14" s="7"/>
      <c r="N14" s="25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1003001</v>
      </c>
      <c r="C15" s="7">
        <v>3</v>
      </c>
      <c r="D15" s="7" t="s">
        <v>2036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95">
        <v>1</v>
      </c>
      <c r="L15" s="7"/>
      <c r="M15" s="7"/>
      <c r="N15" s="25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95"/>
      <c r="L16" s="7"/>
      <c r="M16" s="7"/>
      <c r="N16" s="25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95"/>
      <c r="L17" s="7"/>
      <c r="M17" s="7"/>
      <c r="N17" s="25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95"/>
      <c r="L18" s="7"/>
      <c r="M18" s="7"/>
      <c r="N18" s="25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95"/>
      <c r="L19" s="7"/>
      <c r="M19" s="7"/>
      <c r="N19" s="25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95"/>
      <c r="L20" s="7"/>
      <c r="M20" s="7"/>
      <c r="N20" s="25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95"/>
      <c r="L21" s="7"/>
      <c r="M21" s="7"/>
      <c r="N21" s="25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95"/>
      <c r="L22" s="7"/>
      <c r="M22" s="7"/>
      <c r="N22" s="25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95"/>
      <c r="L23" s="7"/>
      <c r="M23" s="7"/>
      <c r="N23" s="25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95"/>
      <c r="L24" s="7"/>
      <c r="M24" s="7"/>
      <c r="N24" s="25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95"/>
      <c r="L25" s="7"/>
      <c r="M25" s="7"/>
      <c r="N25" s="25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95"/>
      <c r="L26" s="7"/>
      <c r="M26" s="7"/>
      <c r="N26" s="25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95"/>
      <c r="L27" s="7"/>
      <c r="M27" s="7"/>
      <c r="N27" s="25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95"/>
      <c r="L28" s="7"/>
      <c r="M28" s="7"/>
      <c r="N28" s="25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95"/>
      <c r="L29" s="7"/>
      <c r="M29" s="7"/>
      <c r="N29" s="2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95"/>
      <c r="L30" s="7"/>
      <c r="M30" s="7"/>
      <c r="N30" s="25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95"/>
      <c r="L31" s="7"/>
      <c r="M31" s="7"/>
      <c r="N31" s="25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95"/>
      <c r="L32" s="7"/>
      <c r="M32" s="7"/>
      <c r="N32" s="25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95"/>
      <c r="L33" s="7"/>
      <c r="M33" s="7"/>
      <c r="N33" s="25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95"/>
      <c r="L34" s="7"/>
      <c r="M34" s="7"/>
      <c r="N34" s="25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95"/>
      <c r="L35" s="7"/>
      <c r="M35" s="7"/>
      <c r="N35" s="25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95"/>
      <c r="L36" s="7"/>
      <c r="M36" s="7"/>
      <c r="N36" s="25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95"/>
      <c r="L37" s="7"/>
      <c r="M37" s="7"/>
      <c r="N37" s="25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95"/>
      <c r="L38" s="7"/>
      <c r="M38" s="7"/>
      <c r="N38" s="25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95"/>
      <c r="L39" s="7"/>
      <c r="M39" s="7"/>
      <c r="N39" s="25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95"/>
      <c r="L40" s="7"/>
      <c r="M40" s="7"/>
      <c r="N40" s="25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95"/>
      <c r="L41" s="7"/>
      <c r="M41" s="7"/>
      <c r="N41" s="25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95"/>
      <c r="L42" s="7"/>
      <c r="M42" s="7"/>
      <c r="N42" s="25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95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95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95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95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95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95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95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10" workbookViewId="0">
      <selection activeCell="P30" sqref="P3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1746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1747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1748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1749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1750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1751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1752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1753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1754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1755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1756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1757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1758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1759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1760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1761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1762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1763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1764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1765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1766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1952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1987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10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" workbookViewId="0">
      <selection activeCell="G509" sqref="G50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96">
        <v>1</v>
      </c>
      <c r="C11" s="98">
        <v>1</v>
      </c>
      <c r="D11" s="98">
        <v>0</v>
      </c>
      <c r="E11" s="98">
        <v>30</v>
      </c>
      <c r="F11" s="97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2">
        <v>2</v>
      </c>
      <c r="C12" s="98">
        <v>2</v>
      </c>
      <c r="D12" s="98">
        <v>26</v>
      </c>
      <c r="E12" s="98">
        <f>E11+D12</f>
        <v>56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96">
        <v>3</v>
      </c>
      <c r="C13" s="98">
        <v>3</v>
      </c>
      <c r="D13" s="98">
        <v>137</v>
      </c>
      <c r="E13" s="98">
        <f>E12+D13</f>
        <v>193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98">
        <v>4</v>
      </c>
      <c r="D14" s="98">
        <v>363</v>
      </c>
      <c r="E14" s="98">
        <f t="shared" ref="E14:E77" si="0">E13+D14</f>
        <v>556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96">
        <v>5</v>
      </c>
      <c r="C15" s="98">
        <v>5</v>
      </c>
      <c r="D15" s="98">
        <v>724</v>
      </c>
      <c r="E15" s="98">
        <f t="shared" si="0"/>
        <v>1280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98">
        <v>6</v>
      </c>
      <c r="D16" s="98">
        <v>1237</v>
      </c>
      <c r="E16" s="98">
        <f t="shared" si="0"/>
        <v>2517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96">
        <v>7</v>
      </c>
      <c r="C17" s="98">
        <v>7</v>
      </c>
      <c r="D17" s="98">
        <v>1916</v>
      </c>
      <c r="E17" s="98">
        <f t="shared" si="0"/>
        <v>4433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98">
        <v>8</v>
      </c>
      <c r="D18" s="98">
        <v>2774</v>
      </c>
      <c r="E18" s="98">
        <f t="shared" si="0"/>
        <v>7207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96">
        <v>9</v>
      </c>
      <c r="C19" s="98">
        <v>9</v>
      </c>
      <c r="D19" s="98">
        <v>3822</v>
      </c>
      <c r="E19" s="98">
        <f t="shared" si="0"/>
        <v>11029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98">
        <v>10</v>
      </c>
      <c r="D20" s="98">
        <v>5071</v>
      </c>
      <c r="E20" s="98">
        <f t="shared" si="0"/>
        <v>16100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96">
        <v>11</v>
      </c>
      <c r="C21" s="98">
        <v>11</v>
      </c>
      <c r="D21" s="98">
        <v>6530</v>
      </c>
      <c r="E21" s="98">
        <f t="shared" si="0"/>
        <v>22630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98">
        <v>12</v>
      </c>
      <c r="D22" s="98">
        <v>8209</v>
      </c>
      <c r="E22" s="98">
        <f t="shared" si="0"/>
        <v>30839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96">
        <v>13</v>
      </c>
      <c r="C23" s="98">
        <v>13</v>
      </c>
      <c r="D23" s="98">
        <v>10115</v>
      </c>
      <c r="E23" s="98">
        <f t="shared" si="0"/>
        <v>40954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98">
        <v>14</v>
      </c>
      <c r="D24" s="98">
        <v>12258</v>
      </c>
      <c r="E24" s="98">
        <f t="shared" si="0"/>
        <v>53212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96">
        <v>15</v>
      </c>
      <c r="C25" s="98">
        <v>15</v>
      </c>
      <c r="D25" s="98">
        <v>14644</v>
      </c>
      <c r="E25" s="98">
        <f t="shared" si="0"/>
        <v>67856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98">
        <v>16</v>
      </c>
      <c r="D26" s="98">
        <v>17281</v>
      </c>
      <c r="E26" s="98">
        <f t="shared" si="0"/>
        <v>85137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96">
        <v>17</v>
      </c>
      <c r="C27" s="98">
        <v>17</v>
      </c>
      <c r="D27" s="98">
        <v>20177</v>
      </c>
      <c r="E27" s="98">
        <f t="shared" si="0"/>
        <v>105314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98">
        <v>18</v>
      </c>
      <c r="D28" s="98">
        <v>23337</v>
      </c>
      <c r="E28" s="98">
        <f t="shared" si="0"/>
        <v>128651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96">
        <v>19</v>
      </c>
      <c r="C29" s="98">
        <v>19</v>
      </c>
      <c r="D29" s="98">
        <v>26768</v>
      </c>
      <c r="E29" s="98">
        <f t="shared" si="0"/>
        <v>155419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98">
        <v>20</v>
      </c>
      <c r="D30" s="98">
        <v>30477</v>
      </c>
      <c r="E30" s="98">
        <f t="shared" si="0"/>
        <v>185896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96">
        <v>21</v>
      </c>
      <c r="C31" s="98">
        <v>21</v>
      </c>
      <c r="D31" s="98">
        <v>34470</v>
      </c>
      <c r="E31" s="98">
        <f t="shared" si="0"/>
        <v>220366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98">
        <v>22</v>
      </c>
      <c r="D32" s="98">
        <v>38752</v>
      </c>
      <c r="E32" s="98">
        <f t="shared" si="0"/>
        <v>259118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96">
        <v>23</v>
      </c>
      <c r="C33" s="98">
        <v>23</v>
      </c>
      <c r="D33" s="98">
        <v>43329</v>
      </c>
      <c r="E33" s="98">
        <f t="shared" si="0"/>
        <v>302447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98">
        <v>24</v>
      </c>
      <c r="D34" s="98">
        <v>48208</v>
      </c>
      <c r="E34" s="98">
        <f t="shared" si="0"/>
        <v>350655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96">
        <v>25</v>
      </c>
      <c r="C35" s="98">
        <v>25</v>
      </c>
      <c r="D35" s="98">
        <v>53392</v>
      </c>
      <c r="E35" s="98">
        <f t="shared" si="0"/>
        <v>404047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98">
        <v>26</v>
      </c>
      <c r="D36" s="98">
        <v>58888</v>
      </c>
      <c r="E36" s="98">
        <f t="shared" si="0"/>
        <v>462935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96">
        <v>27</v>
      </c>
      <c r="C37" s="98">
        <v>27</v>
      </c>
      <c r="D37" s="98">
        <v>64700</v>
      </c>
      <c r="E37" s="98">
        <f t="shared" si="0"/>
        <v>527635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98">
        <v>28</v>
      </c>
      <c r="D38" s="98">
        <v>70834</v>
      </c>
      <c r="E38" s="98">
        <f t="shared" si="0"/>
        <v>598469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96">
        <v>29</v>
      </c>
      <c r="C39" s="98">
        <v>29</v>
      </c>
      <c r="D39" s="98">
        <v>77295</v>
      </c>
      <c r="E39" s="98">
        <f t="shared" si="0"/>
        <v>675764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98">
        <v>30</v>
      </c>
      <c r="D40" s="98">
        <v>84086</v>
      </c>
      <c r="E40" s="98">
        <f t="shared" si="0"/>
        <v>759850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96">
        <v>31</v>
      </c>
      <c r="C41" s="98">
        <v>31</v>
      </c>
      <c r="D41" s="98">
        <v>91214</v>
      </c>
      <c r="E41" s="98">
        <f t="shared" si="0"/>
        <v>851064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98">
        <v>32</v>
      </c>
      <c r="D42" s="98">
        <v>98682</v>
      </c>
      <c r="E42" s="98">
        <f t="shared" si="0"/>
        <v>949746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96">
        <v>33</v>
      </c>
      <c r="C43" s="98">
        <v>33</v>
      </c>
      <c r="D43" s="98">
        <v>106496</v>
      </c>
      <c r="E43" s="98">
        <f t="shared" si="0"/>
        <v>1056242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98">
        <v>34</v>
      </c>
      <c r="D44" s="98">
        <v>114658</v>
      </c>
      <c r="E44" s="98">
        <f t="shared" si="0"/>
        <v>1170900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96">
        <v>35</v>
      </c>
      <c r="C45" s="98">
        <v>35</v>
      </c>
      <c r="D45" s="98">
        <v>123175</v>
      </c>
      <c r="E45" s="98">
        <f t="shared" si="0"/>
        <v>1294075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98">
        <v>36</v>
      </c>
      <c r="D46" s="98">
        <v>132049</v>
      </c>
      <c r="E46" s="98">
        <f t="shared" si="0"/>
        <v>1426124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96">
        <v>37</v>
      </c>
      <c r="C47" s="98">
        <v>37</v>
      </c>
      <c r="D47" s="98">
        <v>141286</v>
      </c>
      <c r="E47" s="98">
        <f t="shared" si="0"/>
        <v>1567410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98">
        <v>38</v>
      </c>
      <c r="D48" s="98">
        <v>150888</v>
      </c>
      <c r="E48" s="98">
        <f t="shared" si="0"/>
        <v>1718298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96">
        <v>39</v>
      </c>
      <c r="C49" s="98">
        <v>39</v>
      </c>
      <c r="D49" s="98">
        <v>160862</v>
      </c>
      <c r="E49" s="98">
        <f t="shared" si="0"/>
        <v>1879160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98">
        <v>40</v>
      </c>
      <c r="D50" s="98">
        <v>171209</v>
      </c>
      <c r="E50" s="98">
        <f t="shared" si="0"/>
        <v>2050369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96">
        <v>41</v>
      </c>
      <c r="C51" s="98">
        <v>41</v>
      </c>
      <c r="D51" s="98">
        <v>181935</v>
      </c>
      <c r="E51" s="98">
        <f t="shared" si="0"/>
        <v>2232304</v>
      </c>
      <c r="F51" s="35"/>
    </row>
    <row r="52" spans="1:38" ht="18.75" customHeight="1">
      <c r="B52" s="12">
        <v>42</v>
      </c>
      <c r="C52" s="98">
        <v>42</v>
      </c>
      <c r="D52" s="98">
        <v>193043</v>
      </c>
      <c r="E52" s="98">
        <f t="shared" si="0"/>
        <v>2425347</v>
      </c>
      <c r="F52" s="35"/>
    </row>
    <row r="53" spans="1:38" ht="18.75" customHeight="1">
      <c r="B53" s="96">
        <v>43</v>
      </c>
      <c r="C53" s="98">
        <v>43</v>
      </c>
      <c r="D53" s="98">
        <v>204536</v>
      </c>
      <c r="E53" s="98">
        <f t="shared" si="0"/>
        <v>2629883</v>
      </c>
      <c r="F53" s="35"/>
    </row>
    <row r="54" spans="1:38" ht="18.75" customHeight="1">
      <c r="B54" s="12">
        <v>44</v>
      </c>
      <c r="C54" s="98">
        <v>44</v>
      </c>
      <c r="D54" s="98">
        <v>216420</v>
      </c>
      <c r="E54" s="98">
        <f t="shared" si="0"/>
        <v>2846303</v>
      </c>
      <c r="F54" s="35"/>
    </row>
    <row r="55" spans="1:38" ht="18.75" customHeight="1">
      <c r="B55" s="96">
        <v>45</v>
      </c>
      <c r="C55" s="98">
        <v>45</v>
      </c>
      <c r="D55" s="98">
        <v>228696</v>
      </c>
      <c r="E55" s="98">
        <f t="shared" si="0"/>
        <v>3074999</v>
      </c>
      <c r="F55" s="35"/>
    </row>
    <row r="56" spans="1:38" ht="18.75" customHeight="1">
      <c r="B56" s="12">
        <v>46</v>
      </c>
      <c r="C56" s="98">
        <v>46</v>
      </c>
      <c r="D56" s="98">
        <v>241370</v>
      </c>
      <c r="E56" s="98">
        <f t="shared" si="0"/>
        <v>3316369</v>
      </c>
      <c r="F56" s="35"/>
    </row>
    <row r="57" spans="1:38" ht="18.75" customHeight="1">
      <c r="B57" s="96">
        <v>47</v>
      </c>
      <c r="C57" s="98">
        <v>47</v>
      </c>
      <c r="D57" s="98">
        <v>254443</v>
      </c>
      <c r="E57" s="98">
        <f t="shared" si="0"/>
        <v>3570812</v>
      </c>
      <c r="F57" s="35"/>
    </row>
    <row r="58" spans="1:38" ht="18.75" customHeight="1">
      <c r="B58" s="12">
        <v>48</v>
      </c>
      <c r="C58" s="98">
        <v>48</v>
      </c>
      <c r="D58" s="98">
        <v>267921</v>
      </c>
      <c r="E58" s="98">
        <f t="shared" si="0"/>
        <v>3838733</v>
      </c>
      <c r="F58" s="35"/>
    </row>
    <row r="59" spans="1:38" ht="18.75" customHeight="1">
      <c r="B59" s="96">
        <v>49</v>
      </c>
      <c r="C59" s="98">
        <v>49</v>
      </c>
      <c r="D59" s="98">
        <v>281807</v>
      </c>
      <c r="E59" s="98">
        <f t="shared" si="0"/>
        <v>4120540</v>
      </c>
      <c r="F59" s="35"/>
    </row>
    <row r="60" spans="1:38" ht="18.75" customHeight="1">
      <c r="B60" s="12">
        <v>50</v>
      </c>
      <c r="C60" s="98">
        <v>50</v>
      </c>
      <c r="D60" s="98">
        <v>296103</v>
      </c>
      <c r="E60" s="98">
        <f t="shared" si="0"/>
        <v>4416643</v>
      </c>
      <c r="F60" s="35"/>
    </row>
    <row r="61" spans="1:38" ht="18.75" customHeight="1">
      <c r="B61" s="96">
        <v>51</v>
      </c>
      <c r="C61" s="98">
        <v>51</v>
      </c>
      <c r="D61" s="98">
        <v>310814</v>
      </c>
      <c r="E61" s="98">
        <f t="shared" si="0"/>
        <v>4727457</v>
      </c>
      <c r="F61" s="35"/>
    </row>
    <row r="62" spans="1:38" ht="18.75" customHeight="1">
      <c r="B62" s="12">
        <v>52</v>
      </c>
      <c r="C62" s="98">
        <v>52</v>
      </c>
      <c r="D62" s="98">
        <v>325943</v>
      </c>
      <c r="E62" s="98">
        <f t="shared" si="0"/>
        <v>5053400</v>
      </c>
      <c r="F62" s="35"/>
    </row>
    <row r="63" spans="1:38" ht="18.75" customHeight="1">
      <c r="B63" s="96">
        <v>53</v>
      </c>
      <c r="C63" s="98">
        <v>53</v>
      </c>
      <c r="D63" s="98">
        <v>341492</v>
      </c>
      <c r="E63" s="98">
        <f t="shared" si="0"/>
        <v>5394892</v>
      </c>
      <c r="F63" s="35"/>
    </row>
    <row r="64" spans="1:38" ht="18.75" customHeight="1">
      <c r="B64" s="12">
        <v>54</v>
      </c>
      <c r="C64" s="98">
        <v>54</v>
      </c>
      <c r="D64" s="98">
        <v>357466</v>
      </c>
      <c r="E64" s="98">
        <f t="shared" si="0"/>
        <v>5752358</v>
      </c>
      <c r="F64" s="35"/>
    </row>
    <row r="65" spans="2:6" ht="18.75" customHeight="1">
      <c r="B65" s="96">
        <v>55</v>
      </c>
      <c r="C65" s="98">
        <v>55</v>
      </c>
      <c r="D65" s="98">
        <v>373868</v>
      </c>
      <c r="E65" s="98">
        <f t="shared" si="0"/>
        <v>6126226</v>
      </c>
      <c r="F65" s="35"/>
    </row>
    <row r="66" spans="2:6" ht="18.75" customHeight="1">
      <c r="B66" s="12">
        <v>56</v>
      </c>
      <c r="C66" s="98">
        <v>56</v>
      </c>
      <c r="D66" s="98">
        <v>390700</v>
      </c>
      <c r="E66" s="98">
        <f t="shared" si="0"/>
        <v>6516926</v>
      </c>
      <c r="F66" s="35"/>
    </row>
    <row r="67" spans="2:6" ht="18.75" customHeight="1">
      <c r="B67" s="96">
        <v>57</v>
      </c>
      <c r="C67" s="98">
        <v>57</v>
      </c>
      <c r="D67" s="98">
        <v>407966</v>
      </c>
      <c r="E67" s="98">
        <f t="shared" si="0"/>
        <v>6924892</v>
      </c>
      <c r="F67" s="35"/>
    </row>
    <row r="68" spans="2:6" ht="18.75" customHeight="1">
      <c r="B68" s="12">
        <v>58</v>
      </c>
      <c r="C68" s="98">
        <v>58</v>
      </c>
      <c r="D68" s="98">
        <v>425669</v>
      </c>
      <c r="E68" s="98">
        <f t="shared" si="0"/>
        <v>7350561</v>
      </c>
      <c r="F68" s="35"/>
    </row>
    <row r="69" spans="2:6" ht="18.75" customHeight="1">
      <c r="B69" s="96">
        <v>59</v>
      </c>
      <c r="C69" s="98">
        <v>59</v>
      </c>
      <c r="D69" s="98">
        <v>443813</v>
      </c>
      <c r="E69" s="98">
        <f t="shared" si="0"/>
        <v>7794374</v>
      </c>
      <c r="F69" s="35"/>
    </row>
    <row r="70" spans="2:6" ht="18.75" customHeight="1">
      <c r="B70" s="12">
        <v>60</v>
      </c>
      <c r="C70" s="98">
        <v>60</v>
      </c>
      <c r="D70" s="98">
        <v>462400</v>
      </c>
      <c r="E70" s="98">
        <f t="shared" si="0"/>
        <v>8256774</v>
      </c>
      <c r="F70" s="35"/>
    </row>
    <row r="71" spans="2:6" ht="18.75" customHeight="1">
      <c r="B71" s="96">
        <v>61</v>
      </c>
      <c r="C71" s="98">
        <v>61</v>
      </c>
      <c r="D71" s="98">
        <v>481433</v>
      </c>
      <c r="E71" s="98">
        <f t="shared" si="0"/>
        <v>8738207</v>
      </c>
      <c r="F71" s="35"/>
    </row>
    <row r="72" spans="2:6" ht="18.75" customHeight="1">
      <c r="B72" s="12">
        <v>62</v>
      </c>
      <c r="C72" s="98">
        <v>62</v>
      </c>
      <c r="D72" s="98">
        <v>500916</v>
      </c>
      <c r="E72" s="98">
        <f t="shared" si="0"/>
        <v>9239123</v>
      </c>
      <c r="F72" s="35"/>
    </row>
    <row r="73" spans="2:6" ht="18.75" customHeight="1">
      <c r="B73" s="96">
        <v>63</v>
      </c>
      <c r="C73" s="98">
        <v>63</v>
      </c>
      <c r="D73" s="98">
        <v>520850</v>
      </c>
      <c r="E73" s="98">
        <f t="shared" si="0"/>
        <v>9759973</v>
      </c>
      <c r="F73" s="35"/>
    </row>
    <row r="74" spans="2:6" ht="18.75" customHeight="1">
      <c r="B74" s="12">
        <v>64</v>
      </c>
      <c r="C74" s="98">
        <v>64</v>
      </c>
      <c r="D74" s="98">
        <v>541240</v>
      </c>
      <c r="E74" s="98">
        <f t="shared" si="0"/>
        <v>10301213</v>
      </c>
      <c r="F74" s="35"/>
    </row>
    <row r="75" spans="2:6" ht="18.75" customHeight="1">
      <c r="B75" s="96">
        <v>65</v>
      </c>
      <c r="C75" s="98">
        <v>65</v>
      </c>
      <c r="D75" s="98">
        <v>562089</v>
      </c>
      <c r="E75" s="98">
        <f t="shared" si="0"/>
        <v>10863302</v>
      </c>
      <c r="F75" s="35"/>
    </row>
    <row r="76" spans="2:6" ht="18.75" customHeight="1">
      <c r="B76" s="12">
        <v>66</v>
      </c>
      <c r="C76" s="98">
        <v>66</v>
      </c>
      <c r="D76" s="98">
        <v>583398</v>
      </c>
      <c r="E76" s="98">
        <f t="shared" si="0"/>
        <v>11446700</v>
      </c>
      <c r="F76" s="35"/>
    </row>
    <row r="77" spans="2:6" ht="18.75" customHeight="1">
      <c r="B77" s="96">
        <v>67</v>
      </c>
      <c r="C77" s="98">
        <v>67</v>
      </c>
      <c r="D77" s="98">
        <v>605171</v>
      </c>
      <c r="E77" s="98">
        <f t="shared" si="0"/>
        <v>12051871</v>
      </c>
      <c r="F77" s="35"/>
    </row>
    <row r="78" spans="2:6" ht="18.75" customHeight="1">
      <c r="B78" s="12">
        <v>68</v>
      </c>
      <c r="C78" s="98">
        <v>68</v>
      </c>
      <c r="D78" s="98">
        <v>627412</v>
      </c>
      <c r="E78" s="98">
        <f t="shared" ref="E78:E141" si="1">E77+D78</f>
        <v>12679283</v>
      </c>
      <c r="F78" s="35"/>
    </row>
    <row r="79" spans="2:6" ht="18.75" customHeight="1">
      <c r="B79" s="96">
        <v>69</v>
      </c>
      <c r="C79" s="98">
        <v>69</v>
      </c>
      <c r="D79" s="98">
        <v>650121</v>
      </c>
      <c r="E79" s="98">
        <f t="shared" si="1"/>
        <v>13329404</v>
      </c>
      <c r="F79" s="35"/>
    </row>
    <row r="80" spans="2:6" ht="18.75" customHeight="1">
      <c r="B80" s="12">
        <v>70</v>
      </c>
      <c r="C80" s="98">
        <v>70</v>
      </c>
      <c r="D80" s="98">
        <v>673303</v>
      </c>
      <c r="E80" s="98">
        <f t="shared" si="1"/>
        <v>14002707</v>
      </c>
      <c r="F80" s="35"/>
    </row>
    <row r="81" spans="2:6" ht="18.75" customHeight="1">
      <c r="B81" s="96">
        <v>71</v>
      </c>
      <c r="C81" s="98">
        <v>71</v>
      </c>
      <c r="D81" s="98">
        <v>696961</v>
      </c>
      <c r="E81" s="98">
        <f t="shared" si="1"/>
        <v>14699668</v>
      </c>
      <c r="F81" s="35"/>
    </row>
    <row r="82" spans="2:6" ht="18.75" customHeight="1">
      <c r="B82" s="12">
        <v>72</v>
      </c>
      <c r="C82" s="98">
        <v>72</v>
      </c>
      <c r="D82" s="98">
        <v>721096</v>
      </c>
      <c r="E82" s="98">
        <f t="shared" si="1"/>
        <v>15420764</v>
      </c>
      <c r="F82" s="35"/>
    </row>
    <row r="83" spans="2:6" ht="18.75" customHeight="1">
      <c r="B83" s="96">
        <v>73</v>
      </c>
      <c r="C83" s="98">
        <v>73</v>
      </c>
      <c r="D83" s="98">
        <v>745712</v>
      </c>
      <c r="E83" s="98">
        <f t="shared" si="1"/>
        <v>16166476</v>
      </c>
      <c r="F83" s="35"/>
    </row>
    <row r="84" spans="2:6" ht="18.75" customHeight="1">
      <c r="B84" s="12">
        <v>74</v>
      </c>
      <c r="C84" s="98">
        <v>74</v>
      </c>
      <c r="D84" s="98">
        <v>770811</v>
      </c>
      <c r="E84" s="98">
        <f t="shared" si="1"/>
        <v>16937287</v>
      </c>
      <c r="F84" s="35"/>
    </row>
    <row r="85" spans="2:6" ht="18.75" customHeight="1">
      <c r="B85" s="96">
        <v>75</v>
      </c>
      <c r="C85" s="98">
        <v>75</v>
      </c>
      <c r="D85" s="98">
        <v>796396</v>
      </c>
      <c r="E85" s="98">
        <f t="shared" si="1"/>
        <v>17733683</v>
      </c>
      <c r="F85" s="35"/>
    </row>
    <row r="86" spans="2:6" ht="18.75" customHeight="1">
      <c r="B86" s="12">
        <v>76</v>
      </c>
      <c r="C86" s="98">
        <v>76</v>
      </c>
      <c r="D86" s="98">
        <v>822470</v>
      </c>
      <c r="E86" s="98">
        <f t="shared" si="1"/>
        <v>18556153</v>
      </c>
      <c r="F86" s="35"/>
    </row>
    <row r="87" spans="2:6" ht="18.75" customHeight="1">
      <c r="B87" s="96">
        <v>77</v>
      </c>
      <c r="C87" s="98">
        <v>77</v>
      </c>
      <c r="D87" s="98">
        <v>849035</v>
      </c>
      <c r="E87" s="98">
        <f t="shared" si="1"/>
        <v>19405188</v>
      </c>
      <c r="F87" s="35"/>
    </row>
    <row r="88" spans="2:6" ht="18.75" customHeight="1">
      <c r="B88" s="12">
        <v>78</v>
      </c>
      <c r="C88" s="98">
        <v>78</v>
      </c>
      <c r="D88" s="98">
        <v>876094</v>
      </c>
      <c r="E88" s="98">
        <f t="shared" si="1"/>
        <v>20281282</v>
      </c>
      <c r="F88" s="35"/>
    </row>
    <row r="89" spans="2:6" ht="18.75" customHeight="1">
      <c r="B89" s="96">
        <v>79</v>
      </c>
      <c r="C89" s="98">
        <v>79</v>
      </c>
      <c r="D89" s="98">
        <v>903650</v>
      </c>
      <c r="E89" s="98">
        <f t="shared" si="1"/>
        <v>21184932</v>
      </c>
      <c r="F89" s="35"/>
    </row>
    <row r="90" spans="2:6" ht="18.75" customHeight="1">
      <c r="B90" s="12">
        <v>80</v>
      </c>
      <c r="C90" s="98">
        <v>80</v>
      </c>
      <c r="D90" s="98">
        <v>931704</v>
      </c>
      <c r="E90" s="98">
        <f t="shared" si="1"/>
        <v>22116636</v>
      </c>
      <c r="F90" s="35"/>
    </row>
    <row r="91" spans="2:6" ht="18.75" customHeight="1">
      <c r="B91" s="96">
        <v>81</v>
      </c>
      <c r="C91" s="98">
        <v>81</v>
      </c>
      <c r="D91" s="98">
        <v>960261</v>
      </c>
      <c r="E91" s="98">
        <f t="shared" si="1"/>
        <v>23076897</v>
      </c>
      <c r="F91" s="35"/>
    </row>
    <row r="92" spans="2:6" ht="18.75" customHeight="1">
      <c r="B92" s="12">
        <v>82</v>
      </c>
      <c r="C92" s="98">
        <v>82</v>
      </c>
      <c r="D92" s="98">
        <v>989321</v>
      </c>
      <c r="E92" s="98">
        <f t="shared" si="1"/>
        <v>24066218</v>
      </c>
      <c r="F92" s="35"/>
    </row>
    <row r="93" spans="2:6" ht="18.75" customHeight="1">
      <c r="B93" s="96">
        <v>83</v>
      </c>
      <c r="C93" s="98">
        <v>83</v>
      </c>
      <c r="D93" s="98">
        <v>1018888</v>
      </c>
      <c r="E93" s="98">
        <f t="shared" si="1"/>
        <v>25085106</v>
      </c>
      <c r="F93" s="35"/>
    </row>
    <row r="94" spans="2:6" ht="18.75" customHeight="1">
      <c r="B94" s="12">
        <v>84</v>
      </c>
      <c r="C94" s="98">
        <v>84</v>
      </c>
      <c r="D94" s="98">
        <v>1048964</v>
      </c>
      <c r="E94" s="98">
        <f t="shared" si="1"/>
        <v>26134070</v>
      </c>
      <c r="F94" s="35"/>
    </row>
    <row r="95" spans="2:6" ht="18.75" customHeight="1">
      <c r="B95" s="96">
        <v>85</v>
      </c>
      <c r="C95" s="98">
        <v>85</v>
      </c>
      <c r="D95" s="98">
        <v>1079552</v>
      </c>
      <c r="E95" s="98">
        <f t="shared" si="1"/>
        <v>27213622</v>
      </c>
      <c r="F95" s="35"/>
    </row>
    <row r="96" spans="2:6" ht="18.75" customHeight="1">
      <c r="B96" s="12">
        <v>86</v>
      </c>
      <c r="C96" s="98">
        <v>86</v>
      </c>
      <c r="D96" s="98">
        <v>1110653</v>
      </c>
      <c r="E96" s="98">
        <f t="shared" si="1"/>
        <v>28324275</v>
      </c>
      <c r="F96" s="35"/>
    </row>
    <row r="97" spans="2:6" ht="18.75" customHeight="1">
      <c r="B97" s="96">
        <v>87</v>
      </c>
      <c r="C97" s="98">
        <v>87</v>
      </c>
      <c r="D97" s="98">
        <v>1142272</v>
      </c>
      <c r="E97" s="98">
        <f t="shared" si="1"/>
        <v>29466547</v>
      </c>
      <c r="F97" s="35"/>
    </row>
    <row r="98" spans="2:6" ht="18.75" customHeight="1">
      <c r="B98" s="12">
        <v>88</v>
      </c>
      <c r="C98" s="98">
        <v>88</v>
      </c>
      <c r="D98" s="98">
        <v>1174409</v>
      </c>
      <c r="E98" s="98">
        <f t="shared" si="1"/>
        <v>30640956</v>
      </c>
      <c r="F98" s="35"/>
    </row>
    <row r="99" spans="2:6" ht="18.75" customHeight="1">
      <c r="B99" s="96">
        <v>89</v>
      </c>
      <c r="C99" s="98">
        <v>89</v>
      </c>
      <c r="D99" s="98">
        <v>1207068</v>
      </c>
      <c r="E99" s="98">
        <f t="shared" si="1"/>
        <v>31848024</v>
      </c>
      <c r="F99" s="35"/>
    </row>
    <row r="100" spans="2:6" ht="18.75" customHeight="1">
      <c r="B100" s="12">
        <v>90</v>
      </c>
      <c r="C100" s="98">
        <v>90</v>
      </c>
      <c r="D100" s="98">
        <v>1240250</v>
      </c>
      <c r="E100" s="98">
        <f t="shared" si="1"/>
        <v>33088274</v>
      </c>
      <c r="F100" s="35"/>
    </row>
    <row r="101" spans="2:6" ht="18.75" customHeight="1">
      <c r="B101" s="96">
        <v>91</v>
      </c>
      <c r="C101" s="98">
        <v>91</v>
      </c>
      <c r="D101" s="98">
        <v>1273958</v>
      </c>
      <c r="E101" s="98">
        <f t="shared" si="1"/>
        <v>34362232</v>
      </c>
      <c r="F101" s="35"/>
    </row>
    <row r="102" spans="2:6" ht="18.75" customHeight="1">
      <c r="B102" s="12">
        <v>92</v>
      </c>
      <c r="C102" s="98">
        <v>92</v>
      </c>
      <c r="D102" s="98">
        <v>1308195</v>
      </c>
      <c r="E102" s="98">
        <f t="shared" si="1"/>
        <v>35670427</v>
      </c>
      <c r="F102" s="35"/>
    </row>
    <row r="103" spans="2:6" ht="18.75" customHeight="1">
      <c r="B103" s="96">
        <v>93</v>
      </c>
      <c r="C103" s="98">
        <v>93</v>
      </c>
      <c r="D103" s="98">
        <v>1342963</v>
      </c>
      <c r="E103" s="98">
        <f t="shared" si="1"/>
        <v>37013390</v>
      </c>
      <c r="F103" s="35"/>
    </row>
    <row r="104" spans="2:6" ht="18.75" customHeight="1">
      <c r="B104" s="12">
        <v>94</v>
      </c>
      <c r="C104" s="98">
        <v>94</v>
      </c>
      <c r="D104" s="98">
        <v>1378264</v>
      </c>
      <c r="E104" s="98">
        <f t="shared" si="1"/>
        <v>38391654</v>
      </c>
      <c r="F104" s="35"/>
    </row>
    <row r="105" spans="2:6" ht="18.75" customHeight="1">
      <c r="B105" s="96">
        <v>95</v>
      </c>
      <c r="C105" s="98">
        <v>95</v>
      </c>
      <c r="D105" s="98">
        <v>1414100</v>
      </c>
      <c r="E105" s="98">
        <f t="shared" si="1"/>
        <v>39805754</v>
      </c>
      <c r="F105" s="35"/>
    </row>
    <row r="106" spans="2:6" ht="18.75" customHeight="1">
      <c r="B106" s="12">
        <v>96</v>
      </c>
      <c r="C106" s="98">
        <v>96</v>
      </c>
      <c r="D106" s="98">
        <v>1450474</v>
      </c>
      <c r="E106" s="98">
        <f t="shared" si="1"/>
        <v>41256228</v>
      </c>
      <c r="F106" s="35"/>
    </row>
    <row r="107" spans="2:6" ht="18.75" customHeight="1">
      <c r="B107" s="96">
        <v>97</v>
      </c>
      <c r="C107" s="98">
        <v>97</v>
      </c>
      <c r="D107" s="98">
        <v>1487388</v>
      </c>
      <c r="E107" s="98">
        <f t="shared" si="1"/>
        <v>42743616</v>
      </c>
      <c r="F107" s="35"/>
    </row>
    <row r="108" spans="2:6" ht="18.75" customHeight="1">
      <c r="B108" s="12">
        <v>98</v>
      </c>
      <c r="C108" s="98">
        <v>98</v>
      </c>
      <c r="D108" s="98">
        <v>1524844</v>
      </c>
      <c r="E108" s="98">
        <f t="shared" si="1"/>
        <v>44268460</v>
      </c>
      <c r="F108" s="35"/>
    </row>
    <row r="109" spans="2:6" ht="18.75" customHeight="1">
      <c r="B109" s="96">
        <v>99</v>
      </c>
      <c r="C109" s="98">
        <v>99</v>
      </c>
      <c r="D109" s="98">
        <v>1562845</v>
      </c>
      <c r="E109" s="98">
        <f t="shared" si="1"/>
        <v>45831305</v>
      </c>
      <c r="F109" s="35"/>
    </row>
    <row r="110" spans="2:6" ht="18.75" customHeight="1">
      <c r="B110" s="12">
        <v>100</v>
      </c>
      <c r="C110" s="98">
        <v>100</v>
      </c>
      <c r="D110" s="98">
        <v>1601392</v>
      </c>
      <c r="E110" s="98">
        <f t="shared" si="1"/>
        <v>47432697</v>
      </c>
      <c r="F110" s="35"/>
    </row>
    <row r="111" spans="2:6" ht="18.75" customHeight="1">
      <c r="B111" s="96">
        <v>101</v>
      </c>
      <c r="C111" s="98">
        <v>101</v>
      </c>
      <c r="D111" s="98">
        <v>1640489</v>
      </c>
      <c r="E111" s="98">
        <f t="shared" si="1"/>
        <v>49073186</v>
      </c>
      <c r="F111" s="35"/>
    </row>
    <row r="112" spans="2:6" ht="18.75" customHeight="1">
      <c r="B112" s="12">
        <v>102</v>
      </c>
      <c r="C112" s="98">
        <v>102</v>
      </c>
      <c r="D112" s="98">
        <v>1680136</v>
      </c>
      <c r="E112" s="98">
        <f t="shared" si="1"/>
        <v>50753322</v>
      </c>
      <c r="F112" s="35"/>
    </row>
    <row r="113" spans="2:6" ht="18.75" customHeight="1">
      <c r="B113" s="96">
        <v>103</v>
      </c>
      <c r="C113" s="98">
        <v>103</v>
      </c>
      <c r="D113" s="98">
        <v>1720337</v>
      </c>
      <c r="E113" s="98">
        <f t="shared" si="1"/>
        <v>52473659</v>
      </c>
      <c r="F113" s="35"/>
    </row>
    <row r="114" spans="2:6" ht="18.75" customHeight="1">
      <c r="B114" s="12">
        <v>104</v>
      </c>
      <c r="C114" s="98">
        <v>104</v>
      </c>
      <c r="D114" s="98">
        <v>1761094</v>
      </c>
      <c r="E114" s="98">
        <f t="shared" si="1"/>
        <v>54234753</v>
      </c>
      <c r="F114" s="35"/>
    </row>
    <row r="115" spans="2:6" ht="18.75" customHeight="1">
      <c r="B115" s="96">
        <v>105</v>
      </c>
      <c r="C115" s="98">
        <v>105</v>
      </c>
      <c r="D115" s="98">
        <v>1802409</v>
      </c>
      <c r="E115" s="98">
        <f t="shared" si="1"/>
        <v>56037162</v>
      </c>
      <c r="F115" s="35"/>
    </row>
    <row r="116" spans="2:6" ht="18.75" customHeight="1">
      <c r="B116" s="12">
        <v>106</v>
      </c>
      <c r="C116" s="98">
        <v>106</v>
      </c>
      <c r="D116" s="98">
        <v>1844283</v>
      </c>
      <c r="E116" s="98">
        <f t="shared" si="1"/>
        <v>57881445</v>
      </c>
      <c r="F116" s="35"/>
    </row>
    <row r="117" spans="2:6" ht="18.75" customHeight="1">
      <c r="B117" s="96">
        <v>107</v>
      </c>
      <c r="C117" s="98">
        <v>107</v>
      </c>
      <c r="D117" s="98">
        <v>1886719</v>
      </c>
      <c r="E117" s="98">
        <f t="shared" si="1"/>
        <v>59768164</v>
      </c>
      <c r="F117" s="35"/>
    </row>
    <row r="118" spans="2:6" ht="18.75" customHeight="1">
      <c r="B118" s="12">
        <v>108</v>
      </c>
      <c r="C118" s="98">
        <v>108</v>
      </c>
      <c r="D118" s="98">
        <v>1929720</v>
      </c>
      <c r="E118" s="98">
        <f t="shared" si="1"/>
        <v>61697884</v>
      </c>
      <c r="F118" s="35"/>
    </row>
    <row r="119" spans="2:6" ht="18.75" customHeight="1">
      <c r="B119" s="96">
        <v>109</v>
      </c>
      <c r="C119" s="98">
        <v>109</v>
      </c>
      <c r="D119" s="98">
        <v>1973287</v>
      </c>
      <c r="E119" s="98">
        <f t="shared" si="1"/>
        <v>63671171</v>
      </c>
      <c r="F119" s="35"/>
    </row>
    <row r="120" spans="2:6" ht="18.75" customHeight="1">
      <c r="B120" s="12">
        <v>110</v>
      </c>
      <c r="C120" s="98">
        <v>110</v>
      </c>
      <c r="D120" s="98">
        <v>2017422</v>
      </c>
      <c r="E120" s="98">
        <f t="shared" si="1"/>
        <v>65688593</v>
      </c>
      <c r="F120" s="35"/>
    </row>
    <row r="121" spans="2:6" ht="18.75" customHeight="1">
      <c r="B121" s="96">
        <v>111</v>
      </c>
      <c r="C121" s="98">
        <v>111</v>
      </c>
      <c r="D121" s="98">
        <v>2062128</v>
      </c>
      <c r="E121" s="98">
        <f t="shared" si="1"/>
        <v>67750721</v>
      </c>
      <c r="F121" s="35"/>
    </row>
    <row r="122" spans="2:6" ht="18.75" customHeight="1">
      <c r="B122" s="12">
        <v>112</v>
      </c>
      <c r="C122" s="98">
        <v>112</v>
      </c>
      <c r="D122" s="98">
        <v>2107407</v>
      </c>
      <c r="E122" s="98">
        <f t="shared" si="1"/>
        <v>69858128</v>
      </c>
      <c r="F122" s="35"/>
    </row>
    <row r="123" spans="2:6" ht="18.75" customHeight="1">
      <c r="B123" s="96">
        <v>113</v>
      </c>
      <c r="C123" s="98">
        <v>113</v>
      </c>
      <c r="D123" s="98">
        <v>2153260</v>
      </c>
      <c r="E123" s="98">
        <f t="shared" si="1"/>
        <v>72011388</v>
      </c>
      <c r="F123" s="35"/>
    </row>
    <row r="124" spans="2:6" ht="18.75" customHeight="1">
      <c r="B124" s="12">
        <v>114</v>
      </c>
      <c r="C124" s="98">
        <v>114</v>
      </c>
      <c r="D124" s="98">
        <v>2199690</v>
      </c>
      <c r="E124" s="98">
        <f t="shared" si="1"/>
        <v>74211078</v>
      </c>
      <c r="F124" s="35"/>
    </row>
    <row r="125" spans="2:6" ht="18.75" customHeight="1">
      <c r="B125" s="96">
        <v>115</v>
      </c>
      <c r="C125" s="98">
        <v>115</v>
      </c>
      <c r="D125" s="98">
        <v>2246699</v>
      </c>
      <c r="E125" s="98">
        <f t="shared" si="1"/>
        <v>76457777</v>
      </c>
      <c r="F125" s="35"/>
    </row>
    <row r="126" spans="2:6" ht="18.75" customHeight="1">
      <c r="B126" s="12">
        <v>116</v>
      </c>
      <c r="C126" s="98">
        <v>116</v>
      </c>
      <c r="D126" s="98">
        <v>2294289</v>
      </c>
      <c r="E126" s="98">
        <f t="shared" si="1"/>
        <v>78752066</v>
      </c>
      <c r="F126" s="35"/>
    </row>
    <row r="127" spans="2:6" ht="18.75" customHeight="1">
      <c r="B127" s="96">
        <v>117</v>
      </c>
      <c r="C127" s="98">
        <v>117</v>
      </c>
      <c r="D127" s="98">
        <v>2342461</v>
      </c>
      <c r="E127" s="98">
        <f t="shared" si="1"/>
        <v>81094527</v>
      </c>
      <c r="F127" s="35"/>
    </row>
    <row r="128" spans="2:6" ht="18.75" customHeight="1">
      <c r="B128" s="12">
        <v>118</v>
      </c>
      <c r="C128" s="98">
        <v>118</v>
      </c>
      <c r="D128" s="98">
        <v>2391219</v>
      </c>
      <c r="E128" s="98">
        <f t="shared" si="1"/>
        <v>83485746</v>
      </c>
      <c r="F128" s="35"/>
    </row>
    <row r="129" spans="2:6" ht="18.75" customHeight="1">
      <c r="B129" s="96">
        <v>119</v>
      </c>
      <c r="C129" s="98">
        <v>119</v>
      </c>
      <c r="D129" s="98">
        <v>2440563</v>
      </c>
      <c r="E129" s="98">
        <f t="shared" si="1"/>
        <v>85926309</v>
      </c>
      <c r="F129" s="35"/>
    </row>
    <row r="130" spans="2:6" ht="18.75" customHeight="1">
      <c r="B130" s="12">
        <v>120</v>
      </c>
      <c r="C130" s="98">
        <v>120</v>
      </c>
      <c r="D130" s="98">
        <v>2490497</v>
      </c>
      <c r="E130" s="98">
        <f t="shared" si="1"/>
        <v>88416806</v>
      </c>
      <c r="F130" s="35"/>
    </row>
    <row r="131" spans="2:6" ht="18.75" customHeight="1">
      <c r="B131" s="96">
        <v>121</v>
      </c>
      <c r="C131" s="98">
        <v>121</v>
      </c>
      <c r="D131" s="98">
        <v>2541021</v>
      </c>
      <c r="E131" s="98">
        <f t="shared" si="1"/>
        <v>90957827</v>
      </c>
      <c r="F131" s="35"/>
    </row>
    <row r="132" spans="2:6" ht="18.75" customHeight="1">
      <c r="B132" s="12">
        <v>122</v>
      </c>
      <c r="C132" s="98">
        <v>122</v>
      </c>
      <c r="D132" s="98">
        <v>2592138</v>
      </c>
      <c r="E132" s="98">
        <f t="shared" si="1"/>
        <v>93549965</v>
      </c>
      <c r="F132" s="35"/>
    </row>
    <row r="133" spans="2:6" ht="18.75" customHeight="1">
      <c r="B133" s="96">
        <v>123</v>
      </c>
      <c r="C133" s="98">
        <v>123</v>
      </c>
      <c r="D133" s="98">
        <v>2643850</v>
      </c>
      <c r="E133" s="98">
        <f t="shared" si="1"/>
        <v>96193815</v>
      </c>
      <c r="F133" s="35"/>
    </row>
    <row r="134" spans="2:6" ht="18.75" customHeight="1">
      <c r="B134" s="12">
        <v>124</v>
      </c>
      <c r="C134" s="98">
        <v>124</v>
      </c>
      <c r="D134" s="98">
        <v>2696159</v>
      </c>
      <c r="E134" s="98">
        <f t="shared" si="1"/>
        <v>98889974</v>
      </c>
      <c r="F134" s="35"/>
    </row>
    <row r="135" spans="2:6" ht="18.75" customHeight="1">
      <c r="B135" s="96">
        <v>125</v>
      </c>
      <c r="C135" s="98">
        <v>125</v>
      </c>
      <c r="D135" s="98">
        <v>2749067</v>
      </c>
      <c r="E135" s="98">
        <f t="shared" si="1"/>
        <v>101639041</v>
      </c>
      <c r="F135" s="35"/>
    </row>
    <row r="136" spans="2:6" ht="18.75" customHeight="1">
      <c r="B136" s="12">
        <v>126</v>
      </c>
      <c r="C136" s="98">
        <v>126</v>
      </c>
      <c r="D136" s="98">
        <v>2802575</v>
      </c>
      <c r="E136" s="98">
        <f t="shared" si="1"/>
        <v>104441616</v>
      </c>
      <c r="F136" s="35"/>
    </row>
    <row r="137" spans="2:6" ht="18.75" customHeight="1">
      <c r="B137" s="96">
        <v>127</v>
      </c>
      <c r="C137" s="98">
        <v>127</v>
      </c>
      <c r="D137" s="98">
        <v>2856686</v>
      </c>
      <c r="E137" s="98">
        <f t="shared" si="1"/>
        <v>107298302</v>
      </c>
      <c r="F137" s="35"/>
    </row>
    <row r="138" spans="2:6" ht="18.75" customHeight="1">
      <c r="B138" s="12">
        <v>128</v>
      </c>
      <c r="C138" s="98">
        <v>128</v>
      </c>
      <c r="D138" s="98">
        <v>2911402</v>
      </c>
      <c r="E138" s="98">
        <f t="shared" si="1"/>
        <v>110209704</v>
      </c>
      <c r="F138" s="35"/>
    </row>
    <row r="139" spans="2:6" ht="18.75" customHeight="1">
      <c r="B139" s="96">
        <v>129</v>
      </c>
      <c r="C139" s="98">
        <v>129</v>
      </c>
      <c r="D139" s="98">
        <v>2966724</v>
      </c>
      <c r="E139" s="98">
        <f t="shared" si="1"/>
        <v>113176428</v>
      </c>
      <c r="F139" s="35"/>
    </row>
    <row r="140" spans="2:6" ht="18.75" customHeight="1">
      <c r="B140" s="12">
        <v>130</v>
      </c>
      <c r="C140" s="98">
        <v>130</v>
      </c>
      <c r="D140" s="98">
        <v>3022655</v>
      </c>
      <c r="E140" s="98">
        <f t="shared" si="1"/>
        <v>116199083</v>
      </c>
      <c r="F140" s="35"/>
    </row>
    <row r="141" spans="2:6" ht="18.75" customHeight="1">
      <c r="B141" s="96">
        <v>131</v>
      </c>
      <c r="C141" s="98">
        <v>131</v>
      </c>
      <c r="D141" s="98">
        <v>3079196</v>
      </c>
      <c r="E141" s="98">
        <f t="shared" si="1"/>
        <v>119278279</v>
      </c>
      <c r="F141" s="35"/>
    </row>
    <row r="142" spans="2:6" ht="18.75" customHeight="1">
      <c r="B142" s="12">
        <v>132</v>
      </c>
      <c r="C142" s="98">
        <v>132</v>
      </c>
      <c r="D142" s="98">
        <v>3136349</v>
      </c>
      <c r="E142" s="98">
        <f t="shared" ref="E142:E205" si="2">E141+D142</f>
        <v>122414628</v>
      </c>
      <c r="F142" s="35"/>
    </row>
    <row r="143" spans="2:6" ht="18.75" customHeight="1">
      <c r="B143" s="96">
        <v>133</v>
      </c>
      <c r="C143" s="98">
        <v>133</v>
      </c>
      <c r="D143" s="98">
        <v>3194116</v>
      </c>
      <c r="E143" s="98">
        <f t="shared" si="2"/>
        <v>125608744</v>
      </c>
      <c r="F143" s="35"/>
    </row>
    <row r="144" spans="2:6" ht="18.75" customHeight="1">
      <c r="B144" s="12">
        <v>134</v>
      </c>
      <c r="C144" s="98">
        <v>134</v>
      </c>
      <c r="D144" s="98">
        <v>3252499</v>
      </c>
      <c r="E144" s="98">
        <f t="shared" si="2"/>
        <v>128861243</v>
      </c>
      <c r="F144" s="35"/>
    </row>
    <row r="145" spans="2:6" ht="18.75" customHeight="1">
      <c r="B145" s="96">
        <v>135</v>
      </c>
      <c r="C145" s="98">
        <v>135</v>
      </c>
      <c r="D145" s="98">
        <v>3311500</v>
      </c>
      <c r="E145" s="98">
        <f t="shared" si="2"/>
        <v>132172743</v>
      </c>
      <c r="F145" s="35"/>
    </row>
    <row r="146" spans="2:6" ht="18.75" customHeight="1">
      <c r="B146" s="12">
        <v>136</v>
      </c>
      <c r="C146" s="98">
        <v>136</v>
      </c>
      <c r="D146" s="98">
        <v>3371121</v>
      </c>
      <c r="E146" s="98">
        <f t="shared" si="2"/>
        <v>135543864</v>
      </c>
      <c r="F146" s="35"/>
    </row>
    <row r="147" spans="2:6" ht="18.75" customHeight="1">
      <c r="B147" s="96">
        <v>137</v>
      </c>
      <c r="C147" s="98">
        <v>137</v>
      </c>
      <c r="D147" s="98">
        <v>3431363</v>
      </c>
      <c r="E147" s="98">
        <f t="shared" si="2"/>
        <v>138975227</v>
      </c>
      <c r="F147" s="35"/>
    </row>
    <row r="148" spans="2:6" ht="18.75" customHeight="1">
      <c r="B148" s="12">
        <v>138</v>
      </c>
      <c r="C148" s="98">
        <v>138</v>
      </c>
      <c r="D148" s="98">
        <v>3492228</v>
      </c>
      <c r="E148" s="98">
        <f t="shared" si="2"/>
        <v>142467455</v>
      </c>
      <c r="F148" s="35"/>
    </row>
    <row r="149" spans="2:6" ht="18.75" customHeight="1">
      <c r="B149" s="96">
        <v>139</v>
      </c>
      <c r="C149" s="98">
        <v>139</v>
      </c>
      <c r="D149" s="98">
        <v>3553719</v>
      </c>
      <c r="E149" s="98">
        <f t="shared" si="2"/>
        <v>146021174</v>
      </c>
      <c r="F149" s="35"/>
    </row>
    <row r="150" spans="2:6" ht="18.75" customHeight="1">
      <c r="B150" s="12">
        <v>140</v>
      </c>
      <c r="C150" s="98">
        <v>140</v>
      </c>
      <c r="D150" s="98">
        <v>3615837</v>
      </c>
      <c r="E150" s="98">
        <f t="shared" si="2"/>
        <v>149637011</v>
      </c>
      <c r="F150" s="35"/>
    </row>
    <row r="151" spans="2:6" ht="18.75" customHeight="1">
      <c r="B151" s="96">
        <v>141</v>
      </c>
      <c r="C151" s="98">
        <v>141</v>
      </c>
      <c r="D151" s="98">
        <v>3678583</v>
      </c>
      <c r="E151" s="98">
        <f t="shared" si="2"/>
        <v>153315594</v>
      </c>
      <c r="F151" s="35"/>
    </row>
    <row r="152" spans="2:6" ht="18.75" customHeight="1">
      <c r="B152" s="12">
        <v>142</v>
      </c>
      <c r="C152" s="98">
        <v>142</v>
      </c>
      <c r="D152" s="98">
        <v>3741960</v>
      </c>
      <c r="E152" s="98">
        <f t="shared" si="2"/>
        <v>157057554</v>
      </c>
      <c r="F152" s="35"/>
    </row>
    <row r="153" spans="2:6" ht="18.75" customHeight="1">
      <c r="B153" s="96">
        <v>143</v>
      </c>
      <c r="C153" s="98">
        <v>143</v>
      </c>
      <c r="D153" s="98">
        <v>3805970</v>
      </c>
      <c r="E153" s="98">
        <f t="shared" si="2"/>
        <v>160863524</v>
      </c>
      <c r="F153" s="35"/>
    </row>
    <row r="154" spans="2:6" ht="18.75" customHeight="1">
      <c r="B154" s="12">
        <v>144</v>
      </c>
      <c r="C154" s="98">
        <v>144</v>
      </c>
      <c r="D154" s="98">
        <v>3870613</v>
      </c>
      <c r="E154" s="98">
        <f t="shared" si="2"/>
        <v>164734137</v>
      </c>
      <c r="F154" s="35"/>
    </row>
    <row r="155" spans="2:6" ht="18.75" customHeight="1">
      <c r="B155" s="96">
        <v>145</v>
      </c>
      <c r="C155" s="98">
        <v>145</v>
      </c>
      <c r="D155" s="98">
        <v>3935893</v>
      </c>
      <c r="E155" s="98">
        <f t="shared" si="2"/>
        <v>168670030</v>
      </c>
      <c r="F155" s="35"/>
    </row>
    <row r="156" spans="2:6" ht="18.75" customHeight="1">
      <c r="B156" s="12">
        <v>146</v>
      </c>
      <c r="C156" s="98">
        <v>146</v>
      </c>
      <c r="D156" s="98">
        <v>4001810</v>
      </c>
      <c r="E156" s="98">
        <f t="shared" si="2"/>
        <v>172671840</v>
      </c>
      <c r="F156" s="35"/>
    </row>
    <row r="157" spans="2:6" ht="18.75" customHeight="1">
      <c r="B157" s="96">
        <v>147</v>
      </c>
      <c r="C157" s="98">
        <v>147</v>
      </c>
      <c r="D157" s="98">
        <v>4068367</v>
      </c>
      <c r="E157" s="98">
        <f t="shared" si="2"/>
        <v>176740207</v>
      </c>
      <c r="F157" s="35"/>
    </row>
    <row r="158" spans="2:6" ht="18.75" customHeight="1">
      <c r="B158" s="12">
        <v>148</v>
      </c>
      <c r="C158" s="98">
        <v>148</v>
      </c>
      <c r="D158" s="98">
        <v>4135565</v>
      </c>
      <c r="E158" s="98">
        <f t="shared" si="2"/>
        <v>180875772</v>
      </c>
      <c r="F158" s="35"/>
    </row>
    <row r="159" spans="2:6" ht="18.75" customHeight="1">
      <c r="B159" s="96">
        <v>149</v>
      </c>
      <c r="C159" s="98">
        <v>149</v>
      </c>
      <c r="D159" s="98">
        <v>4203407</v>
      </c>
      <c r="E159" s="98">
        <f t="shared" si="2"/>
        <v>185079179</v>
      </c>
      <c r="F159" s="35"/>
    </row>
    <row r="160" spans="2:6" ht="18.75" customHeight="1">
      <c r="B160" s="12">
        <v>150</v>
      </c>
      <c r="C160" s="98">
        <v>150</v>
      </c>
      <c r="D160" s="98">
        <v>4271893</v>
      </c>
      <c r="E160" s="98">
        <f t="shared" si="2"/>
        <v>189351072</v>
      </c>
      <c r="F160" s="35"/>
    </row>
    <row r="161" spans="2:6" ht="18.75" customHeight="1">
      <c r="B161" s="96">
        <v>151</v>
      </c>
      <c r="C161" s="98">
        <v>151</v>
      </c>
      <c r="D161" s="98">
        <v>4341025</v>
      </c>
      <c r="E161" s="98">
        <f t="shared" si="2"/>
        <v>193692097</v>
      </c>
      <c r="F161" s="35"/>
    </row>
    <row r="162" spans="2:6" ht="18.75" customHeight="1">
      <c r="B162" s="12">
        <v>152</v>
      </c>
      <c r="C162" s="98">
        <v>152</v>
      </c>
      <c r="D162" s="98">
        <v>4410806</v>
      </c>
      <c r="E162" s="98">
        <f t="shared" si="2"/>
        <v>198102903</v>
      </c>
      <c r="F162" s="35"/>
    </row>
    <row r="163" spans="2:6" ht="18.75" customHeight="1">
      <c r="B163" s="96">
        <v>153</v>
      </c>
      <c r="C163" s="98">
        <v>153</v>
      </c>
      <c r="D163" s="98">
        <v>4481237</v>
      </c>
      <c r="E163" s="98">
        <f t="shared" si="2"/>
        <v>202584140</v>
      </c>
      <c r="F163" s="35"/>
    </row>
    <row r="164" spans="2:6" ht="18.75" customHeight="1">
      <c r="B164" s="12">
        <v>154</v>
      </c>
      <c r="C164" s="98">
        <v>154</v>
      </c>
      <c r="D164" s="98">
        <v>4552319</v>
      </c>
      <c r="E164" s="98">
        <f t="shared" si="2"/>
        <v>207136459</v>
      </c>
      <c r="F164" s="35"/>
    </row>
    <row r="165" spans="2:6" ht="18.75" customHeight="1">
      <c r="B165" s="96">
        <v>155</v>
      </c>
      <c r="C165" s="98">
        <v>155</v>
      </c>
      <c r="D165" s="98">
        <v>4624055</v>
      </c>
      <c r="E165" s="98">
        <f t="shared" si="2"/>
        <v>211760514</v>
      </c>
      <c r="F165" s="35"/>
    </row>
    <row r="166" spans="2:6" ht="18.75" customHeight="1">
      <c r="B166" s="12">
        <v>156</v>
      </c>
      <c r="C166" s="98">
        <v>156</v>
      </c>
      <c r="D166" s="98">
        <v>4696446</v>
      </c>
      <c r="E166" s="98">
        <f t="shared" si="2"/>
        <v>216456960</v>
      </c>
      <c r="F166" s="35"/>
    </row>
    <row r="167" spans="2:6" ht="18.75" customHeight="1">
      <c r="B167" s="96">
        <v>157</v>
      </c>
      <c r="C167" s="98">
        <v>157</v>
      </c>
      <c r="D167" s="98">
        <v>4769494</v>
      </c>
      <c r="E167" s="98">
        <f t="shared" si="2"/>
        <v>221226454</v>
      </c>
      <c r="F167" s="35"/>
    </row>
    <row r="168" spans="2:6" ht="18.75" customHeight="1">
      <c r="B168" s="12">
        <v>158</v>
      </c>
      <c r="C168" s="98">
        <v>158</v>
      </c>
      <c r="D168" s="98">
        <v>4843201</v>
      </c>
      <c r="E168" s="98">
        <f t="shared" si="2"/>
        <v>226069655</v>
      </c>
      <c r="F168" s="35"/>
    </row>
    <row r="169" spans="2:6" ht="18.75" customHeight="1">
      <c r="B169" s="96">
        <v>159</v>
      </c>
      <c r="C169" s="98">
        <v>159</v>
      </c>
      <c r="D169" s="98">
        <v>4917567</v>
      </c>
      <c r="E169" s="98">
        <f t="shared" si="2"/>
        <v>230987222</v>
      </c>
      <c r="F169" s="35"/>
    </row>
    <row r="170" spans="2:6" ht="18.75" customHeight="1">
      <c r="B170" s="12">
        <v>160</v>
      </c>
      <c r="C170" s="98">
        <v>160</v>
      </c>
      <c r="D170" s="98">
        <v>4992596</v>
      </c>
      <c r="E170" s="98">
        <f t="shared" si="2"/>
        <v>235979818</v>
      </c>
      <c r="F170" s="35"/>
    </row>
    <row r="171" spans="2:6" ht="18.75" customHeight="1">
      <c r="B171" s="96">
        <v>161</v>
      </c>
      <c r="C171" s="98">
        <v>161</v>
      </c>
      <c r="D171" s="98">
        <v>5068288</v>
      </c>
      <c r="E171" s="98">
        <f t="shared" si="2"/>
        <v>241048106</v>
      </c>
      <c r="F171" s="35"/>
    </row>
    <row r="172" spans="2:6" ht="18.75" customHeight="1">
      <c r="B172" s="12">
        <v>162</v>
      </c>
      <c r="C172" s="98">
        <v>162</v>
      </c>
      <c r="D172" s="98">
        <v>5144645</v>
      </c>
      <c r="E172" s="98">
        <f t="shared" si="2"/>
        <v>246192751</v>
      </c>
      <c r="F172" s="35"/>
    </row>
    <row r="173" spans="2:6" ht="18.75" customHeight="1">
      <c r="B173" s="96">
        <v>163</v>
      </c>
      <c r="C173" s="98">
        <v>163</v>
      </c>
      <c r="D173" s="98">
        <v>5221669</v>
      </c>
      <c r="E173" s="98">
        <f t="shared" si="2"/>
        <v>251414420</v>
      </c>
      <c r="F173" s="35"/>
    </row>
    <row r="174" spans="2:6" ht="18.75" customHeight="1">
      <c r="B174" s="12">
        <v>164</v>
      </c>
      <c r="C174" s="98">
        <v>164</v>
      </c>
      <c r="D174" s="98">
        <v>5299362</v>
      </c>
      <c r="E174" s="98">
        <f t="shared" si="2"/>
        <v>256713782</v>
      </c>
      <c r="F174" s="35"/>
    </row>
    <row r="175" spans="2:6" ht="18.75" customHeight="1">
      <c r="B175" s="96">
        <v>165</v>
      </c>
      <c r="C175" s="98">
        <v>165</v>
      </c>
      <c r="D175" s="98">
        <v>5377724</v>
      </c>
      <c r="E175" s="98">
        <f t="shared" si="2"/>
        <v>262091506</v>
      </c>
      <c r="F175" s="35"/>
    </row>
    <row r="176" spans="2:6" ht="18.75" customHeight="1">
      <c r="B176" s="12">
        <v>166</v>
      </c>
      <c r="C176" s="98">
        <v>166</v>
      </c>
      <c r="D176" s="98">
        <v>5456759</v>
      </c>
      <c r="E176" s="98">
        <f t="shared" si="2"/>
        <v>267548265</v>
      </c>
      <c r="F176" s="35"/>
    </row>
    <row r="177" spans="2:6" ht="18.75" customHeight="1">
      <c r="B177" s="96">
        <v>167</v>
      </c>
      <c r="C177" s="98">
        <v>167</v>
      </c>
      <c r="D177" s="98">
        <v>5536467</v>
      </c>
      <c r="E177" s="98">
        <f t="shared" si="2"/>
        <v>273084732</v>
      </c>
      <c r="F177" s="35"/>
    </row>
    <row r="178" spans="2:6" ht="18.75" customHeight="1">
      <c r="B178" s="12">
        <v>168</v>
      </c>
      <c r="C178" s="98">
        <v>168</v>
      </c>
      <c r="D178" s="98">
        <v>5616850</v>
      </c>
      <c r="E178" s="98">
        <f t="shared" si="2"/>
        <v>278701582</v>
      </c>
      <c r="F178" s="35"/>
    </row>
    <row r="179" spans="2:6" ht="18.75" customHeight="1">
      <c r="B179" s="96">
        <v>169</v>
      </c>
      <c r="C179" s="98">
        <v>169</v>
      </c>
      <c r="D179" s="98">
        <v>5697910</v>
      </c>
      <c r="E179" s="98">
        <f t="shared" si="2"/>
        <v>284399492</v>
      </c>
      <c r="F179" s="35"/>
    </row>
    <row r="180" spans="2:6" ht="18.75" customHeight="1">
      <c r="B180" s="12">
        <v>170</v>
      </c>
      <c r="C180" s="98">
        <v>170</v>
      </c>
      <c r="D180" s="98">
        <v>5779648</v>
      </c>
      <c r="E180" s="98">
        <f t="shared" si="2"/>
        <v>290179140</v>
      </c>
      <c r="F180" s="35"/>
    </row>
    <row r="181" spans="2:6" ht="18.75" customHeight="1">
      <c r="B181" s="96">
        <v>171</v>
      </c>
      <c r="C181" s="98">
        <v>171</v>
      </c>
      <c r="D181" s="98">
        <v>5862066</v>
      </c>
      <c r="E181" s="98">
        <f t="shared" si="2"/>
        <v>296041206</v>
      </c>
      <c r="F181" s="35"/>
    </row>
    <row r="182" spans="2:6" ht="18.75" customHeight="1">
      <c r="B182" s="12">
        <v>172</v>
      </c>
      <c r="C182" s="98">
        <v>172</v>
      </c>
      <c r="D182" s="98">
        <v>5945166</v>
      </c>
      <c r="E182" s="98">
        <f t="shared" si="2"/>
        <v>301986372</v>
      </c>
      <c r="F182" s="35"/>
    </row>
    <row r="183" spans="2:6" ht="18.75" customHeight="1">
      <c r="B183" s="96">
        <v>173</v>
      </c>
      <c r="C183" s="98">
        <v>173</v>
      </c>
      <c r="D183" s="98">
        <v>6028949</v>
      </c>
      <c r="E183" s="98">
        <f t="shared" si="2"/>
        <v>308015321</v>
      </c>
      <c r="F183" s="35"/>
    </row>
    <row r="184" spans="2:6" ht="18.75" customHeight="1">
      <c r="B184" s="12">
        <v>174</v>
      </c>
      <c r="C184" s="98">
        <v>174</v>
      </c>
      <c r="D184" s="98">
        <v>6113416</v>
      </c>
      <c r="E184" s="98">
        <f t="shared" si="2"/>
        <v>314128737</v>
      </c>
      <c r="F184" s="35"/>
    </row>
    <row r="185" spans="2:6" ht="18.75" customHeight="1">
      <c r="B185" s="96">
        <v>175</v>
      </c>
      <c r="C185" s="98">
        <v>175</v>
      </c>
      <c r="D185" s="98">
        <v>6198570</v>
      </c>
      <c r="E185" s="98">
        <f t="shared" si="2"/>
        <v>320327307</v>
      </c>
      <c r="F185" s="35"/>
    </row>
    <row r="186" spans="2:6" ht="18.75" customHeight="1">
      <c r="B186" s="12">
        <v>176</v>
      </c>
      <c r="C186" s="98">
        <v>176</v>
      </c>
      <c r="D186" s="98">
        <v>6284412</v>
      </c>
      <c r="E186" s="98">
        <f t="shared" si="2"/>
        <v>326611719</v>
      </c>
      <c r="F186" s="35"/>
    </row>
    <row r="187" spans="2:6" ht="18.75" customHeight="1">
      <c r="B187" s="96">
        <v>177</v>
      </c>
      <c r="C187" s="98">
        <v>177</v>
      </c>
      <c r="D187" s="98">
        <v>6370943</v>
      </c>
      <c r="E187" s="98">
        <f t="shared" si="2"/>
        <v>332982662</v>
      </c>
      <c r="F187" s="35"/>
    </row>
    <row r="188" spans="2:6" ht="18.75" customHeight="1">
      <c r="B188" s="12">
        <v>178</v>
      </c>
      <c r="C188" s="98">
        <v>178</v>
      </c>
      <c r="D188" s="98">
        <v>6458165</v>
      </c>
      <c r="E188" s="98">
        <f t="shared" si="2"/>
        <v>339440827</v>
      </c>
      <c r="F188" s="35"/>
    </row>
    <row r="189" spans="2:6" ht="18.75" customHeight="1">
      <c r="B189" s="96">
        <v>179</v>
      </c>
      <c r="C189" s="98">
        <v>179</v>
      </c>
      <c r="D189" s="98">
        <v>6546080</v>
      </c>
      <c r="E189" s="98">
        <f t="shared" si="2"/>
        <v>345986907</v>
      </c>
      <c r="F189" s="35"/>
    </row>
    <row r="190" spans="2:6" ht="18.75" customHeight="1">
      <c r="B190" s="12">
        <v>180</v>
      </c>
      <c r="C190" s="98">
        <v>180</v>
      </c>
      <c r="D190" s="98">
        <v>6634689</v>
      </c>
      <c r="E190" s="98">
        <f t="shared" si="2"/>
        <v>352621596</v>
      </c>
      <c r="F190" s="35"/>
    </row>
    <row r="191" spans="2:6" ht="18.75" customHeight="1">
      <c r="B191" s="96">
        <v>181</v>
      </c>
      <c r="C191" s="98">
        <v>181</v>
      </c>
      <c r="D191" s="98">
        <v>6723994</v>
      </c>
      <c r="E191" s="98">
        <f t="shared" si="2"/>
        <v>359345590</v>
      </c>
      <c r="F191" s="35"/>
    </row>
    <row r="192" spans="2:6" ht="18.75" customHeight="1">
      <c r="B192" s="12">
        <v>182</v>
      </c>
      <c r="C192" s="98">
        <v>182</v>
      </c>
      <c r="D192" s="98">
        <v>6813996</v>
      </c>
      <c r="E192" s="98">
        <f t="shared" si="2"/>
        <v>366159586</v>
      </c>
      <c r="F192" s="35"/>
    </row>
    <row r="193" spans="2:6" ht="18.75" customHeight="1">
      <c r="B193" s="96">
        <v>183</v>
      </c>
      <c r="C193" s="98">
        <v>183</v>
      </c>
      <c r="D193" s="98">
        <v>6904697</v>
      </c>
      <c r="E193" s="98">
        <f t="shared" si="2"/>
        <v>373064283</v>
      </c>
      <c r="F193" s="35"/>
    </row>
    <row r="194" spans="2:6" ht="18.75" customHeight="1">
      <c r="B194" s="12">
        <v>184</v>
      </c>
      <c r="C194" s="98">
        <v>184</v>
      </c>
      <c r="D194" s="98">
        <v>6996099</v>
      </c>
      <c r="E194" s="98">
        <f t="shared" si="2"/>
        <v>380060382</v>
      </c>
      <c r="F194" s="35"/>
    </row>
    <row r="195" spans="2:6" ht="18.75" customHeight="1">
      <c r="B195" s="96">
        <v>185</v>
      </c>
      <c r="C195" s="98">
        <v>185</v>
      </c>
      <c r="D195" s="98">
        <v>7088202</v>
      </c>
      <c r="E195" s="98">
        <f t="shared" si="2"/>
        <v>387148584</v>
      </c>
      <c r="F195" s="35"/>
    </row>
    <row r="196" spans="2:6" ht="18.75" customHeight="1">
      <c r="B196" s="12">
        <v>186</v>
      </c>
      <c r="C196" s="98">
        <v>186</v>
      </c>
      <c r="D196" s="98">
        <v>7181009</v>
      </c>
      <c r="E196" s="98">
        <f t="shared" si="2"/>
        <v>394329593</v>
      </c>
      <c r="F196" s="35"/>
    </row>
    <row r="197" spans="2:6" ht="18.75" customHeight="1">
      <c r="B197" s="96">
        <v>187</v>
      </c>
      <c r="C197" s="98">
        <v>187</v>
      </c>
      <c r="D197" s="98">
        <v>7274521</v>
      </c>
      <c r="E197" s="98">
        <f t="shared" si="2"/>
        <v>401604114</v>
      </c>
      <c r="F197" s="35"/>
    </row>
    <row r="198" spans="2:6" ht="18.75" customHeight="1">
      <c r="B198" s="12">
        <v>188</v>
      </c>
      <c r="C198" s="98">
        <v>188</v>
      </c>
      <c r="D198" s="98">
        <v>7368739</v>
      </c>
      <c r="E198" s="98">
        <f t="shared" si="2"/>
        <v>408972853</v>
      </c>
      <c r="F198" s="35"/>
    </row>
    <row r="199" spans="2:6" ht="18.75" customHeight="1">
      <c r="B199" s="96">
        <v>189</v>
      </c>
      <c r="C199" s="98">
        <v>189</v>
      </c>
      <c r="D199" s="98">
        <v>7463665</v>
      </c>
      <c r="E199" s="98">
        <f t="shared" si="2"/>
        <v>416436518</v>
      </c>
      <c r="F199" s="35"/>
    </row>
    <row r="200" spans="2:6" ht="18.75" customHeight="1">
      <c r="B200" s="12">
        <v>190</v>
      </c>
      <c r="C200" s="98">
        <v>190</v>
      </c>
      <c r="D200" s="98">
        <v>7559301</v>
      </c>
      <c r="E200" s="98">
        <f t="shared" si="2"/>
        <v>423995819</v>
      </c>
      <c r="F200" s="35"/>
    </row>
    <row r="201" spans="2:6" ht="18.75" customHeight="1">
      <c r="B201" s="96">
        <v>191</v>
      </c>
      <c r="C201" s="98">
        <v>191</v>
      </c>
      <c r="D201" s="98">
        <v>7655648</v>
      </c>
      <c r="E201" s="98">
        <f t="shared" si="2"/>
        <v>431651467</v>
      </c>
      <c r="F201" s="35"/>
    </row>
    <row r="202" spans="2:6" ht="18.75" customHeight="1">
      <c r="B202" s="12">
        <v>192</v>
      </c>
      <c r="C202" s="98">
        <v>192</v>
      </c>
      <c r="D202" s="98">
        <v>7752708</v>
      </c>
      <c r="E202" s="98">
        <f t="shared" si="2"/>
        <v>439404175</v>
      </c>
      <c r="F202" s="35"/>
    </row>
    <row r="203" spans="2:6" ht="18.75" customHeight="1">
      <c r="B203" s="96">
        <v>193</v>
      </c>
      <c r="C203" s="98">
        <v>193</v>
      </c>
      <c r="D203" s="98">
        <v>7850481</v>
      </c>
      <c r="E203" s="98">
        <f t="shared" si="2"/>
        <v>447254656</v>
      </c>
      <c r="F203" s="35"/>
    </row>
    <row r="204" spans="2:6" ht="18.75" customHeight="1">
      <c r="B204" s="12">
        <v>194</v>
      </c>
      <c r="C204" s="98">
        <v>194</v>
      </c>
      <c r="D204" s="98">
        <v>7948970</v>
      </c>
      <c r="E204" s="98">
        <f t="shared" si="2"/>
        <v>455203626</v>
      </c>
      <c r="F204" s="35"/>
    </row>
    <row r="205" spans="2:6" ht="18.75" customHeight="1">
      <c r="B205" s="96">
        <v>195</v>
      </c>
      <c r="C205" s="98">
        <v>195</v>
      </c>
      <c r="D205" s="98">
        <v>8048176</v>
      </c>
      <c r="E205" s="98">
        <f t="shared" si="2"/>
        <v>463251802</v>
      </c>
      <c r="F205" s="35"/>
    </row>
    <row r="206" spans="2:6" ht="18.75" customHeight="1">
      <c r="B206" s="12">
        <v>196</v>
      </c>
      <c r="C206" s="98">
        <v>196</v>
      </c>
      <c r="D206" s="98">
        <v>8148101</v>
      </c>
      <c r="E206" s="98">
        <f t="shared" ref="E206:E269" si="3">E205+D206</f>
        <v>471399903</v>
      </c>
      <c r="F206" s="35"/>
    </row>
    <row r="207" spans="2:6" ht="18.75" customHeight="1">
      <c r="B207" s="96">
        <v>197</v>
      </c>
      <c r="C207" s="98">
        <v>197</v>
      </c>
      <c r="D207" s="98">
        <v>8248745</v>
      </c>
      <c r="E207" s="98">
        <f t="shared" si="3"/>
        <v>479648648</v>
      </c>
      <c r="F207" s="35"/>
    </row>
    <row r="208" spans="2:6" ht="18.75" customHeight="1">
      <c r="B208" s="12">
        <v>198</v>
      </c>
      <c r="C208" s="98">
        <v>198</v>
      </c>
      <c r="D208" s="98">
        <v>8350111</v>
      </c>
      <c r="E208" s="98">
        <f t="shared" si="3"/>
        <v>487998759</v>
      </c>
      <c r="F208" s="35"/>
    </row>
    <row r="209" spans="2:6" ht="18.75" customHeight="1">
      <c r="B209" s="96">
        <v>199</v>
      </c>
      <c r="C209" s="98">
        <v>199</v>
      </c>
      <c r="D209" s="98">
        <v>8452200</v>
      </c>
      <c r="E209" s="98">
        <f t="shared" si="3"/>
        <v>496450959</v>
      </c>
      <c r="F209" s="35"/>
    </row>
    <row r="210" spans="2:6" ht="18.75" customHeight="1">
      <c r="B210" s="12">
        <v>200</v>
      </c>
      <c r="C210" s="98">
        <v>200</v>
      </c>
      <c r="D210" s="98">
        <v>8555014</v>
      </c>
      <c r="E210" s="98">
        <f t="shared" si="3"/>
        <v>505005973</v>
      </c>
      <c r="F210" s="35"/>
    </row>
    <row r="211" spans="2:6" ht="18.75" customHeight="1">
      <c r="B211" s="96">
        <v>201</v>
      </c>
      <c r="C211" s="98">
        <v>201</v>
      </c>
      <c r="D211" s="98">
        <v>8658553</v>
      </c>
      <c r="E211" s="98">
        <f t="shared" si="3"/>
        <v>513664526</v>
      </c>
      <c r="F211" s="35"/>
    </row>
    <row r="212" spans="2:6" ht="18.75" customHeight="1">
      <c r="B212" s="12">
        <v>202</v>
      </c>
      <c r="C212" s="98">
        <v>202</v>
      </c>
      <c r="D212" s="98">
        <v>8762819</v>
      </c>
      <c r="E212" s="98">
        <f t="shared" si="3"/>
        <v>522427345</v>
      </c>
      <c r="F212" s="35"/>
    </row>
    <row r="213" spans="2:6" ht="18.75" customHeight="1">
      <c r="B213" s="96">
        <v>203</v>
      </c>
      <c r="C213" s="98">
        <v>203</v>
      </c>
      <c r="D213" s="98">
        <v>8867815</v>
      </c>
      <c r="E213" s="98">
        <f t="shared" si="3"/>
        <v>531295160</v>
      </c>
      <c r="F213" s="35"/>
    </row>
    <row r="214" spans="2:6" ht="18.75" customHeight="1">
      <c r="B214" s="12">
        <v>204</v>
      </c>
      <c r="C214" s="98">
        <v>204</v>
      </c>
      <c r="D214" s="98">
        <v>8973540</v>
      </c>
      <c r="E214" s="98">
        <f t="shared" si="3"/>
        <v>540268700</v>
      </c>
      <c r="F214" s="35"/>
    </row>
    <row r="215" spans="2:6" ht="18.75" customHeight="1">
      <c r="B215" s="96">
        <v>205</v>
      </c>
      <c r="C215" s="98">
        <v>205</v>
      </c>
      <c r="D215" s="98">
        <v>9079997</v>
      </c>
      <c r="E215" s="98">
        <f t="shared" si="3"/>
        <v>549348697</v>
      </c>
      <c r="F215" s="35"/>
    </row>
    <row r="216" spans="2:6" ht="18.75" customHeight="1">
      <c r="B216" s="12">
        <v>206</v>
      </c>
      <c r="C216" s="98">
        <v>206</v>
      </c>
      <c r="D216" s="98">
        <v>9187188</v>
      </c>
      <c r="E216" s="98">
        <f t="shared" si="3"/>
        <v>558535885</v>
      </c>
      <c r="F216" s="35"/>
    </row>
    <row r="217" spans="2:6" ht="18.75" customHeight="1">
      <c r="B217" s="96">
        <v>207</v>
      </c>
      <c r="C217" s="98">
        <v>207</v>
      </c>
      <c r="D217" s="98">
        <v>9295113</v>
      </c>
      <c r="E217" s="98">
        <f t="shared" si="3"/>
        <v>567830998</v>
      </c>
      <c r="F217" s="35"/>
    </row>
    <row r="218" spans="2:6" ht="18.75" customHeight="1">
      <c r="B218" s="12">
        <v>208</v>
      </c>
      <c r="C218" s="98">
        <v>208</v>
      </c>
      <c r="D218" s="98">
        <v>9403773</v>
      </c>
      <c r="E218" s="98">
        <f t="shared" si="3"/>
        <v>577234771</v>
      </c>
      <c r="F218" s="35"/>
    </row>
    <row r="219" spans="2:6" ht="18.75" customHeight="1">
      <c r="B219" s="96">
        <v>209</v>
      </c>
      <c r="C219" s="98">
        <v>209</v>
      </c>
      <c r="D219" s="98">
        <v>9513172</v>
      </c>
      <c r="E219" s="98">
        <f t="shared" si="3"/>
        <v>586747943</v>
      </c>
      <c r="F219" s="35"/>
    </row>
    <row r="220" spans="2:6" ht="18.75" customHeight="1">
      <c r="B220" s="12">
        <v>210</v>
      </c>
      <c r="C220" s="98">
        <v>210</v>
      </c>
      <c r="D220" s="98">
        <v>9623309</v>
      </c>
      <c r="E220" s="98">
        <f t="shared" si="3"/>
        <v>596371252</v>
      </c>
      <c r="F220" s="35"/>
    </row>
    <row r="221" spans="2:6" ht="18.75" customHeight="1">
      <c r="B221" s="96">
        <v>211</v>
      </c>
      <c r="C221" s="98">
        <v>211</v>
      </c>
      <c r="D221" s="98">
        <v>9734186</v>
      </c>
      <c r="E221" s="98">
        <f t="shared" si="3"/>
        <v>606105438</v>
      </c>
      <c r="F221" s="35"/>
    </row>
    <row r="222" spans="2:6" ht="18.75" customHeight="1">
      <c r="B222" s="12">
        <v>212</v>
      </c>
      <c r="C222" s="98">
        <v>212</v>
      </c>
      <c r="D222" s="98">
        <v>9845805</v>
      </c>
      <c r="E222" s="98">
        <f t="shared" si="3"/>
        <v>615951243</v>
      </c>
      <c r="F222" s="35"/>
    </row>
    <row r="223" spans="2:6" ht="18.75" customHeight="1">
      <c r="B223" s="96">
        <v>213</v>
      </c>
      <c r="C223" s="98">
        <v>213</v>
      </c>
      <c r="D223" s="98">
        <v>9958167</v>
      </c>
      <c r="E223" s="98">
        <f t="shared" si="3"/>
        <v>625909410</v>
      </c>
      <c r="F223" s="35"/>
    </row>
    <row r="224" spans="2:6" ht="18.75" customHeight="1">
      <c r="B224" s="12">
        <v>214</v>
      </c>
      <c r="C224" s="98">
        <v>214</v>
      </c>
      <c r="D224" s="98">
        <v>10071273</v>
      </c>
      <c r="E224" s="98">
        <f t="shared" si="3"/>
        <v>635980683</v>
      </c>
      <c r="F224" s="35"/>
    </row>
    <row r="225" spans="2:6" ht="18.75" customHeight="1">
      <c r="B225" s="96">
        <v>215</v>
      </c>
      <c r="C225" s="98">
        <v>215</v>
      </c>
      <c r="D225" s="98">
        <v>10185125</v>
      </c>
      <c r="E225" s="98">
        <f t="shared" si="3"/>
        <v>646165808</v>
      </c>
      <c r="F225" s="35"/>
    </row>
    <row r="226" spans="2:6" ht="18.75" customHeight="1">
      <c r="B226" s="12">
        <v>216</v>
      </c>
      <c r="C226" s="98">
        <v>216</v>
      </c>
      <c r="D226" s="98">
        <v>10299725</v>
      </c>
      <c r="E226" s="98">
        <f t="shared" si="3"/>
        <v>656465533</v>
      </c>
      <c r="F226" s="35"/>
    </row>
    <row r="227" spans="2:6" ht="18.75" customHeight="1">
      <c r="B227" s="96">
        <v>217</v>
      </c>
      <c r="C227" s="98">
        <v>217</v>
      </c>
      <c r="D227" s="98">
        <v>10415073</v>
      </c>
      <c r="E227" s="98">
        <f t="shared" si="3"/>
        <v>666880606</v>
      </c>
      <c r="F227" s="35"/>
    </row>
    <row r="228" spans="2:6" ht="18.75" customHeight="1">
      <c r="B228" s="12">
        <v>218</v>
      </c>
      <c r="C228" s="98">
        <v>218</v>
      </c>
      <c r="D228" s="98">
        <v>10531172</v>
      </c>
      <c r="E228" s="98">
        <f t="shared" si="3"/>
        <v>677411778</v>
      </c>
      <c r="F228" s="35"/>
    </row>
    <row r="229" spans="2:6" ht="18.75" customHeight="1">
      <c r="B229" s="96">
        <v>219</v>
      </c>
      <c r="C229" s="98">
        <v>219</v>
      </c>
      <c r="D229" s="98">
        <v>10648021</v>
      </c>
      <c r="E229" s="98">
        <f t="shared" si="3"/>
        <v>688059799</v>
      </c>
      <c r="F229" s="35"/>
    </row>
    <row r="230" spans="2:6" ht="18.75" customHeight="1">
      <c r="B230" s="12">
        <v>220</v>
      </c>
      <c r="C230" s="98">
        <v>220</v>
      </c>
      <c r="D230" s="98">
        <v>10765624</v>
      </c>
      <c r="E230" s="98">
        <f t="shared" si="3"/>
        <v>698825423</v>
      </c>
      <c r="F230" s="35"/>
    </row>
    <row r="231" spans="2:6" ht="18.75" customHeight="1">
      <c r="B231" s="96">
        <v>221</v>
      </c>
      <c r="C231" s="98">
        <v>221</v>
      </c>
      <c r="D231" s="98">
        <v>10883981</v>
      </c>
      <c r="E231" s="98">
        <f t="shared" si="3"/>
        <v>709709404</v>
      </c>
      <c r="F231" s="35"/>
    </row>
    <row r="232" spans="2:6" ht="18.75" customHeight="1">
      <c r="B232" s="12">
        <v>222</v>
      </c>
      <c r="C232" s="98">
        <v>222</v>
      </c>
      <c r="D232" s="98">
        <v>11003093</v>
      </c>
      <c r="E232" s="98">
        <f t="shared" si="3"/>
        <v>720712497</v>
      </c>
      <c r="F232" s="35"/>
    </row>
    <row r="233" spans="2:6" ht="18.75" customHeight="1">
      <c r="B233" s="96">
        <v>223</v>
      </c>
      <c r="C233" s="98">
        <v>223</v>
      </c>
      <c r="D233" s="98">
        <v>11122962</v>
      </c>
      <c r="E233" s="98">
        <f t="shared" si="3"/>
        <v>731835459</v>
      </c>
      <c r="F233" s="35"/>
    </row>
    <row r="234" spans="2:6" ht="18.75" customHeight="1">
      <c r="B234" s="12">
        <v>224</v>
      </c>
      <c r="C234" s="98">
        <v>224</v>
      </c>
      <c r="D234" s="98">
        <v>11243590</v>
      </c>
      <c r="E234" s="98">
        <f t="shared" si="3"/>
        <v>743079049</v>
      </c>
      <c r="F234" s="35"/>
    </row>
    <row r="235" spans="2:6" ht="18.75" customHeight="1">
      <c r="B235" s="96">
        <v>225</v>
      </c>
      <c r="C235" s="98">
        <v>225</v>
      </c>
      <c r="D235" s="98">
        <v>11364977</v>
      </c>
      <c r="E235" s="98">
        <f t="shared" si="3"/>
        <v>754444026</v>
      </c>
      <c r="F235" s="35"/>
    </row>
    <row r="236" spans="2:6" ht="18.75" customHeight="1">
      <c r="B236" s="12">
        <v>226</v>
      </c>
      <c r="C236" s="98">
        <v>226</v>
      </c>
      <c r="D236" s="98">
        <v>11487126</v>
      </c>
      <c r="E236" s="98">
        <f t="shared" si="3"/>
        <v>765931152</v>
      </c>
      <c r="F236" s="35"/>
    </row>
    <row r="237" spans="2:6" ht="18.75" customHeight="1">
      <c r="B237" s="96">
        <v>227</v>
      </c>
      <c r="C237" s="98">
        <v>227</v>
      </c>
      <c r="D237" s="98">
        <v>11610036</v>
      </c>
      <c r="E237" s="98">
        <f t="shared" si="3"/>
        <v>777541188</v>
      </c>
      <c r="F237" s="35"/>
    </row>
    <row r="238" spans="2:6" ht="18.75" customHeight="1">
      <c r="B238" s="12">
        <v>228</v>
      </c>
      <c r="C238" s="98">
        <v>228</v>
      </c>
      <c r="D238" s="98">
        <v>11733711</v>
      </c>
      <c r="E238" s="98">
        <f t="shared" si="3"/>
        <v>789274899</v>
      </c>
      <c r="F238" s="35"/>
    </row>
    <row r="239" spans="2:6" ht="18.75" customHeight="1">
      <c r="B239" s="96">
        <v>229</v>
      </c>
      <c r="C239" s="98">
        <v>229</v>
      </c>
      <c r="D239" s="98">
        <v>11858151</v>
      </c>
      <c r="E239" s="98">
        <f t="shared" si="3"/>
        <v>801133050</v>
      </c>
      <c r="F239" s="35"/>
    </row>
    <row r="240" spans="2:6" ht="18.75" customHeight="1">
      <c r="B240" s="12">
        <v>230</v>
      </c>
      <c r="C240" s="98">
        <v>230</v>
      </c>
      <c r="D240" s="98">
        <v>11983357</v>
      </c>
      <c r="E240" s="98">
        <f t="shared" si="3"/>
        <v>813116407</v>
      </c>
      <c r="F240" s="35"/>
    </row>
    <row r="241" spans="2:6" ht="18.75" customHeight="1">
      <c r="B241" s="96">
        <v>231</v>
      </c>
      <c r="C241" s="98">
        <v>231</v>
      </c>
      <c r="D241" s="98">
        <v>12109331</v>
      </c>
      <c r="E241" s="98">
        <f t="shared" si="3"/>
        <v>825225738</v>
      </c>
      <c r="F241" s="35"/>
    </row>
    <row r="242" spans="2:6" ht="18.75" customHeight="1">
      <c r="B242" s="12">
        <v>232</v>
      </c>
      <c r="C242" s="98">
        <v>232</v>
      </c>
      <c r="D242" s="98">
        <v>12236074</v>
      </c>
      <c r="E242" s="98">
        <f t="shared" si="3"/>
        <v>837461812</v>
      </c>
      <c r="F242" s="35"/>
    </row>
    <row r="243" spans="2:6" ht="18.75" customHeight="1">
      <c r="B243" s="96">
        <v>233</v>
      </c>
      <c r="C243" s="98">
        <v>233</v>
      </c>
      <c r="D243" s="98">
        <v>12363587</v>
      </c>
      <c r="E243" s="98">
        <f t="shared" si="3"/>
        <v>849825399</v>
      </c>
      <c r="F243" s="35"/>
    </row>
    <row r="244" spans="2:6" ht="18.75" customHeight="1">
      <c r="B244" s="12">
        <v>234</v>
      </c>
      <c r="C244" s="98">
        <v>234</v>
      </c>
      <c r="D244" s="98">
        <v>12491872</v>
      </c>
      <c r="E244" s="98">
        <f t="shared" si="3"/>
        <v>862317271</v>
      </c>
      <c r="F244" s="35"/>
    </row>
    <row r="245" spans="2:6" ht="18.75" customHeight="1">
      <c r="B245" s="96">
        <v>235</v>
      </c>
      <c r="C245" s="98">
        <v>235</v>
      </c>
      <c r="D245" s="98">
        <v>12620931</v>
      </c>
      <c r="E245" s="98">
        <f t="shared" si="3"/>
        <v>874938202</v>
      </c>
      <c r="F245" s="35"/>
    </row>
    <row r="246" spans="2:6" ht="18.75" customHeight="1">
      <c r="B246" s="12">
        <v>236</v>
      </c>
      <c r="C246" s="98">
        <v>236</v>
      </c>
      <c r="D246" s="98">
        <v>12750764</v>
      </c>
      <c r="E246" s="98">
        <f t="shared" si="3"/>
        <v>887688966</v>
      </c>
      <c r="F246" s="35"/>
    </row>
    <row r="247" spans="2:6" ht="18.75" customHeight="1">
      <c r="B247" s="96">
        <v>237</v>
      </c>
      <c r="C247" s="98">
        <v>237</v>
      </c>
      <c r="D247" s="98">
        <v>12881372</v>
      </c>
      <c r="E247" s="98">
        <f t="shared" si="3"/>
        <v>900570338</v>
      </c>
      <c r="F247" s="35"/>
    </row>
    <row r="248" spans="2:6" ht="18.75" customHeight="1">
      <c r="B248" s="12">
        <v>238</v>
      </c>
      <c r="C248" s="98">
        <v>238</v>
      </c>
      <c r="D248" s="98">
        <v>13012758</v>
      </c>
      <c r="E248" s="98">
        <f t="shared" si="3"/>
        <v>913583096</v>
      </c>
      <c r="F248" s="35"/>
    </row>
    <row r="249" spans="2:6" ht="18.75" customHeight="1">
      <c r="B249" s="96">
        <v>239</v>
      </c>
      <c r="C249" s="98">
        <v>239</v>
      </c>
      <c r="D249" s="98">
        <v>13144922</v>
      </c>
      <c r="E249" s="98">
        <f t="shared" si="3"/>
        <v>926728018</v>
      </c>
      <c r="F249" s="35"/>
    </row>
    <row r="250" spans="2:6" ht="18.75" customHeight="1">
      <c r="B250" s="12">
        <v>240</v>
      </c>
      <c r="C250" s="98">
        <v>240</v>
      </c>
      <c r="D250" s="98">
        <v>13277866</v>
      </c>
      <c r="E250" s="98">
        <f t="shared" si="3"/>
        <v>940005884</v>
      </c>
      <c r="F250" s="35"/>
    </row>
    <row r="251" spans="2:6" ht="18.75" customHeight="1">
      <c r="B251" s="96">
        <v>241</v>
      </c>
      <c r="C251" s="98">
        <v>241</v>
      </c>
      <c r="D251" s="98">
        <v>13411591</v>
      </c>
      <c r="E251" s="98">
        <f t="shared" si="3"/>
        <v>953417475</v>
      </c>
      <c r="F251" s="35"/>
    </row>
    <row r="252" spans="2:6" ht="18.75" customHeight="1">
      <c r="B252" s="12">
        <v>242</v>
      </c>
      <c r="C252" s="98">
        <v>242</v>
      </c>
      <c r="D252" s="98">
        <v>13546099</v>
      </c>
      <c r="E252" s="98">
        <f t="shared" si="3"/>
        <v>966963574</v>
      </c>
      <c r="F252" s="35"/>
    </row>
    <row r="253" spans="2:6" ht="18.75" customHeight="1">
      <c r="B253" s="96">
        <v>243</v>
      </c>
      <c r="C253" s="98">
        <v>243</v>
      </c>
      <c r="D253" s="98">
        <v>13681390</v>
      </c>
      <c r="E253" s="98">
        <f t="shared" si="3"/>
        <v>980644964</v>
      </c>
      <c r="F253" s="35"/>
    </row>
    <row r="254" spans="2:6" ht="18.75" customHeight="1">
      <c r="B254" s="12">
        <v>244</v>
      </c>
      <c r="C254" s="98">
        <v>244</v>
      </c>
      <c r="D254" s="98">
        <v>13817466</v>
      </c>
      <c r="E254" s="98">
        <f t="shared" si="3"/>
        <v>994462430</v>
      </c>
      <c r="F254" s="35"/>
    </row>
    <row r="255" spans="2:6" ht="18.75" customHeight="1">
      <c r="B255" s="96">
        <v>245</v>
      </c>
      <c r="C255" s="98">
        <v>245</v>
      </c>
      <c r="D255" s="98">
        <v>13954328</v>
      </c>
      <c r="E255" s="98">
        <f t="shared" si="3"/>
        <v>1008416758</v>
      </c>
      <c r="F255" s="35"/>
    </row>
    <row r="256" spans="2:6" ht="18.75" customHeight="1">
      <c r="B256" s="12">
        <v>246</v>
      </c>
      <c r="C256" s="98">
        <v>246</v>
      </c>
      <c r="D256" s="98">
        <v>14091977</v>
      </c>
      <c r="E256" s="98">
        <f t="shared" si="3"/>
        <v>1022508735</v>
      </c>
      <c r="F256" s="35"/>
    </row>
    <row r="257" spans="2:6" ht="18.75" customHeight="1">
      <c r="B257" s="96">
        <v>247</v>
      </c>
      <c r="C257" s="98">
        <v>247</v>
      </c>
      <c r="D257" s="98">
        <v>14230416</v>
      </c>
      <c r="E257" s="98">
        <f t="shared" si="3"/>
        <v>1036739151</v>
      </c>
      <c r="F257" s="35"/>
    </row>
    <row r="258" spans="2:6" ht="18.75" customHeight="1">
      <c r="B258" s="12">
        <v>248</v>
      </c>
      <c r="C258" s="98">
        <v>248</v>
      </c>
      <c r="D258" s="98">
        <v>14369644</v>
      </c>
      <c r="E258" s="98">
        <f t="shared" si="3"/>
        <v>1051108795</v>
      </c>
      <c r="F258" s="35"/>
    </row>
    <row r="259" spans="2:6" ht="18.75" customHeight="1">
      <c r="B259" s="96">
        <v>249</v>
      </c>
      <c r="C259" s="98">
        <v>249</v>
      </c>
      <c r="D259" s="98">
        <v>14509664</v>
      </c>
      <c r="E259" s="98">
        <f t="shared" si="3"/>
        <v>1065618459</v>
      </c>
      <c r="F259" s="35"/>
    </row>
    <row r="260" spans="2:6" ht="18.75" customHeight="1">
      <c r="B260" s="12">
        <v>250</v>
      </c>
      <c r="C260" s="98">
        <v>250</v>
      </c>
      <c r="D260" s="98">
        <v>14650477</v>
      </c>
      <c r="E260" s="98">
        <f t="shared" si="3"/>
        <v>1080268936</v>
      </c>
      <c r="F260" s="35"/>
    </row>
    <row r="261" spans="2:6" ht="18.75" customHeight="1">
      <c r="B261" s="96">
        <v>251</v>
      </c>
      <c r="C261" s="98">
        <v>251</v>
      </c>
      <c r="D261" s="98">
        <v>14792084</v>
      </c>
      <c r="E261" s="98">
        <f t="shared" si="3"/>
        <v>1095061020</v>
      </c>
      <c r="F261" s="35"/>
    </row>
    <row r="262" spans="2:6" ht="18.75" customHeight="1">
      <c r="B262" s="12">
        <v>252</v>
      </c>
      <c r="C262" s="98">
        <v>252</v>
      </c>
      <c r="D262" s="98">
        <v>14934485</v>
      </c>
      <c r="E262" s="98">
        <f t="shared" si="3"/>
        <v>1109995505</v>
      </c>
      <c r="F262" s="35"/>
    </row>
    <row r="263" spans="2:6" ht="18.75" customHeight="1">
      <c r="B263" s="96">
        <v>253</v>
      </c>
      <c r="C263" s="98">
        <v>253</v>
      </c>
      <c r="D263" s="98">
        <v>15077684</v>
      </c>
      <c r="E263" s="98">
        <f t="shared" si="3"/>
        <v>1125073189</v>
      </c>
      <c r="F263" s="35"/>
    </row>
    <row r="264" spans="2:6" ht="18.75" customHeight="1">
      <c r="B264" s="12">
        <v>254</v>
      </c>
      <c r="C264" s="98">
        <v>254</v>
      </c>
      <c r="D264" s="98">
        <v>15221680</v>
      </c>
      <c r="E264" s="98">
        <f t="shared" si="3"/>
        <v>1140294869</v>
      </c>
      <c r="F264" s="35"/>
    </row>
    <row r="265" spans="2:6" ht="18.75" customHeight="1">
      <c r="B265" s="96">
        <v>255</v>
      </c>
      <c r="C265" s="98">
        <v>255</v>
      </c>
      <c r="D265" s="98">
        <v>15366475</v>
      </c>
      <c r="E265" s="98">
        <f t="shared" si="3"/>
        <v>1155661344</v>
      </c>
      <c r="F265" s="35"/>
    </row>
    <row r="266" spans="2:6" ht="18.75" customHeight="1">
      <c r="B266" s="12">
        <v>256</v>
      </c>
      <c r="C266" s="98">
        <v>256</v>
      </c>
      <c r="D266" s="98">
        <v>15512070</v>
      </c>
      <c r="E266" s="98">
        <f t="shared" si="3"/>
        <v>1171173414</v>
      </c>
      <c r="F266" s="35"/>
    </row>
    <row r="267" spans="2:6" ht="18.75" customHeight="1">
      <c r="B267" s="96">
        <v>257</v>
      </c>
      <c r="C267" s="98">
        <v>257</v>
      </c>
      <c r="D267" s="98">
        <v>15658467</v>
      </c>
      <c r="E267" s="98">
        <f t="shared" si="3"/>
        <v>1186831881</v>
      </c>
      <c r="F267" s="35"/>
    </row>
    <row r="268" spans="2:6" ht="18.75" customHeight="1">
      <c r="B268" s="12">
        <v>258</v>
      </c>
      <c r="C268" s="98">
        <v>258</v>
      </c>
      <c r="D268" s="98">
        <v>15805667</v>
      </c>
      <c r="E268" s="98">
        <f t="shared" si="3"/>
        <v>1202637548</v>
      </c>
      <c r="F268" s="35"/>
    </row>
    <row r="269" spans="2:6" ht="18.75" customHeight="1">
      <c r="B269" s="96">
        <v>259</v>
      </c>
      <c r="C269" s="98">
        <v>259</v>
      </c>
      <c r="D269" s="98">
        <v>15953671</v>
      </c>
      <c r="E269" s="98">
        <f t="shared" si="3"/>
        <v>1218591219</v>
      </c>
      <c r="F269" s="35"/>
    </row>
    <row r="270" spans="2:6" ht="18.75" customHeight="1">
      <c r="B270" s="12">
        <v>260</v>
      </c>
      <c r="C270" s="98">
        <v>260</v>
      </c>
      <c r="D270" s="98">
        <v>16102480</v>
      </c>
      <c r="E270" s="98">
        <f t="shared" ref="E270:E333" si="4">E269+D270</f>
        <v>1234693699</v>
      </c>
      <c r="F270" s="35"/>
    </row>
    <row r="271" spans="2:6" ht="18.75" customHeight="1">
      <c r="B271" s="96">
        <v>261</v>
      </c>
      <c r="C271" s="98">
        <v>261</v>
      </c>
      <c r="D271" s="98">
        <v>16252096</v>
      </c>
      <c r="E271" s="98">
        <f t="shared" si="4"/>
        <v>1250945795</v>
      </c>
      <c r="F271" s="35"/>
    </row>
    <row r="272" spans="2:6" ht="18.75" customHeight="1">
      <c r="B272" s="12">
        <v>262</v>
      </c>
      <c r="C272" s="98">
        <v>262</v>
      </c>
      <c r="D272" s="98">
        <v>16402519</v>
      </c>
      <c r="E272" s="98">
        <f t="shared" si="4"/>
        <v>1267348314</v>
      </c>
      <c r="F272" s="35"/>
    </row>
    <row r="273" spans="2:6" ht="18.75" customHeight="1">
      <c r="B273" s="96">
        <v>263</v>
      </c>
      <c r="C273" s="98">
        <v>263</v>
      </c>
      <c r="D273" s="98">
        <v>16553752</v>
      </c>
      <c r="E273" s="98">
        <f t="shared" si="4"/>
        <v>1283902066</v>
      </c>
      <c r="F273" s="35"/>
    </row>
    <row r="274" spans="2:6" ht="18.75" customHeight="1">
      <c r="B274" s="12">
        <v>264</v>
      </c>
      <c r="C274" s="98">
        <v>264</v>
      </c>
      <c r="D274" s="98">
        <v>16705794</v>
      </c>
      <c r="E274" s="98">
        <f t="shared" si="4"/>
        <v>1300607860</v>
      </c>
      <c r="F274" s="35"/>
    </row>
    <row r="275" spans="2:6" ht="18.75" customHeight="1">
      <c r="B275" s="96">
        <v>265</v>
      </c>
      <c r="C275" s="98">
        <v>265</v>
      </c>
      <c r="D275" s="98">
        <v>16858649</v>
      </c>
      <c r="E275" s="98">
        <f t="shared" si="4"/>
        <v>1317466509</v>
      </c>
      <c r="F275" s="35"/>
    </row>
    <row r="276" spans="2:6" ht="18.75" customHeight="1">
      <c r="B276" s="12">
        <v>266</v>
      </c>
      <c r="C276" s="98">
        <v>266</v>
      </c>
      <c r="D276" s="98">
        <v>17012316</v>
      </c>
      <c r="E276" s="98">
        <f t="shared" si="4"/>
        <v>1334478825</v>
      </c>
      <c r="F276" s="35"/>
    </row>
    <row r="277" spans="2:6" ht="18.75" customHeight="1">
      <c r="B277" s="96">
        <v>267</v>
      </c>
      <c r="C277" s="98">
        <v>267</v>
      </c>
      <c r="D277" s="98">
        <v>17166797</v>
      </c>
      <c r="E277" s="98">
        <f t="shared" si="4"/>
        <v>1351645622</v>
      </c>
      <c r="F277" s="35"/>
    </row>
    <row r="278" spans="2:6" ht="18.75" customHeight="1">
      <c r="B278" s="12">
        <v>268</v>
      </c>
      <c r="C278" s="98">
        <v>268</v>
      </c>
      <c r="D278" s="98">
        <v>17322093</v>
      </c>
      <c r="E278" s="98">
        <f t="shared" si="4"/>
        <v>1368967715</v>
      </c>
      <c r="F278" s="35"/>
    </row>
    <row r="279" spans="2:6" ht="18.75" customHeight="1">
      <c r="B279" s="96">
        <v>269</v>
      </c>
      <c r="C279" s="98">
        <v>269</v>
      </c>
      <c r="D279" s="98">
        <v>17478205</v>
      </c>
      <c r="E279" s="98">
        <f t="shared" si="4"/>
        <v>1386445920</v>
      </c>
      <c r="F279" s="35"/>
    </row>
    <row r="280" spans="2:6" ht="18.75" customHeight="1">
      <c r="B280" s="12">
        <v>270</v>
      </c>
      <c r="C280" s="98">
        <v>270</v>
      </c>
      <c r="D280" s="98">
        <v>17635136</v>
      </c>
      <c r="E280" s="98">
        <f t="shared" si="4"/>
        <v>1404081056</v>
      </c>
      <c r="F280" s="35"/>
    </row>
    <row r="281" spans="2:6" ht="18.75" customHeight="1">
      <c r="B281" s="96">
        <v>271</v>
      </c>
      <c r="C281" s="98">
        <v>271</v>
      </c>
      <c r="D281" s="98">
        <v>17792885</v>
      </c>
      <c r="E281" s="98">
        <f t="shared" si="4"/>
        <v>1421873941</v>
      </c>
      <c r="F281" s="35"/>
    </row>
    <row r="282" spans="2:6" ht="18.75" customHeight="1">
      <c r="B282" s="12">
        <v>272</v>
      </c>
      <c r="C282" s="98">
        <v>272</v>
      </c>
      <c r="D282" s="98">
        <v>17951454</v>
      </c>
      <c r="E282" s="98">
        <f t="shared" si="4"/>
        <v>1439825395</v>
      </c>
      <c r="F282" s="35"/>
    </row>
    <row r="283" spans="2:6" ht="18.75" customHeight="1">
      <c r="B283" s="96">
        <v>273</v>
      </c>
      <c r="C283" s="98">
        <v>273</v>
      </c>
      <c r="D283" s="98">
        <v>18110845</v>
      </c>
      <c r="E283" s="98">
        <f t="shared" si="4"/>
        <v>1457936240</v>
      </c>
      <c r="F283" s="35"/>
    </row>
    <row r="284" spans="2:6" ht="18.75" customHeight="1">
      <c r="B284" s="12">
        <v>274</v>
      </c>
      <c r="C284" s="98">
        <v>274</v>
      </c>
      <c r="D284" s="98">
        <v>18271058</v>
      </c>
      <c r="E284" s="98">
        <f t="shared" si="4"/>
        <v>1476207298</v>
      </c>
      <c r="F284" s="35"/>
    </row>
    <row r="285" spans="2:6" ht="18.75" customHeight="1">
      <c r="B285" s="96">
        <v>275</v>
      </c>
      <c r="C285" s="98">
        <v>275</v>
      </c>
      <c r="D285" s="98">
        <v>18432094</v>
      </c>
      <c r="E285" s="98">
        <f t="shared" si="4"/>
        <v>1494639392</v>
      </c>
      <c r="F285" s="35"/>
    </row>
    <row r="286" spans="2:6" ht="18.75" customHeight="1">
      <c r="B286" s="12">
        <v>276</v>
      </c>
      <c r="C286" s="98">
        <v>276</v>
      </c>
      <c r="D286" s="98">
        <v>18593956</v>
      </c>
      <c r="E286" s="98">
        <f t="shared" si="4"/>
        <v>1513233348</v>
      </c>
      <c r="F286" s="35"/>
    </row>
    <row r="287" spans="2:6" ht="18.75" customHeight="1">
      <c r="B287" s="96">
        <v>277</v>
      </c>
      <c r="C287" s="98">
        <v>277</v>
      </c>
      <c r="D287" s="98">
        <v>18756644</v>
      </c>
      <c r="E287" s="98">
        <f t="shared" si="4"/>
        <v>1531989992</v>
      </c>
      <c r="F287" s="35"/>
    </row>
    <row r="288" spans="2:6" ht="18.75" customHeight="1">
      <c r="B288" s="12">
        <v>278</v>
      </c>
      <c r="C288" s="98">
        <v>278</v>
      </c>
      <c r="D288" s="98">
        <v>18920159</v>
      </c>
      <c r="E288" s="98">
        <f t="shared" si="4"/>
        <v>1550910151</v>
      </c>
      <c r="F288" s="35"/>
    </row>
    <row r="289" spans="2:6" ht="18.75" customHeight="1">
      <c r="B289" s="96">
        <v>279</v>
      </c>
      <c r="C289" s="98">
        <v>279</v>
      </c>
      <c r="D289" s="98">
        <v>19084503</v>
      </c>
      <c r="E289" s="98">
        <f t="shared" si="4"/>
        <v>1569994654</v>
      </c>
      <c r="F289" s="35"/>
    </row>
    <row r="290" spans="2:6" ht="18.75" customHeight="1">
      <c r="B290" s="12">
        <v>280</v>
      </c>
      <c r="C290" s="98">
        <v>280</v>
      </c>
      <c r="D290" s="98">
        <v>19249676</v>
      </c>
      <c r="E290" s="98">
        <f t="shared" si="4"/>
        <v>1589244330</v>
      </c>
      <c r="F290" s="35"/>
    </row>
    <row r="291" spans="2:6" ht="18.75" customHeight="1">
      <c r="B291" s="96">
        <v>281</v>
      </c>
      <c r="C291" s="98">
        <v>281</v>
      </c>
      <c r="D291" s="98">
        <v>19415680</v>
      </c>
      <c r="E291" s="98">
        <f t="shared" si="4"/>
        <v>1608660010</v>
      </c>
      <c r="F291" s="35"/>
    </row>
    <row r="292" spans="2:6" ht="18.75" customHeight="1">
      <c r="B292" s="12">
        <v>282</v>
      </c>
      <c r="C292" s="98">
        <v>282</v>
      </c>
      <c r="D292" s="98">
        <v>19582517</v>
      </c>
      <c r="E292" s="98">
        <f t="shared" si="4"/>
        <v>1628242527</v>
      </c>
      <c r="F292" s="35"/>
    </row>
    <row r="293" spans="2:6" ht="18.75" customHeight="1">
      <c r="B293" s="96">
        <v>283</v>
      </c>
      <c r="C293" s="98">
        <v>283</v>
      </c>
      <c r="D293" s="98">
        <v>19750186</v>
      </c>
      <c r="E293" s="98">
        <f t="shared" si="4"/>
        <v>1647992713</v>
      </c>
      <c r="F293" s="35"/>
    </row>
    <row r="294" spans="2:6" ht="18.75" customHeight="1">
      <c r="B294" s="12">
        <v>284</v>
      </c>
      <c r="C294" s="98">
        <v>284</v>
      </c>
      <c r="D294" s="98">
        <v>19918690</v>
      </c>
      <c r="E294" s="98">
        <f t="shared" si="4"/>
        <v>1667911403</v>
      </c>
      <c r="F294" s="35"/>
    </row>
    <row r="295" spans="2:6" ht="18.75" customHeight="1">
      <c r="B295" s="96">
        <v>285</v>
      </c>
      <c r="C295" s="98">
        <v>285</v>
      </c>
      <c r="D295" s="98">
        <v>20088030</v>
      </c>
      <c r="E295" s="98">
        <f t="shared" si="4"/>
        <v>1687999433</v>
      </c>
      <c r="F295" s="35"/>
    </row>
    <row r="296" spans="2:6" ht="18.75" customHeight="1">
      <c r="B296" s="12">
        <v>286</v>
      </c>
      <c r="C296" s="98">
        <v>286</v>
      </c>
      <c r="D296" s="98">
        <v>20258207</v>
      </c>
      <c r="E296" s="98">
        <f t="shared" si="4"/>
        <v>1708257640</v>
      </c>
      <c r="F296" s="35"/>
    </row>
    <row r="297" spans="2:6" ht="18.75" customHeight="1">
      <c r="B297" s="96">
        <v>287</v>
      </c>
      <c r="C297" s="98">
        <v>287</v>
      </c>
      <c r="D297" s="98">
        <v>20429221</v>
      </c>
      <c r="E297" s="98">
        <f t="shared" si="4"/>
        <v>1728686861</v>
      </c>
      <c r="F297" s="35"/>
    </row>
    <row r="298" spans="2:6" ht="18.75" customHeight="1">
      <c r="B298" s="12">
        <v>288</v>
      </c>
      <c r="C298" s="98">
        <v>288</v>
      </c>
      <c r="D298" s="98">
        <v>20601075</v>
      </c>
      <c r="E298" s="98">
        <f t="shared" si="4"/>
        <v>1749287936</v>
      </c>
      <c r="F298" s="35"/>
    </row>
    <row r="299" spans="2:6" ht="18.75" customHeight="1">
      <c r="B299" s="96">
        <v>289</v>
      </c>
      <c r="C299" s="98">
        <v>289</v>
      </c>
      <c r="D299" s="98">
        <v>20773769</v>
      </c>
      <c r="E299" s="98">
        <f t="shared" si="4"/>
        <v>1770061705</v>
      </c>
      <c r="F299" s="35"/>
    </row>
    <row r="300" spans="2:6" ht="18.75" customHeight="1">
      <c r="B300" s="12">
        <v>290</v>
      </c>
      <c r="C300" s="98">
        <v>290</v>
      </c>
      <c r="D300" s="98">
        <v>20947305</v>
      </c>
      <c r="E300" s="98">
        <f t="shared" si="4"/>
        <v>1791009010</v>
      </c>
      <c r="F300" s="35"/>
    </row>
    <row r="301" spans="2:6" ht="18.75" customHeight="1">
      <c r="B301" s="96">
        <v>291</v>
      </c>
      <c r="C301" s="98">
        <v>291</v>
      </c>
      <c r="D301" s="98">
        <v>21121684</v>
      </c>
      <c r="E301" s="98">
        <f t="shared" si="4"/>
        <v>1812130694</v>
      </c>
      <c r="F301" s="35"/>
    </row>
    <row r="302" spans="2:6" ht="18.75" customHeight="1">
      <c r="B302" s="12">
        <v>292</v>
      </c>
      <c r="C302" s="98">
        <v>292</v>
      </c>
      <c r="D302" s="98">
        <v>21296906</v>
      </c>
      <c r="E302" s="98">
        <f t="shared" si="4"/>
        <v>1833427600</v>
      </c>
      <c r="F302" s="35"/>
    </row>
    <row r="303" spans="2:6" ht="18.75" customHeight="1">
      <c r="B303" s="96">
        <v>293</v>
      </c>
      <c r="C303" s="98">
        <v>293</v>
      </c>
      <c r="D303" s="98">
        <v>21472973</v>
      </c>
      <c r="E303" s="98">
        <f t="shared" si="4"/>
        <v>1854900573</v>
      </c>
      <c r="F303" s="35"/>
    </row>
    <row r="304" spans="2:6" ht="18.75" customHeight="1">
      <c r="B304" s="12">
        <v>294</v>
      </c>
      <c r="C304" s="98">
        <v>294</v>
      </c>
      <c r="D304" s="98">
        <v>21649887</v>
      </c>
      <c r="E304" s="98">
        <f t="shared" si="4"/>
        <v>1876550460</v>
      </c>
      <c r="F304" s="35"/>
    </row>
    <row r="305" spans="2:6" ht="18.75" customHeight="1">
      <c r="B305" s="96">
        <v>295</v>
      </c>
      <c r="C305" s="98">
        <v>295</v>
      </c>
      <c r="D305" s="98">
        <v>21827647</v>
      </c>
      <c r="E305" s="98">
        <f t="shared" si="4"/>
        <v>1898378107</v>
      </c>
      <c r="F305" s="35"/>
    </row>
    <row r="306" spans="2:6" ht="18.75" customHeight="1">
      <c r="B306" s="12">
        <v>296</v>
      </c>
      <c r="C306" s="98">
        <v>296</v>
      </c>
      <c r="D306" s="98">
        <v>22006257</v>
      </c>
      <c r="E306" s="98">
        <f t="shared" si="4"/>
        <v>1920384364</v>
      </c>
      <c r="F306" s="35"/>
    </row>
    <row r="307" spans="2:6" ht="18.75" customHeight="1">
      <c r="B307" s="96">
        <v>297</v>
      </c>
      <c r="C307" s="98">
        <v>297</v>
      </c>
      <c r="D307" s="98">
        <v>22185716</v>
      </c>
      <c r="E307" s="98">
        <f t="shared" si="4"/>
        <v>1942570080</v>
      </c>
      <c r="F307" s="35"/>
    </row>
    <row r="308" spans="2:6" ht="18.75" customHeight="1">
      <c r="B308" s="12">
        <v>298</v>
      </c>
      <c r="C308" s="98">
        <v>298</v>
      </c>
      <c r="D308" s="98">
        <v>22366026</v>
      </c>
      <c r="E308" s="98">
        <f t="shared" si="4"/>
        <v>1964936106</v>
      </c>
      <c r="F308" s="35"/>
    </row>
    <row r="309" spans="2:6" ht="18.75" customHeight="1">
      <c r="B309" s="96">
        <v>299</v>
      </c>
      <c r="C309" s="98">
        <v>299</v>
      </c>
      <c r="D309" s="98">
        <v>22547187</v>
      </c>
      <c r="E309" s="98">
        <f t="shared" si="4"/>
        <v>1987483293</v>
      </c>
      <c r="F309" s="35"/>
    </row>
    <row r="310" spans="2:6" ht="18.75" customHeight="1">
      <c r="B310" s="12">
        <v>300</v>
      </c>
      <c r="C310" s="98">
        <v>300</v>
      </c>
      <c r="D310" s="98">
        <v>22729202</v>
      </c>
      <c r="E310" s="98">
        <f t="shared" si="4"/>
        <v>2010212495</v>
      </c>
      <c r="F310" s="35"/>
    </row>
    <row r="311" spans="2:6" ht="18.75" customHeight="1">
      <c r="B311" s="96">
        <v>301</v>
      </c>
      <c r="C311" s="98">
        <v>301</v>
      </c>
      <c r="D311" s="98">
        <v>22912071</v>
      </c>
      <c r="E311" s="98">
        <f t="shared" si="4"/>
        <v>2033124566</v>
      </c>
      <c r="F311" s="35"/>
    </row>
    <row r="312" spans="2:6" ht="18.75" customHeight="1">
      <c r="B312" s="12">
        <v>302</v>
      </c>
      <c r="C312" s="98">
        <v>302</v>
      </c>
      <c r="D312" s="98">
        <v>23095796</v>
      </c>
      <c r="E312" s="98">
        <f t="shared" si="4"/>
        <v>2056220362</v>
      </c>
      <c r="F312" s="35"/>
    </row>
    <row r="313" spans="2:6" ht="18.75" customHeight="1">
      <c r="B313" s="96">
        <v>303</v>
      </c>
      <c r="C313" s="98">
        <v>303</v>
      </c>
      <c r="D313" s="98">
        <v>23280377</v>
      </c>
      <c r="E313" s="98">
        <f t="shared" si="4"/>
        <v>2079500739</v>
      </c>
      <c r="F313" s="35"/>
    </row>
    <row r="314" spans="2:6" ht="18.75" customHeight="1">
      <c r="B314" s="12">
        <v>304</v>
      </c>
      <c r="C314" s="98">
        <v>304</v>
      </c>
      <c r="D314" s="98">
        <v>23465815</v>
      </c>
      <c r="E314" s="98">
        <f t="shared" si="4"/>
        <v>2102966554</v>
      </c>
      <c r="F314" s="35"/>
    </row>
    <row r="315" spans="2:6" ht="18.75" customHeight="1">
      <c r="B315" s="96">
        <v>305</v>
      </c>
      <c r="C315" s="98">
        <v>305</v>
      </c>
      <c r="D315" s="98">
        <v>23652113</v>
      </c>
      <c r="E315" s="98">
        <f t="shared" si="4"/>
        <v>2126618667</v>
      </c>
      <c r="F315" s="35"/>
    </row>
    <row r="316" spans="2:6" ht="18.75" customHeight="1">
      <c r="B316" s="12">
        <v>306</v>
      </c>
      <c r="C316" s="98">
        <v>306</v>
      </c>
      <c r="D316" s="98">
        <v>23839270</v>
      </c>
      <c r="E316" s="98">
        <f t="shared" si="4"/>
        <v>2150457937</v>
      </c>
      <c r="F316" s="35"/>
    </row>
    <row r="317" spans="2:6" ht="18.75" customHeight="1">
      <c r="B317" s="96">
        <v>307</v>
      </c>
      <c r="C317" s="98">
        <v>307</v>
      </c>
      <c r="D317" s="98">
        <v>24027288</v>
      </c>
      <c r="E317" s="98">
        <f t="shared" si="4"/>
        <v>2174485225</v>
      </c>
      <c r="F317" s="35"/>
    </row>
    <row r="318" spans="2:6" ht="18.75" customHeight="1">
      <c r="B318" s="12">
        <v>308</v>
      </c>
      <c r="C318" s="98">
        <v>308</v>
      </c>
      <c r="D318" s="98">
        <v>24216169</v>
      </c>
      <c r="E318" s="98">
        <f t="shared" si="4"/>
        <v>2198701394</v>
      </c>
      <c r="F318" s="35"/>
    </row>
    <row r="319" spans="2:6" ht="18.75" customHeight="1">
      <c r="B319" s="96">
        <v>309</v>
      </c>
      <c r="C319" s="98">
        <v>309</v>
      </c>
      <c r="D319" s="98">
        <v>24405913</v>
      </c>
      <c r="E319" s="98">
        <f t="shared" si="4"/>
        <v>2223107307</v>
      </c>
      <c r="F319" s="35"/>
    </row>
    <row r="320" spans="2:6" ht="18.75" customHeight="1">
      <c r="B320" s="12">
        <v>310</v>
      </c>
      <c r="C320" s="98">
        <v>310</v>
      </c>
      <c r="D320" s="98">
        <v>24596521</v>
      </c>
      <c r="E320" s="98">
        <f t="shared" si="4"/>
        <v>2247703828</v>
      </c>
      <c r="F320" s="35"/>
    </row>
    <row r="321" spans="2:6" ht="18.75" customHeight="1">
      <c r="B321" s="96">
        <v>311</v>
      </c>
      <c r="C321" s="98">
        <v>311</v>
      </c>
      <c r="D321" s="98">
        <v>24787995</v>
      </c>
      <c r="E321" s="98">
        <f t="shared" si="4"/>
        <v>2272491823</v>
      </c>
      <c r="F321" s="35"/>
    </row>
    <row r="322" spans="2:6" ht="18.75" customHeight="1">
      <c r="B322" s="12">
        <v>312</v>
      </c>
      <c r="C322" s="98">
        <v>312</v>
      </c>
      <c r="D322" s="98">
        <v>24980336</v>
      </c>
      <c r="E322" s="98">
        <f t="shared" si="4"/>
        <v>2297472159</v>
      </c>
      <c r="F322" s="35"/>
    </row>
    <row r="323" spans="2:6" ht="18.75" customHeight="1">
      <c r="B323" s="96">
        <v>313</v>
      </c>
      <c r="C323" s="98">
        <v>313</v>
      </c>
      <c r="D323" s="98">
        <v>25173544</v>
      </c>
      <c r="E323" s="98">
        <f t="shared" si="4"/>
        <v>2322645703</v>
      </c>
      <c r="F323" s="35"/>
    </row>
    <row r="324" spans="2:6" ht="18.75" customHeight="1">
      <c r="B324" s="12">
        <v>314</v>
      </c>
      <c r="C324" s="98">
        <v>314</v>
      </c>
      <c r="D324" s="98">
        <v>25367622</v>
      </c>
      <c r="E324" s="98">
        <f t="shared" si="4"/>
        <v>2348013325</v>
      </c>
      <c r="F324" s="35"/>
    </row>
    <row r="325" spans="2:6" ht="18.75" customHeight="1">
      <c r="B325" s="96">
        <v>315</v>
      </c>
      <c r="C325" s="98">
        <v>315</v>
      </c>
      <c r="D325" s="98">
        <v>25562569</v>
      </c>
      <c r="E325" s="98">
        <f t="shared" si="4"/>
        <v>2373575894</v>
      </c>
      <c r="F325" s="35"/>
    </row>
    <row r="326" spans="2:6" ht="18.75" customHeight="1">
      <c r="B326" s="12">
        <v>316</v>
      </c>
      <c r="C326" s="98">
        <v>316</v>
      </c>
      <c r="D326" s="98">
        <v>25758387</v>
      </c>
      <c r="E326" s="98">
        <f t="shared" si="4"/>
        <v>2399334281</v>
      </c>
      <c r="F326" s="35"/>
    </row>
    <row r="327" spans="2:6" ht="18.75" customHeight="1">
      <c r="B327" s="96">
        <v>317</v>
      </c>
      <c r="C327" s="98">
        <v>317</v>
      </c>
      <c r="D327" s="98">
        <v>25955078</v>
      </c>
      <c r="E327" s="98">
        <f t="shared" si="4"/>
        <v>2425289359</v>
      </c>
      <c r="F327" s="35"/>
    </row>
    <row r="328" spans="2:6" ht="18.75" customHeight="1">
      <c r="B328" s="12">
        <v>318</v>
      </c>
      <c r="C328" s="98">
        <v>318</v>
      </c>
      <c r="D328" s="98">
        <v>26152642</v>
      </c>
      <c r="E328" s="98">
        <f t="shared" si="4"/>
        <v>2451442001</v>
      </c>
      <c r="F328" s="35"/>
    </row>
    <row r="329" spans="2:6" ht="18.75" customHeight="1">
      <c r="B329" s="96">
        <v>319</v>
      </c>
      <c r="C329" s="98">
        <v>319</v>
      </c>
      <c r="D329" s="98">
        <v>26351080</v>
      </c>
      <c r="E329" s="98">
        <f t="shared" si="4"/>
        <v>2477793081</v>
      </c>
      <c r="F329" s="35"/>
    </row>
    <row r="330" spans="2:6" ht="18.75" customHeight="1">
      <c r="B330" s="12">
        <v>320</v>
      </c>
      <c r="C330" s="98">
        <v>320</v>
      </c>
      <c r="D330" s="98">
        <v>26550395</v>
      </c>
      <c r="E330" s="98">
        <f t="shared" si="4"/>
        <v>2504343476</v>
      </c>
      <c r="F330" s="35"/>
    </row>
    <row r="331" spans="2:6" ht="18.75" customHeight="1">
      <c r="B331" s="96">
        <v>321</v>
      </c>
      <c r="C331" s="98">
        <v>321</v>
      </c>
      <c r="D331" s="98">
        <v>26750585</v>
      </c>
      <c r="E331" s="98">
        <f t="shared" si="4"/>
        <v>2531094061</v>
      </c>
      <c r="F331" s="35"/>
    </row>
    <row r="332" spans="2:6" ht="18.75" customHeight="1">
      <c r="B332" s="12">
        <v>322</v>
      </c>
      <c r="C332" s="98">
        <v>322</v>
      </c>
      <c r="D332" s="98">
        <v>26951654</v>
      </c>
      <c r="E332" s="98">
        <f t="shared" si="4"/>
        <v>2558045715</v>
      </c>
      <c r="F332" s="35"/>
    </row>
    <row r="333" spans="2:6" ht="18.75" customHeight="1">
      <c r="B333" s="96">
        <v>323</v>
      </c>
      <c r="C333" s="98">
        <v>323</v>
      </c>
      <c r="D333" s="98">
        <v>27153601</v>
      </c>
      <c r="E333" s="98">
        <f t="shared" si="4"/>
        <v>2585199316</v>
      </c>
      <c r="F333" s="35"/>
    </row>
    <row r="334" spans="2:6" ht="18.75" customHeight="1">
      <c r="B334" s="12">
        <v>324</v>
      </c>
      <c r="C334" s="98">
        <v>324</v>
      </c>
      <c r="D334" s="98">
        <v>27356428</v>
      </c>
      <c r="E334" s="98">
        <f t="shared" ref="E334:E397" si="5">E333+D334</f>
        <v>2612555744</v>
      </c>
      <c r="F334" s="35"/>
    </row>
    <row r="335" spans="2:6" ht="18.75" customHeight="1">
      <c r="B335" s="96">
        <v>325</v>
      </c>
      <c r="C335" s="98">
        <v>325</v>
      </c>
      <c r="D335" s="98">
        <v>27560137</v>
      </c>
      <c r="E335" s="98">
        <f t="shared" si="5"/>
        <v>2640115881</v>
      </c>
      <c r="F335" s="35"/>
    </row>
    <row r="336" spans="2:6" ht="18.75" customHeight="1">
      <c r="B336" s="12">
        <v>326</v>
      </c>
      <c r="C336" s="98">
        <v>326</v>
      </c>
      <c r="D336" s="98">
        <v>27764727</v>
      </c>
      <c r="E336" s="98">
        <f t="shared" si="5"/>
        <v>2667880608</v>
      </c>
      <c r="F336" s="35"/>
    </row>
    <row r="337" spans="2:6" ht="18.75" customHeight="1">
      <c r="B337" s="96">
        <v>327</v>
      </c>
      <c r="C337" s="98">
        <v>327</v>
      </c>
      <c r="D337" s="98">
        <v>27970201</v>
      </c>
      <c r="E337" s="98">
        <f t="shared" si="5"/>
        <v>2695850809</v>
      </c>
      <c r="F337" s="35"/>
    </row>
    <row r="338" spans="2:6" ht="18.75" customHeight="1">
      <c r="B338" s="12">
        <v>328</v>
      </c>
      <c r="C338" s="98">
        <v>328</v>
      </c>
      <c r="D338" s="98">
        <v>28176558</v>
      </c>
      <c r="E338" s="98">
        <f t="shared" si="5"/>
        <v>2724027367</v>
      </c>
      <c r="F338" s="35"/>
    </row>
    <row r="339" spans="2:6" ht="18.75" customHeight="1">
      <c r="B339" s="96">
        <v>329</v>
      </c>
      <c r="C339" s="98">
        <v>329</v>
      </c>
      <c r="D339" s="98">
        <v>28383802</v>
      </c>
      <c r="E339" s="98">
        <f t="shared" si="5"/>
        <v>2752411169</v>
      </c>
      <c r="F339" s="35"/>
    </row>
    <row r="340" spans="2:6" ht="18.75" customHeight="1">
      <c r="B340" s="12">
        <v>330</v>
      </c>
      <c r="C340" s="98">
        <v>330</v>
      </c>
      <c r="D340" s="98">
        <v>28591932</v>
      </c>
      <c r="E340" s="98">
        <f t="shared" si="5"/>
        <v>2781003101</v>
      </c>
      <c r="F340" s="35"/>
    </row>
    <row r="341" spans="2:6" ht="18.75" customHeight="1">
      <c r="B341" s="96">
        <v>331</v>
      </c>
      <c r="C341" s="98">
        <v>331</v>
      </c>
      <c r="D341" s="98">
        <v>28800949</v>
      </c>
      <c r="E341" s="98">
        <f t="shared" si="5"/>
        <v>2809804050</v>
      </c>
      <c r="F341" s="35"/>
    </row>
    <row r="342" spans="2:6" ht="18.75" customHeight="1">
      <c r="B342" s="12">
        <v>332</v>
      </c>
      <c r="C342" s="98">
        <v>332</v>
      </c>
      <c r="D342" s="98">
        <v>29010855</v>
      </c>
      <c r="E342" s="98">
        <f t="shared" si="5"/>
        <v>2838814905</v>
      </c>
      <c r="F342" s="35"/>
    </row>
    <row r="343" spans="2:6" ht="18.75" customHeight="1">
      <c r="B343" s="96">
        <v>333</v>
      </c>
      <c r="C343" s="98">
        <v>333</v>
      </c>
      <c r="D343" s="98">
        <v>29221650</v>
      </c>
      <c r="E343" s="98">
        <f t="shared" si="5"/>
        <v>2868036555</v>
      </c>
      <c r="F343" s="35"/>
    </row>
    <row r="344" spans="2:6" ht="18.75" customHeight="1">
      <c r="B344" s="12">
        <v>334</v>
      </c>
      <c r="C344" s="98">
        <v>334</v>
      </c>
      <c r="D344" s="98">
        <v>29433337</v>
      </c>
      <c r="E344" s="98">
        <f t="shared" si="5"/>
        <v>2897469892</v>
      </c>
      <c r="F344" s="35"/>
    </row>
    <row r="345" spans="2:6" ht="18.75" customHeight="1">
      <c r="B345" s="96">
        <v>335</v>
      </c>
      <c r="C345" s="98">
        <v>335</v>
      </c>
      <c r="D345" s="98">
        <v>29645915</v>
      </c>
      <c r="E345" s="98">
        <f t="shared" si="5"/>
        <v>2927115807</v>
      </c>
      <c r="F345" s="35"/>
    </row>
    <row r="346" spans="2:6" ht="18.75" customHeight="1">
      <c r="B346" s="12">
        <v>336</v>
      </c>
      <c r="C346" s="98">
        <v>336</v>
      </c>
      <c r="D346" s="98">
        <v>29859386</v>
      </c>
      <c r="E346" s="98">
        <f t="shared" si="5"/>
        <v>2956975193</v>
      </c>
      <c r="F346" s="35"/>
    </row>
    <row r="347" spans="2:6" ht="18.75" customHeight="1">
      <c r="B347" s="96">
        <v>337</v>
      </c>
      <c r="C347" s="98">
        <v>337</v>
      </c>
      <c r="D347" s="98">
        <v>30073751</v>
      </c>
      <c r="E347" s="98">
        <f t="shared" si="5"/>
        <v>2987048944</v>
      </c>
      <c r="F347" s="35"/>
    </row>
    <row r="348" spans="2:6" ht="18.75" customHeight="1">
      <c r="B348" s="12">
        <v>338</v>
      </c>
      <c r="C348" s="98">
        <v>338</v>
      </c>
      <c r="D348" s="98">
        <v>30289012</v>
      </c>
      <c r="E348" s="98">
        <f t="shared" si="5"/>
        <v>3017337956</v>
      </c>
      <c r="F348" s="35"/>
    </row>
    <row r="349" spans="2:6" ht="18.75" customHeight="1">
      <c r="B349" s="96">
        <v>339</v>
      </c>
      <c r="C349" s="98">
        <v>339</v>
      </c>
      <c r="D349" s="98">
        <v>30505168</v>
      </c>
      <c r="E349" s="98">
        <f t="shared" si="5"/>
        <v>3047843124</v>
      </c>
      <c r="F349" s="35"/>
    </row>
    <row r="350" spans="2:6" ht="18.75" customHeight="1">
      <c r="B350" s="12">
        <v>340</v>
      </c>
      <c r="C350" s="98">
        <v>340</v>
      </c>
      <c r="D350" s="98">
        <v>30722222</v>
      </c>
      <c r="E350" s="98">
        <f t="shared" si="5"/>
        <v>3078565346</v>
      </c>
      <c r="F350" s="35"/>
    </row>
    <row r="351" spans="2:6" ht="18.75" customHeight="1">
      <c r="B351" s="96">
        <v>341</v>
      </c>
      <c r="C351" s="98">
        <v>341</v>
      </c>
      <c r="D351" s="98">
        <v>30940173</v>
      </c>
      <c r="E351" s="98">
        <f t="shared" si="5"/>
        <v>3109505519</v>
      </c>
      <c r="F351" s="35"/>
    </row>
    <row r="352" spans="2:6" ht="18.75" customHeight="1">
      <c r="B352" s="12">
        <v>342</v>
      </c>
      <c r="C352" s="98">
        <v>342</v>
      </c>
      <c r="D352" s="98">
        <v>31159024</v>
      </c>
      <c r="E352" s="98">
        <f t="shared" si="5"/>
        <v>3140664543</v>
      </c>
      <c r="F352" s="35"/>
    </row>
    <row r="353" spans="2:6" ht="18.75" customHeight="1">
      <c r="B353" s="96">
        <v>343</v>
      </c>
      <c r="C353" s="98">
        <v>343</v>
      </c>
      <c r="D353" s="98">
        <v>31378776</v>
      </c>
      <c r="E353" s="98">
        <f t="shared" si="5"/>
        <v>3172043319</v>
      </c>
      <c r="F353" s="35"/>
    </row>
    <row r="354" spans="2:6" ht="18.75" customHeight="1">
      <c r="B354" s="12">
        <v>344</v>
      </c>
      <c r="C354" s="98">
        <v>344</v>
      </c>
      <c r="D354" s="98">
        <v>31599429</v>
      </c>
      <c r="E354" s="98">
        <f t="shared" si="5"/>
        <v>3203642748</v>
      </c>
      <c r="F354" s="35"/>
    </row>
    <row r="355" spans="2:6" ht="18.75" customHeight="1">
      <c r="B355" s="96">
        <v>345</v>
      </c>
      <c r="C355" s="98">
        <v>345</v>
      </c>
      <c r="D355" s="98">
        <v>31820984</v>
      </c>
      <c r="E355" s="98">
        <f t="shared" si="5"/>
        <v>3235463732</v>
      </c>
      <c r="F355" s="35"/>
    </row>
    <row r="356" spans="2:6" ht="18.75" customHeight="1">
      <c r="B356" s="12">
        <v>346</v>
      </c>
      <c r="C356" s="98">
        <v>346</v>
      </c>
      <c r="D356" s="98">
        <v>32043443</v>
      </c>
      <c r="E356" s="98">
        <f t="shared" si="5"/>
        <v>3267507175</v>
      </c>
      <c r="F356" s="35"/>
    </row>
    <row r="357" spans="2:6" ht="18.75" customHeight="1">
      <c r="B357" s="96">
        <v>347</v>
      </c>
      <c r="C357" s="98">
        <v>347</v>
      </c>
      <c r="D357" s="98">
        <v>32266806</v>
      </c>
      <c r="E357" s="98">
        <f t="shared" si="5"/>
        <v>3299773981</v>
      </c>
      <c r="F357" s="35"/>
    </row>
    <row r="358" spans="2:6" ht="18.75" customHeight="1">
      <c r="B358" s="12">
        <v>348</v>
      </c>
      <c r="C358" s="98">
        <v>348</v>
      </c>
      <c r="D358" s="98">
        <v>32491075</v>
      </c>
      <c r="E358" s="98">
        <f t="shared" si="5"/>
        <v>3332265056</v>
      </c>
      <c r="F358" s="35"/>
    </row>
    <row r="359" spans="2:6" ht="18.75" customHeight="1">
      <c r="B359" s="96">
        <v>349</v>
      </c>
      <c r="C359" s="98">
        <v>349</v>
      </c>
      <c r="D359" s="98">
        <v>32716251</v>
      </c>
      <c r="E359" s="98">
        <f t="shared" si="5"/>
        <v>3364981307</v>
      </c>
      <c r="F359" s="35"/>
    </row>
    <row r="360" spans="2:6" ht="18.75" customHeight="1">
      <c r="B360" s="12">
        <v>350</v>
      </c>
      <c r="C360" s="98">
        <v>350</v>
      </c>
      <c r="D360" s="98">
        <v>32942334</v>
      </c>
      <c r="E360" s="98">
        <f t="shared" si="5"/>
        <v>3397923641</v>
      </c>
      <c r="F360" s="35"/>
    </row>
    <row r="361" spans="2:6" ht="18.75" customHeight="1">
      <c r="B361" s="96">
        <v>351</v>
      </c>
      <c r="C361" s="98">
        <v>351</v>
      </c>
      <c r="D361" s="98">
        <v>33169326</v>
      </c>
      <c r="E361" s="98">
        <f t="shared" si="5"/>
        <v>3431092967</v>
      </c>
      <c r="F361" s="35"/>
    </row>
    <row r="362" spans="2:6" ht="18.75" customHeight="1">
      <c r="B362" s="12">
        <v>352</v>
      </c>
      <c r="C362" s="98">
        <v>352</v>
      </c>
      <c r="D362" s="98">
        <v>33397228</v>
      </c>
      <c r="E362" s="98">
        <f t="shared" si="5"/>
        <v>3464490195</v>
      </c>
      <c r="F362" s="35"/>
    </row>
    <row r="363" spans="2:6" ht="18.75" customHeight="1">
      <c r="B363" s="96">
        <v>353</v>
      </c>
      <c r="C363" s="98">
        <v>353</v>
      </c>
      <c r="D363" s="98">
        <v>33626041</v>
      </c>
      <c r="E363" s="98">
        <f t="shared" si="5"/>
        <v>3498116236</v>
      </c>
      <c r="F363" s="35"/>
    </row>
    <row r="364" spans="2:6" ht="18.75" customHeight="1">
      <c r="B364" s="12">
        <v>354</v>
      </c>
      <c r="C364" s="98">
        <v>354</v>
      </c>
      <c r="D364" s="98">
        <v>33855765</v>
      </c>
      <c r="E364" s="98">
        <f t="shared" si="5"/>
        <v>3531972001</v>
      </c>
      <c r="F364" s="35"/>
    </row>
    <row r="365" spans="2:6" ht="18.75" customHeight="1">
      <c r="B365" s="96">
        <v>355</v>
      </c>
      <c r="C365" s="98">
        <v>355</v>
      </c>
      <c r="D365" s="98">
        <v>34086403</v>
      </c>
      <c r="E365" s="98">
        <f t="shared" si="5"/>
        <v>3566058404</v>
      </c>
      <c r="F365" s="35"/>
    </row>
    <row r="366" spans="2:6" ht="18.75" customHeight="1">
      <c r="B366" s="12">
        <v>356</v>
      </c>
      <c r="C366" s="98">
        <v>356</v>
      </c>
      <c r="D366" s="98">
        <v>34317954</v>
      </c>
      <c r="E366" s="98">
        <f t="shared" si="5"/>
        <v>3600376358</v>
      </c>
      <c r="F366" s="35"/>
    </row>
    <row r="367" spans="2:6" ht="18.75" customHeight="1">
      <c r="B367" s="96">
        <v>357</v>
      </c>
      <c r="C367" s="98">
        <v>357</v>
      </c>
      <c r="D367" s="98">
        <v>34550420</v>
      </c>
      <c r="E367" s="98">
        <f t="shared" si="5"/>
        <v>3634926778</v>
      </c>
      <c r="F367" s="35"/>
    </row>
    <row r="368" spans="2:6" ht="18.75" customHeight="1">
      <c r="B368" s="12">
        <v>358</v>
      </c>
      <c r="C368" s="98">
        <v>358</v>
      </c>
      <c r="D368" s="98">
        <v>34783803</v>
      </c>
      <c r="E368" s="98">
        <f t="shared" si="5"/>
        <v>3669710581</v>
      </c>
      <c r="F368" s="35"/>
    </row>
    <row r="369" spans="2:6" ht="18.75" customHeight="1">
      <c r="B369" s="96">
        <v>359</v>
      </c>
      <c r="C369" s="98">
        <v>359</v>
      </c>
      <c r="D369" s="98">
        <v>35018102</v>
      </c>
      <c r="E369" s="98">
        <f t="shared" si="5"/>
        <v>3704728683</v>
      </c>
      <c r="F369" s="35"/>
    </row>
    <row r="370" spans="2:6" ht="18.75" customHeight="1">
      <c r="B370" s="12">
        <v>360</v>
      </c>
      <c r="C370" s="98">
        <v>360</v>
      </c>
      <c r="D370" s="98">
        <v>35253320</v>
      </c>
      <c r="E370" s="98">
        <f t="shared" si="5"/>
        <v>3739982003</v>
      </c>
      <c r="F370" s="35"/>
    </row>
    <row r="371" spans="2:6" ht="18.75" customHeight="1">
      <c r="B371" s="96">
        <v>361</v>
      </c>
      <c r="C371" s="98">
        <v>361</v>
      </c>
      <c r="D371" s="98">
        <v>35489461</v>
      </c>
      <c r="E371" s="98">
        <f t="shared" si="5"/>
        <v>3775471464</v>
      </c>
      <c r="F371" s="35"/>
    </row>
    <row r="372" spans="2:6" ht="18.75" customHeight="1">
      <c r="B372" s="12">
        <v>362</v>
      </c>
      <c r="C372" s="98">
        <v>362</v>
      </c>
      <c r="D372" s="98">
        <v>35726526</v>
      </c>
      <c r="E372" s="98">
        <f t="shared" si="5"/>
        <v>3811197990</v>
      </c>
      <c r="F372" s="35"/>
    </row>
    <row r="373" spans="2:6" ht="18.75" customHeight="1">
      <c r="B373" s="96">
        <v>363</v>
      </c>
      <c r="C373" s="98">
        <v>363</v>
      </c>
      <c r="D373" s="98">
        <v>35964516</v>
      </c>
      <c r="E373" s="98">
        <f t="shared" si="5"/>
        <v>3847162506</v>
      </c>
      <c r="F373" s="35"/>
    </row>
    <row r="374" spans="2:6" ht="18.75" customHeight="1">
      <c r="B374" s="12">
        <v>364</v>
      </c>
      <c r="C374" s="98">
        <v>364</v>
      </c>
      <c r="D374" s="98">
        <v>36203434</v>
      </c>
      <c r="E374" s="98">
        <f t="shared" si="5"/>
        <v>3883365940</v>
      </c>
      <c r="F374" s="35"/>
    </row>
    <row r="375" spans="2:6" ht="18.75" customHeight="1">
      <c r="B375" s="96">
        <v>365</v>
      </c>
      <c r="C375" s="98">
        <v>365</v>
      </c>
      <c r="D375" s="98">
        <v>36443279</v>
      </c>
      <c r="E375" s="98">
        <f t="shared" si="5"/>
        <v>3919809219</v>
      </c>
      <c r="F375" s="35"/>
    </row>
    <row r="376" spans="2:6" ht="18.75" customHeight="1">
      <c r="B376" s="12">
        <v>366</v>
      </c>
      <c r="C376" s="98">
        <v>366</v>
      </c>
      <c r="D376" s="98">
        <v>36684055</v>
      </c>
      <c r="E376" s="98">
        <f t="shared" si="5"/>
        <v>3956493274</v>
      </c>
      <c r="F376" s="35"/>
    </row>
    <row r="377" spans="2:6" ht="18.75" customHeight="1">
      <c r="B377" s="96">
        <v>367</v>
      </c>
      <c r="C377" s="98">
        <v>367</v>
      </c>
      <c r="D377" s="98">
        <v>36925763</v>
      </c>
      <c r="E377" s="98">
        <f t="shared" si="5"/>
        <v>3993419037</v>
      </c>
      <c r="F377" s="35"/>
    </row>
    <row r="378" spans="2:6" ht="18.75" customHeight="1">
      <c r="B378" s="12">
        <v>368</v>
      </c>
      <c r="C378" s="98">
        <v>368</v>
      </c>
      <c r="D378" s="98">
        <v>37168403</v>
      </c>
      <c r="E378" s="98">
        <f t="shared" si="5"/>
        <v>4030587440</v>
      </c>
      <c r="F378" s="35"/>
    </row>
    <row r="379" spans="2:6" ht="18.75" customHeight="1">
      <c r="B379" s="96">
        <v>369</v>
      </c>
      <c r="C379" s="98">
        <v>369</v>
      </c>
      <c r="D379" s="98">
        <v>37411977</v>
      </c>
      <c r="E379" s="98">
        <f t="shared" si="5"/>
        <v>4067999417</v>
      </c>
      <c r="F379" s="35"/>
    </row>
    <row r="380" spans="2:6" ht="18.75" customHeight="1">
      <c r="B380" s="12">
        <v>370</v>
      </c>
      <c r="C380" s="98">
        <v>370</v>
      </c>
      <c r="D380" s="98">
        <v>37656486</v>
      </c>
      <c r="E380" s="98">
        <f t="shared" si="5"/>
        <v>4105655903</v>
      </c>
      <c r="F380" s="35"/>
    </row>
    <row r="381" spans="2:6" ht="18.75" customHeight="1">
      <c r="B381" s="96">
        <v>371</v>
      </c>
      <c r="C381" s="98">
        <v>371</v>
      </c>
      <c r="D381" s="98">
        <v>37901930</v>
      </c>
      <c r="E381" s="98">
        <f t="shared" si="5"/>
        <v>4143557833</v>
      </c>
      <c r="F381" s="35"/>
    </row>
    <row r="382" spans="2:6" ht="18.75" customHeight="1">
      <c r="B382" s="12">
        <v>372</v>
      </c>
      <c r="C382" s="98">
        <v>372</v>
      </c>
      <c r="D382" s="98">
        <v>38148310</v>
      </c>
      <c r="E382" s="98">
        <f t="shared" si="5"/>
        <v>4181706143</v>
      </c>
      <c r="F382" s="35"/>
    </row>
    <row r="383" spans="2:6" ht="18.75" customHeight="1">
      <c r="B383" s="96">
        <v>373</v>
      </c>
      <c r="C383" s="98">
        <v>373</v>
      </c>
      <c r="D383" s="98">
        <v>38395628</v>
      </c>
      <c r="E383" s="98">
        <f t="shared" si="5"/>
        <v>4220101771</v>
      </c>
      <c r="F383" s="35"/>
    </row>
    <row r="384" spans="2:6" ht="18.75" customHeight="1">
      <c r="B384" s="12">
        <v>374</v>
      </c>
      <c r="C384" s="98">
        <v>374</v>
      </c>
      <c r="D384" s="98">
        <v>38643883</v>
      </c>
      <c r="E384" s="98">
        <f t="shared" si="5"/>
        <v>4258745654</v>
      </c>
      <c r="F384" s="35"/>
    </row>
    <row r="385" spans="2:6" ht="18.75" customHeight="1">
      <c r="B385" s="96">
        <v>375</v>
      </c>
      <c r="C385" s="98">
        <v>375</v>
      </c>
      <c r="D385" s="98">
        <v>38893075</v>
      </c>
      <c r="E385" s="98">
        <f t="shared" si="5"/>
        <v>4297638729</v>
      </c>
      <c r="F385" s="35"/>
    </row>
    <row r="386" spans="2:6" ht="18.75" customHeight="1">
      <c r="B386" s="12">
        <v>376</v>
      </c>
      <c r="C386" s="98">
        <v>376</v>
      </c>
      <c r="D386" s="98">
        <v>39143205</v>
      </c>
      <c r="E386" s="98">
        <f t="shared" si="5"/>
        <v>4336781934</v>
      </c>
      <c r="F386" s="35"/>
    </row>
    <row r="387" spans="2:6" ht="18.75" customHeight="1">
      <c r="B387" s="96">
        <v>377</v>
      </c>
      <c r="C387" s="98">
        <v>377</v>
      </c>
      <c r="D387" s="98">
        <v>39394273</v>
      </c>
      <c r="E387" s="98">
        <f t="shared" si="5"/>
        <v>4376176207</v>
      </c>
      <c r="F387" s="35"/>
    </row>
    <row r="388" spans="2:6" ht="18.75" customHeight="1">
      <c r="B388" s="12">
        <v>378</v>
      </c>
      <c r="C388" s="98">
        <v>378</v>
      </c>
      <c r="D388" s="98">
        <v>39646283</v>
      </c>
      <c r="E388" s="98">
        <f t="shared" si="5"/>
        <v>4415822490</v>
      </c>
      <c r="F388" s="35"/>
    </row>
    <row r="389" spans="2:6" ht="18.75" customHeight="1">
      <c r="B389" s="96">
        <v>379</v>
      </c>
      <c r="C389" s="98">
        <v>379</v>
      </c>
      <c r="D389" s="98">
        <v>39899237</v>
      </c>
      <c r="E389" s="98">
        <f t="shared" si="5"/>
        <v>4455721727</v>
      </c>
      <c r="F389" s="35"/>
    </row>
    <row r="390" spans="2:6" ht="18.75" customHeight="1">
      <c r="B390" s="12">
        <v>380</v>
      </c>
      <c r="C390" s="98">
        <v>380</v>
      </c>
      <c r="D390" s="98">
        <v>40153134</v>
      </c>
      <c r="E390" s="98">
        <f t="shared" si="5"/>
        <v>4495874861</v>
      </c>
      <c r="F390" s="35"/>
    </row>
    <row r="391" spans="2:6" ht="18.75" customHeight="1">
      <c r="B391" s="96">
        <v>381</v>
      </c>
      <c r="C391" s="98">
        <v>381</v>
      </c>
      <c r="D391" s="98">
        <v>40407973</v>
      </c>
      <c r="E391" s="98">
        <f t="shared" si="5"/>
        <v>4536282834</v>
      </c>
      <c r="F391" s="35"/>
    </row>
    <row r="392" spans="2:6" ht="18.75" customHeight="1">
      <c r="B392" s="12">
        <v>382</v>
      </c>
      <c r="C392" s="98">
        <v>382</v>
      </c>
      <c r="D392" s="98">
        <v>40663754</v>
      </c>
      <c r="E392" s="98">
        <f t="shared" si="5"/>
        <v>4576946588</v>
      </c>
      <c r="F392" s="35"/>
    </row>
    <row r="393" spans="2:6" ht="18.75" customHeight="1">
      <c r="B393" s="96">
        <v>383</v>
      </c>
      <c r="C393" s="98">
        <v>383</v>
      </c>
      <c r="D393" s="98">
        <v>40920478</v>
      </c>
      <c r="E393" s="98">
        <f t="shared" si="5"/>
        <v>4617867066</v>
      </c>
      <c r="F393" s="35"/>
    </row>
    <row r="394" spans="2:6" ht="18.75" customHeight="1">
      <c r="B394" s="12">
        <v>384</v>
      </c>
      <c r="C394" s="98">
        <v>384</v>
      </c>
      <c r="D394" s="98">
        <v>41178145</v>
      </c>
      <c r="E394" s="98">
        <f t="shared" si="5"/>
        <v>4659045211</v>
      </c>
      <c r="F394" s="35"/>
    </row>
    <row r="395" spans="2:6" ht="18.75" customHeight="1">
      <c r="B395" s="96">
        <v>385</v>
      </c>
      <c r="C395" s="98">
        <v>385</v>
      </c>
      <c r="D395" s="98">
        <v>41436756</v>
      </c>
      <c r="E395" s="98">
        <f t="shared" si="5"/>
        <v>4700481967</v>
      </c>
      <c r="F395" s="35"/>
    </row>
    <row r="396" spans="2:6" ht="18.75" customHeight="1">
      <c r="B396" s="12">
        <v>386</v>
      </c>
      <c r="C396" s="98">
        <v>386</v>
      </c>
      <c r="D396" s="98">
        <v>41696313</v>
      </c>
      <c r="E396" s="98">
        <f t="shared" si="5"/>
        <v>4742178280</v>
      </c>
      <c r="F396" s="35"/>
    </row>
    <row r="397" spans="2:6" ht="18.75" customHeight="1">
      <c r="B397" s="96">
        <v>387</v>
      </c>
      <c r="C397" s="98">
        <v>387</v>
      </c>
      <c r="D397" s="98">
        <v>41956818</v>
      </c>
      <c r="E397" s="98">
        <f t="shared" si="5"/>
        <v>4784135098</v>
      </c>
      <c r="F397" s="35"/>
    </row>
    <row r="398" spans="2:6" ht="18.75" customHeight="1">
      <c r="B398" s="12">
        <v>388</v>
      </c>
      <c r="C398" s="98">
        <v>388</v>
      </c>
      <c r="D398" s="98">
        <v>42218271</v>
      </c>
      <c r="E398" s="98">
        <f t="shared" ref="E398:E461" si="6">E397+D398</f>
        <v>4826353369</v>
      </c>
      <c r="F398" s="35"/>
    </row>
    <row r="399" spans="2:6" ht="18.75" customHeight="1">
      <c r="B399" s="96">
        <v>389</v>
      </c>
      <c r="C399" s="98">
        <v>389</v>
      </c>
      <c r="D399" s="98">
        <v>42480671</v>
      </c>
      <c r="E399" s="98">
        <f t="shared" si="6"/>
        <v>4868834040</v>
      </c>
      <c r="F399" s="35"/>
    </row>
    <row r="400" spans="2:6" ht="18.75" customHeight="1">
      <c r="B400" s="12">
        <v>390</v>
      </c>
      <c r="C400" s="98">
        <v>390</v>
      </c>
      <c r="D400" s="98">
        <v>42744018</v>
      </c>
      <c r="E400" s="98">
        <f t="shared" si="6"/>
        <v>4911578058</v>
      </c>
      <c r="F400" s="35"/>
    </row>
    <row r="401" spans="2:6" ht="18.75" customHeight="1">
      <c r="B401" s="96">
        <v>391</v>
      </c>
      <c r="C401" s="98">
        <v>391</v>
      </c>
      <c r="D401" s="98">
        <v>43008315</v>
      </c>
      <c r="E401" s="98">
        <f t="shared" si="6"/>
        <v>4954586373</v>
      </c>
      <c r="F401" s="35"/>
    </row>
    <row r="402" spans="2:6" ht="18.75" customHeight="1">
      <c r="B402" s="12">
        <v>392</v>
      </c>
      <c r="C402" s="98">
        <v>392</v>
      </c>
      <c r="D402" s="98">
        <v>43273564</v>
      </c>
      <c r="E402" s="98">
        <f t="shared" si="6"/>
        <v>4997859937</v>
      </c>
      <c r="F402" s="35"/>
    </row>
    <row r="403" spans="2:6" ht="18.75" customHeight="1">
      <c r="B403" s="96">
        <v>393</v>
      </c>
      <c r="C403" s="98">
        <v>393</v>
      </c>
      <c r="D403" s="98">
        <v>43539765</v>
      </c>
      <c r="E403" s="98">
        <f t="shared" si="6"/>
        <v>5041399702</v>
      </c>
      <c r="F403" s="35"/>
    </row>
    <row r="404" spans="2:6" ht="18.75" customHeight="1">
      <c r="B404" s="12">
        <v>394</v>
      </c>
      <c r="C404" s="98">
        <v>394</v>
      </c>
      <c r="D404" s="98">
        <v>43806918</v>
      </c>
      <c r="E404" s="98">
        <f t="shared" si="6"/>
        <v>5085206620</v>
      </c>
      <c r="F404" s="35"/>
    </row>
    <row r="405" spans="2:6" ht="18.75" customHeight="1">
      <c r="B405" s="96">
        <v>395</v>
      </c>
      <c r="C405" s="98">
        <v>395</v>
      </c>
      <c r="D405" s="98">
        <v>44075024</v>
      </c>
      <c r="E405" s="98">
        <f t="shared" si="6"/>
        <v>5129281644</v>
      </c>
      <c r="F405" s="35"/>
    </row>
    <row r="406" spans="2:6" ht="18.75" customHeight="1">
      <c r="B406" s="12">
        <v>396</v>
      </c>
      <c r="C406" s="98">
        <v>396</v>
      </c>
      <c r="D406" s="98">
        <v>44344085</v>
      </c>
      <c r="E406" s="98">
        <f t="shared" si="6"/>
        <v>5173625729</v>
      </c>
      <c r="F406" s="35"/>
    </row>
    <row r="407" spans="2:6" ht="18.75" customHeight="1">
      <c r="B407" s="96">
        <v>397</v>
      </c>
      <c r="C407" s="98">
        <v>397</v>
      </c>
      <c r="D407" s="98">
        <v>44614102</v>
      </c>
      <c r="E407" s="98">
        <f t="shared" si="6"/>
        <v>5218239831</v>
      </c>
      <c r="F407" s="35"/>
    </row>
    <row r="408" spans="2:6" ht="18.75" customHeight="1">
      <c r="B408" s="12">
        <v>398</v>
      </c>
      <c r="C408" s="98">
        <v>398</v>
      </c>
      <c r="D408" s="98">
        <v>44885074</v>
      </c>
      <c r="E408" s="98">
        <f t="shared" si="6"/>
        <v>5263124905</v>
      </c>
      <c r="F408" s="35"/>
    </row>
    <row r="409" spans="2:6" ht="18.75" customHeight="1">
      <c r="B409" s="96">
        <v>399</v>
      </c>
      <c r="C409" s="98">
        <v>399</v>
      </c>
      <c r="D409" s="98">
        <v>45157003</v>
      </c>
      <c r="E409" s="98">
        <f t="shared" si="6"/>
        <v>5308281908</v>
      </c>
      <c r="F409" s="35"/>
    </row>
    <row r="410" spans="2:6" ht="18.75" customHeight="1">
      <c r="B410" s="12">
        <v>400</v>
      </c>
      <c r="C410" s="98">
        <v>400</v>
      </c>
      <c r="D410" s="98">
        <v>45429890</v>
      </c>
      <c r="E410" s="98">
        <f t="shared" si="6"/>
        <v>5353711798</v>
      </c>
      <c r="F410" s="35"/>
    </row>
    <row r="411" spans="2:6" ht="18.75" customHeight="1">
      <c r="B411" s="96">
        <v>401</v>
      </c>
      <c r="C411" s="98">
        <v>401</v>
      </c>
      <c r="D411" s="98">
        <v>45703739</v>
      </c>
      <c r="E411" s="98">
        <f t="shared" si="6"/>
        <v>5399415537</v>
      </c>
      <c r="F411" s="35"/>
    </row>
    <row r="412" spans="2:6" ht="18.75" customHeight="1">
      <c r="B412" s="12">
        <v>402</v>
      </c>
      <c r="C412" s="98">
        <v>402</v>
      </c>
      <c r="D412" s="98">
        <v>45978560</v>
      </c>
      <c r="E412" s="98">
        <f t="shared" si="6"/>
        <v>5445394097</v>
      </c>
      <c r="F412" s="35"/>
    </row>
    <row r="413" spans="2:6" ht="18.75" customHeight="1">
      <c r="B413" s="96">
        <v>403</v>
      </c>
      <c r="C413" s="98">
        <v>403</v>
      </c>
      <c r="D413" s="98">
        <v>46254363</v>
      </c>
      <c r="E413" s="98">
        <f t="shared" si="6"/>
        <v>5491648460</v>
      </c>
      <c r="F413" s="35"/>
    </row>
    <row r="414" spans="2:6" ht="18.75" customHeight="1">
      <c r="B414" s="12">
        <v>404</v>
      </c>
      <c r="C414" s="98">
        <v>404</v>
      </c>
      <c r="D414" s="98">
        <v>46531158</v>
      </c>
      <c r="E414" s="98">
        <f t="shared" si="6"/>
        <v>5538179618</v>
      </c>
      <c r="F414" s="35"/>
    </row>
    <row r="415" spans="2:6" ht="18.75" customHeight="1">
      <c r="B415" s="96">
        <v>405</v>
      </c>
      <c r="C415" s="98">
        <v>405</v>
      </c>
      <c r="D415" s="98">
        <v>46808955</v>
      </c>
      <c r="E415" s="98">
        <f t="shared" si="6"/>
        <v>5584988573</v>
      </c>
      <c r="F415" s="35"/>
    </row>
    <row r="416" spans="2:6" ht="18.75" customHeight="1">
      <c r="B416" s="12">
        <v>406</v>
      </c>
      <c r="C416" s="98">
        <v>406</v>
      </c>
      <c r="D416" s="98">
        <v>47087764</v>
      </c>
      <c r="E416" s="98">
        <f t="shared" si="6"/>
        <v>5632076337</v>
      </c>
      <c r="F416" s="35"/>
    </row>
    <row r="417" spans="2:6" ht="18.75" customHeight="1">
      <c r="B417" s="96">
        <v>407</v>
      </c>
      <c r="C417" s="98">
        <v>407</v>
      </c>
      <c r="D417" s="98">
        <v>47367595</v>
      </c>
      <c r="E417" s="98">
        <f t="shared" si="6"/>
        <v>5679443932</v>
      </c>
      <c r="F417" s="35"/>
    </row>
    <row r="418" spans="2:6" ht="18.75" customHeight="1">
      <c r="B418" s="12">
        <v>408</v>
      </c>
      <c r="C418" s="98">
        <v>408</v>
      </c>
      <c r="D418" s="98">
        <v>47648458</v>
      </c>
      <c r="E418" s="98">
        <f t="shared" si="6"/>
        <v>5727092390</v>
      </c>
      <c r="F418" s="35"/>
    </row>
    <row r="419" spans="2:6" ht="18.75" customHeight="1">
      <c r="B419" s="96">
        <v>409</v>
      </c>
      <c r="C419" s="98">
        <v>409</v>
      </c>
      <c r="D419" s="98">
        <v>47930363</v>
      </c>
      <c r="E419" s="98">
        <f t="shared" si="6"/>
        <v>5775022753</v>
      </c>
      <c r="F419" s="35"/>
    </row>
    <row r="420" spans="2:6" ht="18.75" customHeight="1">
      <c r="B420" s="12">
        <v>410</v>
      </c>
      <c r="C420" s="98">
        <v>410</v>
      </c>
      <c r="D420" s="98">
        <v>48213320</v>
      </c>
      <c r="E420" s="98">
        <f t="shared" si="6"/>
        <v>5823236073</v>
      </c>
      <c r="F420" s="35"/>
    </row>
    <row r="421" spans="2:6" ht="18.75" customHeight="1">
      <c r="B421" s="96">
        <v>411</v>
      </c>
      <c r="C421" s="98">
        <v>411</v>
      </c>
      <c r="D421" s="98">
        <v>48497343</v>
      </c>
      <c r="E421" s="98">
        <f t="shared" si="6"/>
        <v>5871733416</v>
      </c>
      <c r="F421" s="35"/>
    </row>
    <row r="422" spans="2:6" ht="18.75" customHeight="1">
      <c r="B422" s="12">
        <v>412</v>
      </c>
      <c r="C422" s="98">
        <v>412</v>
      </c>
      <c r="D422" s="98">
        <v>48782442</v>
      </c>
      <c r="E422" s="98">
        <f t="shared" si="6"/>
        <v>5920515858</v>
      </c>
      <c r="F422" s="35"/>
    </row>
    <row r="423" spans="2:6" ht="18.75" customHeight="1">
      <c r="B423" s="96">
        <v>413</v>
      </c>
      <c r="C423" s="98">
        <v>413</v>
      </c>
      <c r="D423" s="98">
        <v>49068627</v>
      </c>
      <c r="E423" s="98">
        <f t="shared" si="6"/>
        <v>5969584485</v>
      </c>
      <c r="F423" s="35"/>
    </row>
    <row r="424" spans="2:6" ht="18.75" customHeight="1">
      <c r="B424" s="12">
        <v>414</v>
      </c>
      <c r="C424" s="98">
        <v>414</v>
      </c>
      <c r="D424" s="98">
        <v>49355908</v>
      </c>
      <c r="E424" s="98">
        <f t="shared" si="6"/>
        <v>6018940393</v>
      </c>
      <c r="F424" s="35"/>
    </row>
    <row r="425" spans="2:6" ht="18.75" customHeight="1">
      <c r="B425" s="96">
        <v>415</v>
      </c>
      <c r="C425" s="98">
        <v>415</v>
      </c>
      <c r="D425" s="98">
        <v>49644295</v>
      </c>
      <c r="E425" s="98">
        <f t="shared" si="6"/>
        <v>6068584688</v>
      </c>
      <c r="F425" s="35"/>
    </row>
    <row r="426" spans="2:6" ht="18.75" customHeight="1">
      <c r="B426" s="12">
        <v>416</v>
      </c>
      <c r="C426" s="98">
        <v>416</v>
      </c>
      <c r="D426" s="98">
        <v>49933798</v>
      </c>
      <c r="E426" s="98">
        <f t="shared" si="6"/>
        <v>6118518486</v>
      </c>
      <c r="F426" s="35"/>
    </row>
    <row r="427" spans="2:6" ht="18.75" customHeight="1">
      <c r="B427" s="96">
        <v>417</v>
      </c>
      <c r="C427" s="98">
        <v>417</v>
      </c>
      <c r="D427" s="98">
        <v>50224427</v>
      </c>
      <c r="E427" s="98">
        <f t="shared" si="6"/>
        <v>6168742913</v>
      </c>
      <c r="F427" s="35"/>
    </row>
    <row r="428" spans="2:6" ht="18.75" customHeight="1">
      <c r="B428" s="12">
        <v>418</v>
      </c>
      <c r="C428" s="98">
        <v>418</v>
      </c>
      <c r="D428" s="98">
        <v>50516192</v>
      </c>
      <c r="E428" s="98">
        <f t="shared" si="6"/>
        <v>6219259105</v>
      </c>
      <c r="F428" s="35"/>
    </row>
    <row r="429" spans="2:6" ht="18.75" customHeight="1">
      <c r="B429" s="96">
        <v>419</v>
      </c>
      <c r="C429" s="98">
        <v>419</v>
      </c>
      <c r="D429" s="98">
        <v>50809103</v>
      </c>
      <c r="E429" s="98">
        <f t="shared" si="6"/>
        <v>6270068208</v>
      </c>
      <c r="F429" s="35"/>
    </row>
    <row r="430" spans="2:6" ht="18.75" customHeight="1">
      <c r="B430" s="12">
        <v>420</v>
      </c>
      <c r="C430" s="98">
        <v>420</v>
      </c>
      <c r="D430" s="98">
        <v>51103170</v>
      </c>
      <c r="E430" s="98">
        <f t="shared" si="6"/>
        <v>6321171378</v>
      </c>
      <c r="F430" s="35"/>
    </row>
    <row r="431" spans="2:6" ht="18.75" customHeight="1">
      <c r="B431" s="96">
        <v>421</v>
      </c>
      <c r="C431" s="98">
        <v>421</v>
      </c>
      <c r="D431" s="98">
        <v>51398407</v>
      </c>
      <c r="E431" s="98">
        <f t="shared" si="6"/>
        <v>6372569785</v>
      </c>
      <c r="F431" s="35"/>
    </row>
    <row r="432" spans="2:6" ht="18.75" customHeight="1">
      <c r="B432" s="12">
        <v>422</v>
      </c>
      <c r="C432" s="98">
        <v>422</v>
      </c>
      <c r="D432" s="98">
        <v>51694824</v>
      </c>
      <c r="E432" s="98">
        <f t="shared" si="6"/>
        <v>6424264609</v>
      </c>
      <c r="F432" s="35"/>
    </row>
    <row r="433" spans="2:6" ht="18.75" customHeight="1">
      <c r="B433" s="96">
        <v>423</v>
      </c>
      <c r="C433" s="98">
        <v>423</v>
      </c>
      <c r="D433" s="98">
        <v>51992431</v>
      </c>
      <c r="E433" s="98">
        <f t="shared" si="6"/>
        <v>6476257040</v>
      </c>
      <c r="F433" s="35"/>
    </row>
    <row r="434" spans="2:6" ht="18.75" customHeight="1">
      <c r="B434" s="12">
        <v>424</v>
      </c>
      <c r="C434" s="98">
        <v>424</v>
      </c>
      <c r="D434" s="98">
        <v>52291238</v>
      </c>
      <c r="E434" s="98">
        <f t="shared" si="6"/>
        <v>6528548278</v>
      </c>
      <c r="F434" s="35"/>
    </row>
    <row r="435" spans="2:6" ht="18.75" customHeight="1">
      <c r="B435" s="96">
        <v>425</v>
      </c>
      <c r="C435" s="98">
        <v>425</v>
      </c>
      <c r="D435" s="98">
        <v>52591255</v>
      </c>
      <c r="E435" s="98">
        <f t="shared" si="6"/>
        <v>6581139533</v>
      </c>
      <c r="F435" s="35"/>
    </row>
    <row r="436" spans="2:6" ht="18.75" customHeight="1">
      <c r="B436" s="12">
        <v>426</v>
      </c>
      <c r="C436" s="98">
        <v>426</v>
      </c>
      <c r="D436" s="98">
        <v>52892492</v>
      </c>
      <c r="E436" s="98">
        <f t="shared" si="6"/>
        <v>6634032025</v>
      </c>
      <c r="F436" s="35"/>
    </row>
    <row r="437" spans="2:6" ht="18.75" customHeight="1">
      <c r="B437" s="96">
        <v>427</v>
      </c>
      <c r="C437" s="98">
        <v>427</v>
      </c>
      <c r="D437" s="98">
        <v>53194959</v>
      </c>
      <c r="E437" s="98">
        <f t="shared" si="6"/>
        <v>6687226984</v>
      </c>
      <c r="F437" s="35"/>
    </row>
    <row r="438" spans="2:6" ht="18.75" customHeight="1">
      <c r="B438" s="12">
        <v>428</v>
      </c>
      <c r="C438" s="98">
        <v>428</v>
      </c>
      <c r="D438" s="98">
        <v>53498666</v>
      </c>
      <c r="E438" s="98">
        <f t="shared" si="6"/>
        <v>6740725650</v>
      </c>
      <c r="F438" s="35"/>
    </row>
    <row r="439" spans="2:6" ht="18.75" customHeight="1">
      <c r="B439" s="96">
        <v>429</v>
      </c>
      <c r="C439" s="98">
        <v>429</v>
      </c>
      <c r="D439" s="98">
        <v>53803623</v>
      </c>
      <c r="E439" s="98">
        <f t="shared" si="6"/>
        <v>6794529273</v>
      </c>
      <c r="F439" s="35"/>
    </row>
    <row r="440" spans="2:6" ht="18.75" customHeight="1">
      <c r="B440" s="12">
        <v>430</v>
      </c>
      <c r="C440" s="98">
        <v>430</v>
      </c>
      <c r="D440" s="98">
        <v>54109840</v>
      </c>
      <c r="E440" s="98">
        <f t="shared" si="6"/>
        <v>6848639113</v>
      </c>
      <c r="F440" s="35"/>
    </row>
    <row r="441" spans="2:6" ht="18.75" customHeight="1">
      <c r="B441" s="96">
        <v>431</v>
      </c>
      <c r="C441" s="98">
        <v>431</v>
      </c>
      <c r="D441" s="98">
        <v>54417331</v>
      </c>
      <c r="E441" s="98">
        <f t="shared" si="6"/>
        <v>6903056444</v>
      </c>
      <c r="F441" s="35"/>
    </row>
    <row r="442" spans="2:6" ht="18.75" customHeight="1">
      <c r="B442" s="12">
        <v>432</v>
      </c>
      <c r="C442" s="98">
        <v>432</v>
      </c>
      <c r="D442" s="98">
        <v>54726106</v>
      </c>
      <c r="E442" s="98">
        <f t="shared" si="6"/>
        <v>6957782550</v>
      </c>
      <c r="F442" s="35"/>
    </row>
    <row r="443" spans="2:6" ht="18.75" customHeight="1">
      <c r="B443" s="96">
        <v>433</v>
      </c>
      <c r="C443" s="98">
        <v>433</v>
      </c>
      <c r="D443" s="98">
        <v>55036175</v>
      </c>
      <c r="E443" s="98">
        <f t="shared" si="6"/>
        <v>7012818725</v>
      </c>
      <c r="F443" s="35"/>
    </row>
    <row r="444" spans="2:6" ht="18.75" customHeight="1">
      <c r="B444" s="12">
        <v>434</v>
      </c>
      <c r="C444" s="98">
        <v>434</v>
      </c>
      <c r="D444" s="98">
        <v>55347548</v>
      </c>
      <c r="E444" s="98">
        <f t="shared" si="6"/>
        <v>7068166273</v>
      </c>
      <c r="F444" s="35"/>
    </row>
    <row r="445" spans="2:6" ht="18.75" customHeight="1">
      <c r="B445" s="96">
        <v>435</v>
      </c>
      <c r="C445" s="98">
        <v>435</v>
      </c>
      <c r="D445" s="98">
        <v>55660235</v>
      </c>
      <c r="E445" s="98">
        <f t="shared" si="6"/>
        <v>7123826508</v>
      </c>
      <c r="F445" s="35"/>
    </row>
    <row r="446" spans="2:6" ht="18.75" customHeight="1">
      <c r="B446" s="12">
        <v>436</v>
      </c>
      <c r="C446" s="98">
        <v>436</v>
      </c>
      <c r="D446" s="98">
        <v>55974246</v>
      </c>
      <c r="E446" s="98">
        <f t="shared" si="6"/>
        <v>7179800754</v>
      </c>
      <c r="F446" s="35"/>
    </row>
    <row r="447" spans="2:6" ht="18.75" customHeight="1">
      <c r="B447" s="96">
        <v>437</v>
      </c>
      <c r="C447" s="98">
        <v>437</v>
      </c>
      <c r="D447" s="98">
        <v>56289591</v>
      </c>
      <c r="E447" s="98">
        <f t="shared" si="6"/>
        <v>7236090345</v>
      </c>
      <c r="F447" s="35"/>
    </row>
    <row r="448" spans="2:6" ht="18.75" customHeight="1">
      <c r="B448" s="12">
        <v>438</v>
      </c>
      <c r="C448" s="98">
        <v>438</v>
      </c>
      <c r="D448" s="98">
        <v>56606280</v>
      </c>
      <c r="E448" s="98">
        <f t="shared" si="6"/>
        <v>7292696625</v>
      </c>
      <c r="F448" s="35"/>
    </row>
    <row r="449" spans="2:6" ht="18.75" customHeight="1">
      <c r="B449" s="96">
        <v>439</v>
      </c>
      <c r="C449" s="98">
        <v>439</v>
      </c>
      <c r="D449" s="98">
        <v>56924323</v>
      </c>
      <c r="E449" s="98">
        <f t="shared" si="6"/>
        <v>7349620948</v>
      </c>
      <c r="F449" s="35"/>
    </row>
    <row r="450" spans="2:6" ht="18.75" customHeight="1">
      <c r="B450" s="12">
        <v>440</v>
      </c>
      <c r="C450" s="98">
        <v>440</v>
      </c>
      <c r="D450" s="98">
        <v>57243730</v>
      </c>
      <c r="E450" s="98">
        <f t="shared" si="6"/>
        <v>7406864678</v>
      </c>
      <c r="F450" s="35"/>
    </row>
    <row r="451" spans="2:6" ht="18.75" customHeight="1">
      <c r="B451" s="96">
        <v>441</v>
      </c>
      <c r="C451" s="98">
        <v>441</v>
      </c>
      <c r="D451" s="98">
        <v>57564515</v>
      </c>
      <c r="E451" s="98">
        <f t="shared" si="6"/>
        <v>7464429193</v>
      </c>
      <c r="F451" s="35"/>
    </row>
    <row r="452" spans="2:6" ht="18.75" customHeight="1">
      <c r="B452" s="12">
        <v>442</v>
      </c>
      <c r="C452" s="98">
        <v>442</v>
      </c>
      <c r="D452" s="98">
        <v>57886688</v>
      </c>
      <c r="E452" s="98">
        <f t="shared" si="6"/>
        <v>7522315881</v>
      </c>
      <c r="F452" s="35"/>
    </row>
    <row r="453" spans="2:6" ht="18.75" customHeight="1">
      <c r="B453" s="96">
        <v>443</v>
      </c>
      <c r="C453" s="98">
        <v>443</v>
      </c>
      <c r="D453" s="98">
        <v>58210259</v>
      </c>
      <c r="E453" s="98">
        <f t="shared" si="6"/>
        <v>7580526140</v>
      </c>
      <c r="F453" s="35"/>
    </row>
    <row r="454" spans="2:6" ht="18.75" customHeight="1">
      <c r="B454" s="12">
        <v>444</v>
      </c>
      <c r="C454" s="98">
        <v>444</v>
      </c>
      <c r="D454" s="98">
        <v>58535238</v>
      </c>
      <c r="E454" s="98">
        <f t="shared" si="6"/>
        <v>7639061378</v>
      </c>
      <c r="F454" s="35"/>
    </row>
    <row r="455" spans="2:6" ht="18.75" customHeight="1">
      <c r="B455" s="96">
        <v>445</v>
      </c>
      <c r="C455" s="98">
        <v>445</v>
      </c>
      <c r="D455" s="98">
        <v>58861635</v>
      </c>
      <c r="E455" s="98">
        <f t="shared" si="6"/>
        <v>7697923013</v>
      </c>
      <c r="F455" s="35"/>
    </row>
    <row r="456" spans="2:6" ht="18.75" customHeight="1">
      <c r="B456" s="12">
        <v>446</v>
      </c>
      <c r="C456" s="98">
        <v>446</v>
      </c>
      <c r="D456" s="98">
        <v>59189460</v>
      </c>
      <c r="E456" s="98">
        <f t="shared" si="6"/>
        <v>7757112473</v>
      </c>
      <c r="F456" s="35"/>
    </row>
    <row r="457" spans="2:6" ht="18.75" customHeight="1">
      <c r="B457" s="96">
        <v>447</v>
      </c>
      <c r="C457" s="98">
        <v>447</v>
      </c>
      <c r="D457" s="98">
        <v>59518723</v>
      </c>
      <c r="E457" s="98">
        <f t="shared" si="6"/>
        <v>7816631196</v>
      </c>
      <c r="F457" s="35"/>
    </row>
    <row r="458" spans="2:6" ht="18.75" customHeight="1">
      <c r="B458" s="12">
        <v>448</v>
      </c>
      <c r="C458" s="98">
        <v>448</v>
      </c>
      <c r="D458" s="98">
        <v>59849434</v>
      </c>
      <c r="E458" s="98">
        <f t="shared" si="6"/>
        <v>7876480630</v>
      </c>
      <c r="F458" s="35"/>
    </row>
    <row r="459" spans="2:6" ht="18.75" customHeight="1">
      <c r="B459" s="96">
        <v>449</v>
      </c>
      <c r="C459" s="98">
        <v>449</v>
      </c>
      <c r="D459" s="98">
        <v>60181603</v>
      </c>
      <c r="E459" s="98">
        <f t="shared" si="6"/>
        <v>7936662233</v>
      </c>
      <c r="F459" s="35"/>
    </row>
    <row r="460" spans="2:6" ht="18.75" customHeight="1">
      <c r="B460" s="12">
        <v>450</v>
      </c>
      <c r="C460" s="98">
        <v>450</v>
      </c>
      <c r="D460" s="98">
        <v>60515240</v>
      </c>
      <c r="E460" s="98">
        <f t="shared" si="6"/>
        <v>7997177473</v>
      </c>
      <c r="F460" s="35"/>
    </row>
    <row r="461" spans="2:6" ht="18.75" customHeight="1">
      <c r="B461" s="96">
        <v>451</v>
      </c>
      <c r="C461" s="98">
        <v>451</v>
      </c>
      <c r="D461" s="98">
        <v>60850359</v>
      </c>
      <c r="E461" s="98">
        <f t="shared" si="6"/>
        <v>8058027832</v>
      </c>
      <c r="F461" s="35"/>
    </row>
    <row r="462" spans="2:6" ht="18.75" customHeight="1">
      <c r="B462" s="12">
        <v>452</v>
      </c>
      <c r="C462" s="98">
        <v>452</v>
      </c>
      <c r="D462" s="98">
        <v>61186970</v>
      </c>
      <c r="E462" s="98">
        <f t="shared" ref="E462:E510" si="7">E461+D462</f>
        <v>8119214802</v>
      </c>
      <c r="F462" s="35"/>
    </row>
    <row r="463" spans="2:6" ht="18.75" customHeight="1">
      <c r="B463" s="96">
        <v>453</v>
      </c>
      <c r="C463" s="98">
        <v>453</v>
      </c>
      <c r="D463" s="98">
        <v>61525083</v>
      </c>
      <c r="E463" s="98">
        <f t="shared" si="7"/>
        <v>8180739885</v>
      </c>
      <c r="F463" s="35"/>
    </row>
    <row r="464" spans="2:6" ht="18.75" customHeight="1">
      <c r="B464" s="12">
        <v>454</v>
      </c>
      <c r="C464" s="98">
        <v>454</v>
      </c>
      <c r="D464" s="98">
        <v>61864708</v>
      </c>
      <c r="E464" s="98">
        <f t="shared" si="7"/>
        <v>8242604593</v>
      </c>
      <c r="F464" s="35"/>
    </row>
    <row r="465" spans="2:6" ht="18.75" customHeight="1">
      <c r="B465" s="96">
        <v>455</v>
      </c>
      <c r="C465" s="98">
        <v>455</v>
      </c>
      <c r="D465" s="98">
        <v>62205855</v>
      </c>
      <c r="E465" s="98">
        <f t="shared" si="7"/>
        <v>8304810448</v>
      </c>
      <c r="F465" s="35"/>
    </row>
    <row r="466" spans="2:6" ht="18.75" customHeight="1">
      <c r="B466" s="12">
        <v>456</v>
      </c>
      <c r="C466" s="98">
        <v>456</v>
      </c>
      <c r="D466" s="98">
        <v>62548534</v>
      </c>
      <c r="E466" s="98">
        <f t="shared" si="7"/>
        <v>8367358982</v>
      </c>
      <c r="F466" s="35"/>
    </row>
    <row r="467" spans="2:6" ht="18.75" customHeight="1">
      <c r="B467" s="96">
        <v>457</v>
      </c>
      <c r="C467" s="98">
        <v>457</v>
      </c>
      <c r="D467" s="98">
        <v>62892755</v>
      </c>
      <c r="E467" s="98">
        <f t="shared" si="7"/>
        <v>8430251737</v>
      </c>
      <c r="F467" s="35"/>
    </row>
    <row r="468" spans="2:6" ht="18.75" customHeight="1">
      <c r="B468" s="12">
        <v>458</v>
      </c>
      <c r="C468" s="98">
        <v>458</v>
      </c>
      <c r="D468" s="98">
        <v>63238528</v>
      </c>
      <c r="E468" s="98">
        <f t="shared" si="7"/>
        <v>8493490265</v>
      </c>
      <c r="F468" s="35"/>
    </row>
    <row r="469" spans="2:6" ht="18.75" customHeight="1">
      <c r="B469" s="96">
        <v>459</v>
      </c>
      <c r="C469" s="98">
        <v>459</v>
      </c>
      <c r="D469" s="98">
        <v>63585863</v>
      </c>
      <c r="E469" s="98">
        <f t="shared" si="7"/>
        <v>8557076128</v>
      </c>
      <c r="F469" s="35"/>
    </row>
    <row r="470" spans="2:6" ht="18.75" customHeight="1">
      <c r="B470" s="12">
        <v>460</v>
      </c>
      <c r="C470" s="98">
        <v>460</v>
      </c>
      <c r="D470" s="98">
        <v>63934770</v>
      </c>
      <c r="E470" s="98">
        <f t="shared" si="7"/>
        <v>8621010898</v>
      </c>
      <c r="F470" s="35"/>
    </row>
    <row r="471" spans="2:6" ht="18.75" customHeight="1">
      <c r="B471" s="96">
        <v>461</v>
      </c>
      <c r="C471" s="98">
        <v>461</v>
      </c>
      <c r="D471" s="98">
        <v>64285263</v>
      </c>
      <c r="E471" s="98">
        <f t="shared" si="7"/>
        <v>8685296161</v>
      </c>
      <c r="F471" s="35"/>
    </row>
    <row r="472" spans="2:6" ht="18.75" customHeight="1">
      <c r="B472" s="12">
        <v>462</v>
      </c>
      <c r="C472" s="98">
        <v>462</v>
      </c>
      <c r="D472" s="98">
        <v>64637352</v>
      </c>
      <c r="E472" s="98">
        <f t="shared" si="7"/>
        <v>8749933513</v>
      </c>
      <c r="F472" s="35"/>
    </row>
    <row r="473" spans="2:6" ht="18.75" customHeight="1">
      <c r="B473" s="96">
        <v>463</v>
      </c>
      <c r="C473" s="98">
        <v>463</v>
      </c>
      <c r="D473" s="98">
        <v>64991047</v>
      </c>
      <c r="E473" s="98">
        <f t="shared" si="7"/>
        <v>8814924560</v>
      </c>
      <c r="F473" s="35"/>
    </row>
    <row r="474" spans="2:6" ht="18.75" customHeight="1">
      <c r="B474" s="12">
        <v>464</v>
      </c>
      <c r="C474" s="98">
        <v>464</v>
      </c>
      <c r="D474" s="98">
        <v>65346358</v>
      </c>
      <c r="E474" s="98">
        <f t="shared" si="7"/>
        <v>8880270918</v>
      </c>
      <c r="F474" s="35"/>
    </row>
    <row r="475" spans="2:6" ht="18.75" customHeight="1">
      <c r="B475" s="96">
        <v>465</v>
      </c>
      <c r="C475" s="98">
        <v>465</v>
      </c>
      <c r="D475" s="98">
        <v>65703295</v>
      </c>
      <c r="E475" s="98">
        <f t="shared" si="7"/>
        <v>8945974213</v>
      </c>
      <c r="F475" s="35"/>
    </row>
    <row r="476" spans="2:6" ht="18.75" customHeight="1">
      <c r="B476" s="12">
        <v>466</v>
      </c>
      <c r="C476" s="98">
        <v>466</v>
      </c>
      <c r="D476" s="98">
        <v>66061868</v>
      </c>
      <c r="E476" s="98">
        <f t="shared" si="7"/>
        <v>9012036081</v>
      </c>
      <c r="F476" s="35"/>
    </row>
    <row r="477" spans="2:6" ht="18.75" customHeight="1">
      <c r="B477" s="96">
        <v>467</v>
      </c>
      <c r="C477" s="98">
        <v>467</v>
      </c>
      <c r="D477" s="98">
        <v>66422087</v>
      </c>
      <c r="E477" s="98">
        <f t="shared" si="7"/>
        <v>9078458168</v>
      </c>
      <c r="F477" s="35"/>
    </row>
    <row r="478" spans="2:6" ht="18.75" customHeight="1">
      <c r="B478" s="12">
        <v>468</v>
      </c>
      <c r="C478" s="98">
        <v>468</v>
      </c>
      <c r="D478" s="98">
        <v>66783962</v>
      </c>
      <c r="E478" s="98">
        <f t="shared" si="7"/>
        <v>9145242130</v>
      </c>
      <c r="F478" s="35"/>
    </row>
    <row r="479" spans="2:6" ht="18.75" customHeight="1">
      <c r="B479" s="96">
        <v>469</v>
      </c>
      <c r="C479" s="98">
        <v>469</v>
      </c>
      <c r="D479" s="98">
        <v>67147503</v>
      </c>
      <c r="E479" s="98">
        <f t="shared" si="7"/>
        <v>9212389633</v>
      </c>
      <c r="F479" s="35"/>
    </row>
    <row r="480" spans="2:6" ht="18.75" customHeight="1">
      <c r="B480" s="12">
        <v>470</v>
      </c>
      <c r="C480" s="98">
        <v>470</v>
      </c>
      <c r="D480" s="98">
        <v>67512720</v>
      </c>
      <c r="E480" s="98">
        <f t="shared" si="7"/>
        <v>9279902353</v>
      </c>
      <c r="F480" s="35"/>
    </row>
    <row r="481" spans="2:6" ht="18.75" customHeight="1">
      <c r="B481" s="96">
        <v>471</v>
      </c>
      <c r="C481" s="98">
        <v>471</v>
      </c>
      <c r="D481" s="98">
        <v>67879627</v>
      </c>
      <c r="E481" s="98">
        <f t="shared" si="7"/>
        <v>9347781980</v>
      </c>
      <c r="F481" s="35"/>
    </row>
    <row r="482" spans="2:6" ht="18.75" customHeight="1">
      <c r="B482" s="12">
        <v>472</v>
      </c>
      <c r="C482" s="98">
        <v>472</v>
      </c>
      <c r="D482" s="98">
        <v>68248234</v>
      </c>
      <c r="E482" s="98">
        <f t="shared" si="7"/>
        <v>9416030214</v>
      </c>
      <c r="F482" s="35"/>
    </row>
    <row r="483" spans="2:6" ht="18.75" customHeight="1">
      <c r="B483" s="96">
        <v>473</v>
      </c>
      <c r="C483" s="98">
        <v>473</v>
      </c>
      <c r="D483" s="98">
        <v>68618551</v>
      </c>
      <c r="E483" s="98">
        <f t="shared" si="7"/>
        <v>9484648765</v>
      </c>
      <c r="F483" s="35"/>
    </row>
    <row r="484" spans="2:6" ht="18.75" customHeight="1">
      <c r="B484" s="12">
        <v>474</v>
      </c>
      <c r="C484" s="98">
        <v>474</v>
      </c>
      <c r="D484" s="98">
        <v>68990588</v>
      </c>
      <c r="E484" s="98">
        <f t="shared" si="7"/>
        <v>9553639353</v>
      </c>
      <c r="F484" s="35"/>
    </row>
    <row r="485" spans="2:6" ht="18.75" customHeight="1">
      <c r="B485" s="96">
        <v>475</v>
      </c>
      <c r="C485" s="98">
        <v>475</v>
      </c>
      <c r="D485" s="98">
        <v>69364355</v>
      </c>
      <c r="E485" s="98">
        <f t="shared" si="7"/>
        <v>9623003708</v>
      </c>
      <c r="F485" s="35"/>
    </row>
    <row r="486" spans="2:6" ht="18.75" customHeight="1">
      <c r="B486" s="12">
        <v>476</v>
      </c>
      <c r="C486" s="98">
        <v>476</v>
      </c>
      <c r="D486" s="98">
        <v>69739862</v>
      </c>
      <c r="E486" s="98">
        <f t="shared" si="7"/>
        <v>9692743570</v>
      </c>
      <c r="F486" s="35"/>
    </row>
    <row r="487" spans="2:6" ht="18.75" customHeight="1">
      <c r="B487" s="96">
        <v>477</v>
      </c>
      <c r="C487" s="98">
        <v>477</v>
      </c>
      <c r="D487" s="98">
        <v>70117119</v>
      </c>
      <c r="E487" s="98">
        <f t="shared" si="7"/>
        <v>9762860689</v>
      </c>
      <c r="F487" s="35"/>
    </row>
    <row r="488" spans="2:6" ht="18.75" customHeight="1">
      <c r="B488" s="12">
        <v>478</v>
      </c>
      <c r="C488" s="98">
        <v>478</v>
      </c>
      <c r="D488" s="98">
        <v>70496136</v>
      </c>
      <c r="E488" s="98">
        <f t="shared" si="7"/>
        <v>9833356825</v>
      </c>
      <c r="F488" s="35"/>
    </row>
    <row r="489" spans="2:6" ht="18.75" customHeight="1">
      <c r="B489" s="96">
        <v>479</v>
      </c>
      <c r="C489" s="98">
        <v>479</v>
      </c>
      <c r="D489" s="98">
        <v>70876923</v>
      </c>
      <c r="E489" s="98">
        <f t="shared" si="7"/>
        <v>9904233748</v>
      </c>
      <c r="F489" s="35"/>
    </row>
    <row r="490" spans="2:6" ht="18.75" customHeight="1">
      <c r="B490" s="12">
        <v>480</v>
      </c>
      <c r="C490" s="98">
        <v>480</v>
      </c>
      <c r="D490" s="98">
        <v>71259490</v>
      </c>
      <c r="E490" s="98">
        <f t="shared" si="7"/>
        <v>9975493238</v>
      </c>
      <c r="F490" s="35"/>
    </row>
    <row r="491" spans="2:6" ht="18.75" customHeight="1">
      <c r="B491" s="96">
        <v>481</v>
      </c>
      <c r="C491" s="98">
        <v>481</v>
      </c>
      <c r="D491" s="98">
        <v>71643838</v>
      </c>
      <c r="E491" s="98">
        <f t="shared" si="7"/>
        <v>10047137076</v>
      </c>
      <c r="F491" s="35"/>
    </row>
    <row r="492" spans="2:6" ht="18.75" customHeight="1">
      <c r="B492" s="12">
        <v>482</v>
      </c>
      <c r="C492" s="98">
        <v>482</v>
      </c>
      <c r="D492" s="98">
        <v>72029968</v>
      </c>
      <c r="E492" s="98">
        <f t="shared" si="7"/>
        <v>10119167044</v>
      </c>
      <c r="F492" s="35"/>
    </row>
    <row r="493" spans="2:6" ht="18.75" customHeight="1">
      <c r="B493" s="96">
        <v>483</v>
      </c>
      <c r="C493" s="98">
        <v>483</v>
      </c>
      <c r="D493" s="98">
        <v>72417881</v>
      </c>
      <c r="E493" s="98">
        <f t="shared" si="7"/>
        <v>10191584925</v>
      </c>
      <c r="F493" s="35"/>
    </row>
    <row r="494" spans="2:6" ht="18.75" customHeight="1">
      <c r="B494" s="12">
        <v>484</v>
      </c>
      <c r="C494" s="98">
        <v>484</v>
      </c>
      <c r="D494" s="98">
        <v>72807578</v>
      </c>
      <c r="E494" s="98">
        <f t="shared" si="7"/>
        <v>10264392503</v>
      </c>
      <c r="F494" s="35"/>
    </row>
    <row r="495" spans="2:6" ht="18.75" customHeight="1">
      <c r="B495" s="96">
        <v>485</v>
      </c>
      <c r="C495" s="98">
        <v>485</v>
      </c>
      <c r="D495" s="98">
        <v>73199060</v>
      </c>
      <c r="E495" s="98">
        <f t="shared" si="7"/>
        <v>10337591563</v>
      </c>
      <c r="F495" s="35"/>
    </row>
    <row r="496" spans="2:6" ht="18.75" customHeight="1">
      <c r="B496" s="12">
        <v>486</v>
      </c>
      <c r="C496" s="98">
        <v>486</v>
      </c>
      <c r="D496" s="98">
        <v>73592328</v>
      </c>
      <c r="E496" s="98">
        <f t="shared" si="7"/>
        <v>10411183891</v>
      </c>
      <c r="F496" s="35"/>
    </row>
    <row r="497" spans="2:6" ht="18.75" customHeight="1">
      <c r="B497" s="96">
        <v>487</v>
      </c>
      <c r="C497" s="98">
        <v>487</v>
      </c>
      <c r="D497" s="98">
        <v>73987383</v>
      </c>
      <c r="E497" s="98">
        <f t="shared" si="7"/>
        <v>10485171274</v>
      </c>
      <c r="F497" s="35"/>
    </row>
    <row r="498" spans="2:6" ht="18.75" customHeight="1">
      <c r="B498" s="12">
        <v>488</v>
      </c>
      <c r="C498" s="98">
        <v>488</v>
      </c>
      <c r="D498" s="98">
        <v>74384226</v>
      </c>
      <c r="E498" s="98">
        <f t="shared" si="7"/>
        <v>10559555500</v>
      </c>
      <c r="F498" s="35"/>
    </row>
    <row r="499" spans="2:6" ht="18.75" customHeight="1">
      <c r="B499" s="96">
        <v>489</v>
      </c>
      <c r="C499" s="98">
        <v>489</v>
      </c>
      <c r="D499" s="98">
        <v>74782858</v>
      </c>
      <c r="E499" s="98">
        <f t="shared" si="7"/>
        <v>10634338358</v>
      </c>
      <c r="F499" s="35"/>
    </row>
    <row r="500" spans="2:6" ht="18.75" customHeight="1">
      <c r="B500" s="12">
        <v>490</v>
      </c>
      <c r="C500" s="98">
        <v>490</v>
      </c>
      <c r="D500" s="98">
        <v>75183280</v>
      </c>
      <c r="E500" s="98">
        <f t="shared" si="7"/>
        <v>10709521638</v>
      </c>
      <c r="F500" s="35"/>
    </row>
    <row r="501" spans="2:6" ht="18.75" customHeight="1">
      <c r="B501" s="96">
        <v>491</v>
      </c>
      <c r="C501" s="98">
        <v>491</v>
      </c>
      <c r="D501" s="98">
        <v>75585493</v>
      </c>
      <c r="E501" s="98">
        <f t="shared" si="7"/>
        <v>10785107131</v>
      </c>
      <c r="F501" s="35"/>
    </row>
    <row r="502" spans="2:6" ht="18.75" customHeight="1">
      <c r="B502" s="12">
        <v>492</v>
      </c>
      <c r="C502" s="98">
        <v>492</v>
      </c>
      <c r="D502" s="98">
        <v>75989498</v>
      </c>
      <c r="E502" s="98">
        <f t="shared" si="7"/>
        <v>10861096629</v>
      </c>
      <c r="F502" s="35"/>
    </row>
    <row r="503" spans="2:6" ht="18.75" customHeight="1">
      <c r="B503" s="96">
        <v>493</v>
      </c>
      <c r="C503" s="98">
        <v>493</v>
      </c>
      <c r="D503" s="98">
        <v>76395296</v>
      </c>
      <c r="E503" s="98">
        <f t="shared" si="7"/>
        <v>10937491925</v>
      </c>
      <c r="F503" s="35"/>
    </row>
    <row r="504" spans="2:6" ht="18.75" customHeight="1">
      <c r="B504" s="12">
        <v>494</v>
      </c>
      <c r="C504" s="98">
        <v>494</v>
      </c>
      <c r="D504" s="98">
        <v>76802888</v>
      </c>
      <c r="E504" s="98">
        <f t="shared" si="7"/>
        <v>11014294813</v>
      </c>
      <c r="F504" s="35"/>
    </row>
    <row r="505" spans="2:6" ht="18.75" customHeight="1">
      <c r="B505" s="96">
        <v>495</v>
      </c>
      <c r="C505" s="98">
        <v>495</v>
      </c>
      <c r="D505" s="98">
        <v>77212275</v>
      </c>
      <c r="E505" s="98">
        <f t="shared" si="7"/>
        <v>11091507088</v>
      </c>
      <c r="F505" s="35"/>
    </row>
    <row r="506" spans="2:6" ht="18.75" customHeight="1">
      <c r="B506" s="12">
        <v>496</v>
      </c>
      <c r="C506" s="98">
        <v>496</v>
      </c>
      <c r="D506" s="98">
        <v>77623458</v>
      </c>
      <c r="E506" s="98">
        <f t="shared" si="7"/>
        <v>11169130546</v>
      </c>
      <c r="F506" s="35"/>
    </row>
    <row r="507" spans="2:6" ht="18.75" customHeight="1">
      <c r="B507" s="96">
        <v>497</v>
      </c>
      <c r="C507" s="98">
        <v>497</v>
      </c>
      <c r="D507" s="98">
        <v>78036438</v>
      </c>
      <c r="E507" s="98">
        <f t="shared" si="7"/>
        <v>11247166984</v>
      </c>
      <c r="F507" s="35"/>
    </row>
    <row r="508" spans="2:6" ht="18.75" customHeight="1">
      <c r="B508" s="12">
        <v>498</v>
      </c>
      <c r="C508" s="98">
        <v>498</v>
      </c>
      <c r="D508" s="98">
        <v>78451216</v>
      </c>
      <c r="E508" s="98">
        <f t="shared" si="7"/>
        <v>11325618200</v>
      </c>
      <c r="F508" s="35"/>
    </row>
    <row r="509" spans="2:6" ht="18.75" customHeight="1">
      <c r="B509" s="96">
        <v>499</v>
      </c>
      <c r="C509" s="98">
        <v>499</v>
      </c>
      <c r="D509" s="98">
        <v>78867793</v>
      </c>
      <c r="E509" s="98">
        <f t="shared" si="7"/>
        <v>11404485993</v>
      </c>
      <c r="F509" s="35"/>
    </row>
    <row r="510" spans="2:6" ht="18.75" customHeight="1">
      <c r="B510" s="12">
        <v>500</v>
      </c>
      <c r="C510" s="98">
        <v>500</v>
      </c>
      <c r="D510" s="98">
        <v>79286170</v>
      </c>
      <c r="E510" s="98">
        <f t="shared" si="7"/>
        <v>11483772163</v>
      </c>
      <c r="F510" s="35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98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98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98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98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98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98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98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98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98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98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98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98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98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98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98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98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98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98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98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98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98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98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98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98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98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98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98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98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98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98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98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98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98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98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98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98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98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98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98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98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98">
        <v>54</v>
      </c>
      <c r="E51" s="7"/>
    </row>
    <row r="52" spans="1:38" ht="18.75" customHeight="1">
      <c r="B52" s="7">
        <v>42</v>
      </c>
      <c r="C52" s="7">
        <v>42</v>
      </c>
      <c r="D52" s="98">
        <v>55</v>
      </c>
      <c r="E52" s="7"/>
    </row>
    <row r="53" spans="1:38" ht="18.75" customHeight="1">
      <c r="B53" s="5">
        <v>43</v>
      </c>
      <c r="C53" s="7">
        <v>43</v>
      </c>
      <c r="D53" s="98">
        <v>55</v>
      </c>
      <c r="E53" s="7"/>
    </row>
    <row r="54" spans="1:38" ht="18.75" customHeight="1">
      <c r="B54" s="7">
        <v>44</v>
      </c>
      <c r="C54" s="7">
        <v>44</v>
      </c>
      <c r="D54" s="98">
        <v>56</v>
      </c>
      <c r="E54" s="7"/>
    </row>
    <row r="55" spans="1:38" ht="18.75" customHeight="1">
      <c r="B55" s="5">
        <v>45</v>
      </c>
      <c r="C55" s="7">
        <v>45</v>
      </c>
      <c r="D55" s="98">
        <v>56</v>
      </c>
      <c r="E55" s="7"/>
    </row>
    <row r="56" spans="1:38" ht="18.75" customHeight="1">
      <c r="B56" s="7">
        <v>46</v>
      </c>
      <c r="C56" s="7">
        <v>46</v>
      </c>
      <c r="D56" s="98">
        <v>57</v>
      </c>
      <c r="E56" s="7"/>
    </row>
    <row r="57" spans="1:38" ht="18.75" customHeight="1">
      <c r="B57" s="5">
        <v>47</v>
      </c>
      <c r="C57" s="7">
        <v>47</v>
      </c>
      <c r="D57" s="98">
        <v>57</v>
      </c>
      <c r="E57" s="7"/>
    </row>
    <row r="58" spans="1:38" ht="18.75" customHeight="1">
      <c r="B58" s="7">
        <v>48</v>
      </c>
      <c r="C58" s="7">
        <v>48</v>
      </c>
      <c r="D58" s="98">
        <v>58</v>
      </c>
      <c r="E58" s="7"/>
    </row>
    <row r="59" spans="1:38" ht="18.75" customHeight="1">
      <c r="B59" s="5">
        <v>49</v>
      </c>
      <c r="C59" s="7">
        <v>49</v>
      </c>
      <c r="D59" s="98">
        <v>58</v>
      </c>
      <c r="E59" s="7"/>
    </row>
    <row r="60" spans="1:38" ht="18.75" customHeight="1">
      <c r="B60" s="7">
        <v>50</v>
      </c>
      <c r="C60" s="7">
        <v>50</v>
      </c>
      <c r="D60" s="98">
        <v>59</v>
      </c>
      <c r="E60" s="7"/>
    </row>
    <row r="61" spans="1:38" ht="18.75" customHeight="1">
      <c r="B61" s="5">
        <v>51</v>
      </c>
      <c r="C61" s="7">
        <v>51</v>
      </c>
      <c r="D61" s="98">
        <v>59</v>
      </c>
      <c r="E61" s="7"/>
    </row>
    <row r="62" spans="1:38" ht="18.75" customHeight="1">
      <c r="B62" s="7">
        <v>52</v>
      </c>
      <c r="C62" s="7">
        <v>52</v>
      </c>
      <c r="D62" s="98">
        <v>60</v>
      </c>
      <c r="E62" s="7"/>
    </row>
    <row r="63" spans="1:38" ht="18.75" customHeight="1">
      <c r="B63" s="5">
        <v>53</v>
      </c>
      <c r="C63" s="7">
        <v>53</v>
      </c>
      <c r="D63" s="98">
        <v>60</v>
      </c>
      <c r="E63" s="7"/>
    </row>
    <row r="64" spans="1:38" ht="18.75" customHeight="1">
      <c r="B64" s="7">
        <v>54</v>
      </c>
      <c r="C64" s="7">
        <v>54</v>
      </c>
      <c r="D64" s="98">
        <v>61</v>
      </c>
      <c r="E64" s="7"/>
    </row>
    <row r="65" spans="2:5" ht="18.75" customHeight="1">
      <c r="B65" s="5">
        <v>55</v>
      </c>
      <c r="C65" s="7">
        <v>55</v>
      </c>
      <c r="D65" s="98">
        <v>61</v>
      </c>
      <c r="E65" s="7"/>
    </row>
    <row r="66" spans="2:5" ht="18.75" customHeight="1">
      <c r="B66" s="7">
        <v>56</v>
      </c>
      <c r="C66" s="7">
        <v>56</v>
      </c>
      <c r="D66" s="98">
        <v>62</v>
      </c>
      <c r="E66" s="7"/>
    </row>
    <row r="67" spans="2:5" ht="18.75" customHeight="1">
      <c r="B67" s="5">
        <v>57</v>
      </c>
      <c r="C67" s="7">
        <v>57</v>
      </c>
      <c r="D67" s="98">
        <v>62</v>
      </c>
      <c r="E67" s="7"/>
    </row>
    <row r="68" spans="2:5" ht="18.75" customHeight="1">
      <c r="B68" s="7">
        <v>58</v>
      </c>
      <c r="C68" s="7">
        <v>58</v>
      </c>
      <c r="D68" s="98">
        <v>63</v>
      </c>
      <c r="E68" s="7"/>
    </row>
    <row r="69" spans="2:5" ht="18.75" customHeight="1">
      <c r="B69" s="5">
        <v>59</v>
      </c>
      <c r="C69" s="7">
        <v>59</v>
      </c>
      <c r="D69" s="98">
        <v>63</v>
      </c>
      <c r="E69" s="7"/>
    </row>
    <row r="70" spans="2:5" ht="18.75" customHeight="1">
      <c r="B70" s="7">
        <v>60</v>
      </c>
      <c r="C70" s="7">
        <v>60</v>
      </c>
      <c r="D70" s="98">
        <v>66</v>
      </c>
      <c r="E70" s="7"/>
    </row>
    <row r="71" spans="2:5" ht="18.75" customHeight="1">
      <c r="B71" s="5">
        <v>61</v>
      </c>
      <c r="C71" s="7">
        <v>61</v>
      </c>
      <c r="D71" s="98">
        <v>66</v>
      </c>
      <c r="E71" s="7"/>
    </row>
    <row r="72" spans="2:5" ht="18.75" customHeight="1">
      <c r="B72" s="7">
        <v>62</v>
      </c>
      <c r="C72" s="7">
        <v>62</v>
      </c>
      <c r="D72" s="98">
        <v>67</v>
      </c>
      <c r="E72" s="7"/>
    </row>
    <row r="73" spans="2:5" ht="18.75" customHeight="1">
      <c r="B73" s="5">
        <v>63</v>
      </c>
      <c r="C73" s="7">
        <v>63</v>
      </c>
      <c r="D73" s="98">
        <v>67</v>
      </c>
      <c r="E73" s="7"/>
    </row>
    <row r="74" spans="2:5" ht="18.75" customHeight="1">
      <c r="B74" s="7">
        <v>64</v>
      </c>
      <c r="C74" s="7">
        <v>64</v>
      </c>
      <c r="D74" s="98">
        <v>68</v>
      </c>
      <c r="E74" s="7"/>
    </row>
    <row r="75" spans="2:5" ht="18.75" customHeight="1">
      <c r="B75" s="5">
        <v>65</v>
      </c>
      <c r="C75" s="7">
        <v>65</v>
      </c>
      <c r="D75" s="98">
        <v>68</v>
      </c>
      <c r="E75" s="7"/>
    </row>
    <row r="76" spans="2:5" ht="18.75" customHeight="1">
      <c r="B76" s="7">
        <v>66</v>
      </c>
      <c r="C76" s="7">
        <v>66</v>
      </c>
      <c r="D76" s="98">
        <v>69</v>
      </c>
      <c r="E76" s="7"/>
    </row>
    <row r="77" spans="2:5" ht="18.75" customHeight="1">
      <c r="B77" s="5">
        <v>67</v>
      </c>
      <c r="C77" s="7">
        <v>67</v>
      </c>
      <c r="D77" s="98">
        <v>69</v>
      </c>
      <c r="E77" s="7"/>
    </row>
    <row r="78" spans="2:5" ht="18.75" customHeight="1">
      <c r="B78" s="7">
        <v>68</v>
      </c>
      <c r="C78" s="7">
        <v>68</v>
      </c>
      <c r="D78" s="98">
        <v>70</v>
      </c>
      <c r="E78" s="7"/>
    </row>
    <row r="79" spans="2:5" ht="18.75" customHeight="1">
      <c r="B79" s="5">
        <v>69</v>
      </c>
      <c r="C79" s="7">
        <v>69</v>
      </c>
      <c r="D79" s="98">
        <v>70</v>
      </c>
      <c r="E79" s="7"/>
    </row>
    <row r="80" spans="2:5" ht="18.75" customHeight="1">
      <c r="B80" s="7">
        <v>70</v>
      </c>
      <c r="C80" s="7">
        <v>70</v>
      </c>
      <c r="D80" s="98">
        <v>71</v>
      </c>
      <c r="E80" s="7"/>
    </row>
    <row r="81" spans="2:5" ht="18.75" customHeight="1">
      <c r="B81" s="5">
        <v>71</v>
      </c>
      <c r="C81" s="7">
        <v>71</v>
      </c>
      <c r="D81" s="98">
        <v>71</v>
      </c>
      <c r="E81" s="7"/>
    </row>
    <row r="82" spans="2:5" ht="18.75" customHeight="1">
      <c r="B82" s="7">
        <v>72</v>
      </c>
      <c r="C82" s="7">
        <v>72</v>
      </c>
      <c r="D82" s="98">
        <v>72</v>
      </c>
      <c r="E82" s="7"/>
    </row>
    <row r="83" spans="2:5" ht="18.75" customHeight="1">
      <c r="B83" s="5">
        <v>73</v>
      </c>
      <c r="C83" s="7">
        <v>73</v>
      </c>
      <c r="D83" s="98">
        <v>72</v>
      </c>
      <c r="E83" s="7"/>
    </row>
    <row r="84" spans="2:5" ht="18.75" customHeight="1">
      <c r="B84" s="7">
        <v>74</v>
      </c>
      <c r="C84" s="7">
        <v>74</v>
      </c>
      <c r="D84" s="98">
        <v>73</v>
      </c>
      <c r="E84" s="7"/>
    </row>
    <row r="85" spans="2:5" ht="18.75" customHeight="1">
      <c r="B85" s="5">
        <v>75</v>
      </c>
      <c r="C85" s="7">
        <v>75</v>
      </c>
      <c r="D85" s="98">
        <v>73</v>
      </c>
      <c r="E85" s="7"/>
    </row>
    <row r="86" spans="2:5" ht="18.75" customHeight="1">
      <c r="B86" s="7">
        <v>76</v>
      </c>
      <c r="C86" s="7">
        <v>76</v>
      </c>
      <c r="D86" s="98">
        <v>74</v>
      </c>
      <c r="E86" s="7"/>
    </row>
    <row r="87" spans="2:5" ht="18.75" customHeight="1">
      <c r="B87" s="5">
        <v>77</v>
      </c>
      <c r="C87" s="7">
        <v>77</v>
      </c>
      <c r="D87" s="98">
        <v>74</v>
      </c>
      <c r="E87" s="7"/>
    </row>
    <row r="88" spans="2:5" ht="18.75" customHeight="1">
      <c r="B88" s="7">
        <v>78</v>
      </c>
      <c r="C88" s="7">
        <v>78</v>
      </c>
      <c r="D88" s="98">
        <v>75</v>
      </c>
      <c r="E88" s="7"/>
    </row>
    <row r="89" spans="2:5" ht="18.75" customHeight="1">
      <c r="B89" s="5">
        <v>79</v>
      </c>
      <c r="C89" s="7">
        <v>79</v>
      </c>
      <c r="D89" s="98">
        <v>75</v>
      </c>
      <c r="E89" s="7"/>
    </row>
    <row r="90" spans="2:5" ht="18.75" customHeight="1">
      <c r="B90" s="7">
        <v>80</v>
      </c>
      <c r="C90" s="7">
        <v>80</v>
      </c>
      <c r="D90" s="98">
        <v>78</v>
      </c>
      <c r="E90" s="7"/>
    </row>
    <row r="91" spans="2:5" ht="18.75" customHeight="1">
      <c r="B91" s="5">
        <v>81</v>
      </c>
      <c r="C91" s="7">
        <v>81</v>
      </c>
      <c r="D91" s="98">
        <v>78</v>
      </c>
      <c r="E91" s="7"/>
    </row>
    <row r="92" spans="2:5" ht="18.75" customHeight="1">
      <c r="B92" s="7">
        <v>82</v>
      </c>
      <c r="C92" s="7">
        <v>82</v>
      </c>
      <c r="D92" s="98">
        <v>79</v>
      </c>
      <c r="E92" s="7"/>
    </row>
    <row r="93" spans="2:5" ht="18.75" customHeight="1">
      <c r="B93" s="5">
        <v>83</v>
      </c>
      <c r="C93" s="7">
        <v>83</v>
      </c>
      <c r="D93" s="98">
        <v>79</v>
      </c>
      <c r="E93" s="7"/>
    </row>
    <row r="94" spans="2:5" ht="18.75" customHeight="1">
      <c r="B94" s="7">
        <v>84</v>
      </c>
      <c r="C94" s="7">
        <v>84</v>
      </c>
      <c r="D94" s="98">
        <v>80</v>
      </c>
      <c r="E94" s="7"/>
    </row>
    <row r="95" spans="2:5" ht="18.75" customHeight="1">
      <c r="B95" s="5">
        <v>85</v>
      </c>
      <c r="C95" s="7">
        <v>85</v>
      </c>
      <c r="D95" s="98">
        <v>80</v>
      </c>
      <c r="E95" s="7"/>
    </row>
    <row r="96" spans="2:5" ht="18.75" customHeight="1">
      <c r="B96" s="7">
        <v>86</v>
      </c>
      <c r="C96" s="7">
        <v>86</v>
      </c>
      <c r="D96" s="98">
        <v>81</v>
      </c>
      <c r="E96" s="7"/>
    </row>
    <row r="97" spans="2:5" ht="18.75" customHeight="1">
      <c r="B97" s="5">
        <v>87</v>
      </c>
      <c r="C97" s="7">
        <v>87</v>
      </c>
      <c r="D97" s="98">
        <v>81</v>
      </c>
      <c r="E97" s="7"/>
    </row>
    <row r="98" spans="2:5" ht="18.75" customHeight="1">
      <c r="B98" s="7">
        <v>88</v>
      </c>
      <c r="C98" s="7">
        <v>88</v>
      </c>
      <c r="D98" s="98">
        <v>82</v>
      </c>
      <c r="E98" s="7"/>
    </row>
    <row r="99" spans="2:5" ht="18.75" customHeight="1">
      <c r="B99" s="5">
        <v>89</v>
      </c>
      <c r="C99" s="7">
        <v>89</v>
      </c>
      <c r="D99" s="98">
        <v>82</v>
      </c>
      <c r="E99" s="7"/>
    </row>
    <row r="100" spans="2:5" ht="18.75" customHeight="1">
      <c r="B100" s="7">
        <v>90</v>
      </c>
      <c r="C100" s="7">
        <v>90</v>
      </c>
      <c r="D100" s="98">
        <v>83</v>
      </c>
      <c r="E100" s="7"/>
    </row>
    <row r="101" spans="2:5" ht="18.75" customHeight="1">
      <c r="B101" s="5">
        <v>91</v>
      </c>
      <c r="C101" s="7">
        <v>91</v>
      </c>
      <c r="D101" s="98">
        <v>83</v>
      </c>
      <c r="E101" s="7"/>
    </row>
    <row r="102" spans="2:5" ht="18.75" customHeight="1">
      <c r="B102" s="7">
        <v>92</v>
      </c>
      <c r="C102" s="7">
        <v>92</v>
      </c>
      <c r="D102" s="98">
        <v>84</v>
      </c>
      <c r="E102" s="7"/>
    </row>
    <row r="103" spans="2:5" ht="18.75" customHeight="1">
      <c r="B103" s="5">
        <v>93</v>
      </c>
      <c r="C103" s="7">
        <v>93</v>
      </c>
      <c r="D103" s="98">
        <v>84</v>
      </c>
      <c r="E103" s="7"/>
    </row>
    <row r="104" spans="2:5" ht="18.75" customHeight="1">
      <c r="B104" s="7">
        <v>94</v>
      </c>
      <c r="C104" s="7">
        <v>94</v>
      </c>
      <c r="D104" s="98">
        <v>85</v>
      </c>
      <c r="E104" s="7"/>
    </row>
    <row r="105" spans="2:5" ht="18.75" customHeight="1">
      <c r="B105" s="5">
        <v>95</v>
      </c>
      <c r="C105" s="7">
        <v>95</v>
      </c>
      <c r="D105" s="98">
        <v>85</v>
      </c>
      <c r="E105" s="7"/>
    </row>
    <row r="106" spans="2:5" ht="18.75" customHeight="1">
      <c r="B106" s="7">
        <v>96</v>
      </c>
      <c r="C106" s="7">
        <v>96</v>
      </c>
      <c r="D106" s="98">
        <v>86</v>
      </c>
      <c r="E106" s="7"/>
    </row>
    <row r="107" spans="2:5" ht="18.75" customHeight="1">
      <c r="B107" s="5">
        <v>97</v>
      </c>
      <c r="C107" s="7">
        <v>97</v>
      </c>
      <c r="D107" s="98">
        <v>86</v>
      </c>
      <c r="E107" s="7"/>
    </row>
    <row r="108" spans="2:5" ht="18.75" customHeight="1">
      <c r="B108" s="7">
        <v>98</v>
      </c>
      <c r="C108" s="7">
        <v>98</v>
      </c>
      <c r="D108" s="98">
        <v>87</v>
      </c>
      <c r="E108" s="7"/>
    </row>
    <row r="109" spans="2:5" ht="18.75" customHeight="1">
      <c r="B109" s="5">
        <v>99</v>
      </c>
      <c r="C109" s="7">
        <v>99</v>
      </c>
      <c r="D109" s="98">
        <v>87</v>
      </c>
      <c r="E109" s="7"/>
    </row>
    <row r="110" spans="2:5" ht="18.75" customHeight="1">
      <c r="B110" s="7">
        <v>100</v>
      </c>
      <c r="C110" s="7">
        <v>100</v>
      </c>
      <c r="D110" s="98">
        <v>90</v>
      </c>
      <c r="E110" s="7"/>
    </row>
    <row r="111" spans="2:5" ht="18.75" customHeight="1">
      <c r="B111" s="5">
        <v>101</v>
      </c>
      <c r="C111" s="6">
        <v>101</v>
      </c>
      <c r="D111" s="98">
        <v>90</v>
      </c>
    </row>
    <row r="112" spans="2:5" ht="18.75" customHeight="1">
      <c r="B112" s="7">
        <v>102</v>
      </c>
      <c r="C112" s="7">
        <v>102</v>
      </c>
      <c r="D112" s="98">
        <v>91</v>
      </c>
    </row>
    <row r="113" spans="2:4" ht="18.75" customHeight="1">
      <c r="B113" s="5">
        <v>103</v>
      </c>
      <c r="C113" s="7">
        <v>103</v>
      </c>
      <c r="D113" s="98">
        <v>91</v>
      </c>
    </row>
    <row r="114" spans="2:4" ht="18.75" customHeight="1">
      <c r="B114" s="7">
        <v>104</v>
      </c>
      <c r="C114" s="7">
        <v>104</v>
      </c>
      <c r="D114" s="98">
        <v>92</v>
      </c>
    </row>
    <row r="115" spans="2:4" ht="18.75" customHeight="1">
      <c r="B115" s="5">
        <v>105</v>
      </c>
      <c r="C115" s="7">
        <v>105</v>
      </c>
      <c r="D115" s="98">
        <v>92</v>
      </c>
    </row>
    <row r="116" spans="2:4" ht="18.75" customHeight="1">
      <c r="B116" s="7">
        <v>106</v>
      </c>
      <c r="C116" s="7">
        <v>106</v>
      </c>
      <c r="D116" s="98">
        <v>93</v>
      </c>
    </row>
    <row r="117" spans="2:4" ht="18.75" customHeight="1">
      <c r="B117" s="5">
        <v>107</v>
      </c>
      <c r="C117" s="7">
        <v>107</v>
      </c>
      <c r="D117" s="98">
        <v>93</v>
      </c>
    </row>
    <row r="118" spans="2:4" ht="18.75" customHeight="1">
      <c r="B118" s="7">
        <v>108</v>
      </c>
      <c r="C118" s="7">
        <v>108</v>
      </c>
      <c r="D118" s="98">
        <v>94</v>
      </c>
    </row>
    <row r="119" spans="2:4" ht="18.75" customHeight="1">
      <c r="B119" s="5">
        <v>109</v>
      </c>
      <c r="C119" s="7">
        <v>109</v>
      </c>
      <c r="D119" s="98">
        <v>94</v>
      </c>
    </row>
    <row r="120" spans="2:4" ht="18.75" customHeight="1">
      <c r="B120" s="7">
        <v>110</v>
      </c>
      <c r="C120" s="7">
        <v>110</v>
      </c>
      <c r="D120" s="98">
        <v>95</v>
      </c>
    </row>
    <row r="121" spans="2:4" ht="18.75" customHeight="1">
      <c r="B121" s="5">
        <v>111</v>
      </c>
      <c r="C121" s="7">
        <v>111</v>
      </c>
      <c r="D121" s="98">
        <v>95</v>
      </c>
    </row>
    <row r="122" spans="2:4" ht="18.75" customHeight="1">
      <c r="B122" s="7">
        <v>112</v>
      </c>
      <c r="C122" s="7">
        <v>112</v>
      </c>
      <c r="D122" s="98">
        <v>96</v>
      </c>
    </row>
    <row r="123" spans="2:4" ht="18.75" customHeight="1">
      <c r="B123" s="5">
        <v>113</v>
      </c>
      <c r="C123" s="7">
        <v>113</v>
      </c>
      <c r="D123" s="98">
        <v>96</v>
      </c>
    </row>
    <row r="124" spans="2:4" ht="18.75" customHeight="1">
      <c r="B124" s="7">
        <v>114</v>
      </c>
      <c r="C124" s="7">
        <v>114</v>
      </c>
      <c r="D124" s="98">
        <v>97</v>
      </c>
    </row>
    <row r="125" spans="2:4" ht="18.75" customHeight="1">
      <c r="B125" s="5">
        <v>115</v>
      </c>
      <c r="C125" s="7">
        <v>115</v>
      </c>
      <c r="D125" s="98">
        <v>97</v>
      </c>
    </row>
    <row r="126" spans="2:4" ht="18.75" customHeight="1">
      <c r="B126" s="7">
        <v>116</v>
      </c>
      <c r="C126" s="7">
        <v>116</v>
      </c>
      <c r="D126" s="98">
        <v>98</v>
      </c>
    </row>
    <row r="127" spans="2:4" ht="18.75" customHeight="1">
      <c r="B127" s="5">
        <v>117</v>
      </c>
      <c r="C127" s="7">
        <v>117</v>
      </c>
      <c r="D127" s="98">
        <v>98</v>
      </c>
    </row>
    <row r="128" spans="2:4" ht="18.75" customHeight="1">
      <c r="B128" s="7">
        <v>118</v>
      </c>
      <c r="C128" s="7">
        <v>118</v>
      </c>
      <c r="D128" s="98">
        <v>99</v>
      </c>
    </row>
    <row r="129" spans="2:4" ht="18.75" customHeight="1">
      <c r="B129" s="5">
        <v>119</v>
      </c>
      <c r="C129" s="7">
        <v>119</v>
      </c>
      <c r="D129" s="98">
        <v>99</v>
      </c>
    </row>
    <row r="130" spans="2:4" ht="18.75" customHeight="1">
      <c r="B130" s="7">
        <v>120</v>
      </c>
      <c r="C130" s="7">
        <v>120</v>
      </c>
      <c r="D130" s="98">
        <v>102</v>
      </c>
    </row>
    <row r="131" spans="2:4" ht="18.75" customHeight="1">
      <c r="B131" s="5">
        <v>121</v>
      </c>
      <c r="C131" s="7">
        <v>121</v>
      </c>
      <c r="D131" s="98">
        <v>102</v>
      </c>
    </row>
    <row r="132" spans="2:4" ht="18.75" customHeight="1">
      <c r="B132" s="7">
        <v>122</v>
      </c>
      <c r="C132" s="7">
        <v>122</v>
      </c>
      <c r="D132" s="98">
        <v>103</v>
      </c>
    </row>
    <row r="133" spans="2:4" ht="18.75" customHeight="1">
      <c r="B133" s="5">
        <v>123</v>
      </c>
      <c r="C133" s="7">
        <v>123</v>
      </c>
      <c r="D133" s="98">
        <v>103</v>
      </c>
    </row>
    <row r="134" spans="2:4" ht="18.75" customHeight="1">
      <c r="B134" s="7">
        <v>124</v>
      </c>
      <c r="C134" s="7">
        <v>124</v>
      </c>
      <c r="D134" s="98">
        <v>104</v>
      </c>
    </row>
    <row r="135" spans="2:4" ht="18.75" customHeight="1">
      <c r="B135" s="5">
        <v>125</v>
      </c>
      <c r="C135" s="7">
        <v>125</v>
      </c>
      <c r="D135" s="98">
        <v>104</v>
      </c>
    </row>
    <row r="136" spans="2:4" ht="18.75" customHeight="1">
      <c r="B136" s="7">
        <v>126</v>
      </c>
      <c r="C136" s="7">
        <v>126</v>
      </c>
      <c r="D136" s="98">
        <v>105</v>
      </c>
    </row>
    <row r="137" spans="2:4" ht="18.75" customHeight="1">
      <c r="B137" s="5">
        <v>127</v>
      </c>
      <c r="C137" s="7">
        <v>127</v>
      </c>
      <c r="D137" s="98">
        <v>105</v>
      </c>
    </row>
    <row r="138" spans="2:4" ht="18.75" customHeight="1">
      <c r="B138" s="7">
        <v>128</v>
      </c>
      <c r="C138" s="7">
        <v>128</v>
      </c>
      <c r="D138" s="98">
        <v>106</v>
      </c>
    </row>
    <row r="139" spans="2:4" ht="18.75" customHeight="1">
      <c r="B139" s="5">
        <v>129</v>
      </c>
      <c r="C139" s="7">
        <v>129</v>
      </c>
      <c r="D139" s="98">
        <v>106</v>
      </c>
    </row>
    <row r="140" spans="2:4" ht="18.75" customHeight="1">
      <c r="B140" s="7">
        <v>130</v>
      </c>
      <c r="C140" s="7">
        <v>130</v>
      </c>
      <c r="D140" s="98">
        <v>107</v>
      </c>
    </row>
    <row r="141" spans="2:4" ht="18.75" customHeight="1">
      <c r="B141" s="5">
        <v>131</v>
      </c>
      <c r="C141" s="7">
        <v>131</v>
      </c>
      <c r="D141" s="98">
        <v>107</v>
      </c>
    </row>
    <row r="142" spans="2:4" ht="18.75" customHeight="1">
      <c r="B142" s="7">
        <v>132</v>
      </c>
      <c r="C142" s="7">
        <v>132</v>
      </c>
      <c r="D142" s="98">
        <v>108</v>
      </c>
    </row>
    <row r="143" spans="2:4" ht="18.75" customHeight="1">
      <c r="B143" s="5">
        <v>133</v>
      </c>
      <c r="C143" s="7">
        <v>133</v>
      </c>
      <c r="D143" s="98">
        <v>108</v>
      </c>
    </row>
    <row r="144" spans="2:4" ht="18.75" customHeight="1">
      <c r="B144" s="7">
        <v>134</v>
      </c>
      <c r="C144" s="7">
        <v>134</v>
      </c>
      <c r="D144" s="98">
        <v>109</v>
      </c>
    </row>
    <row r="145" spans="2:4" ht="18.75" customHeight="1">
      <c r="B145" s="5">
        <v>135</v>
      </c>
      <c r="C145" s="7">
        <v>135</v>
      </c>
      <c r="D145" s="98">
        <v>109</v>
      </c>
    </row>
    <row r="146" spans="2:4" ht="18.75" customHeight="1">
      <c r="B146" s="7">
        <v>136</v>
      </c>
      <c r="C146" s="7">
        <v>136</v>
      </c>
      <c r="D146" s="98">
        <v>110</v>
      </c>
    </row>
    <row r="147" spans="2:4" ht="18.75" customHeight="1">
      <c r="B147" s="5">
        <v>137</v>
      </c>
      <c r="C147" s="7">
        <v>137</v>
      </c>
      <c r="D147" s="98">
        <v>110</v>
      </c>
    </row>
    <row r="148" spans="2:4" ht="18.75" customHeight="1">
      <c r="B148" s="7">
        <v>138</v>
      </c>
      <c r="C148" s="7">
        <v>138</v>
      </c>
      <c r="D148" s="98">
        <v>111</v>
      </c>
    </row>
    <row r="149" spans="2:4" ht="18.75" customHeight="1">
      <c r="B149" s="5">
        <v>139</v>
      </c>
      <c r="C149" s="7">
        <v>139</v>
      </c>
      <c r="D149" s="98">
        <v>111</v>
      </c>
    </row>
    <row r="150" spans="2:4" ht="18.75" customHeight="1">
      <c r="B150" s="7">
        <v>140</v>
      </c>
      <c r="C150" s="7">
        <v>140</v>
      </c>
      <c r="D150" s="98">
        <v>114</v>
      </c>
    </row>
    <row r="151" spans="2:4" ht="18.75" customHeight="1">
      <c r="B151" s="5">
        <v>141</v>
      </c>
      <c r="C151" s="7">
        <v>141</v>
      </c>
      <c r="D151" s="98">
        <v>114</v>
      </c>
    </row>
    <row r="152" spans="2:4" ht="18.75" customHeight="1">
      <c r="B152" s="7">
        <v>142</v>
      </c>
      <c r="C152" s="7">
        <v>142</v>
      </c>
      <c r="D152" s="98">
        <v>115</v>
      </c>
    </row>
    <row r="153" spans="2:4" ht="18.75" customHeight="1">
      <c r="B153" s="5">
        <v>143</v>
      </c>
      <c r="C153" s="7">
        <v>143</v>
      </c>
      <c r="D153" s="98">
        <v>115</v>
      </c>
    </row>
    <row r="154" spans="2:4" ht="18.75" customHeight="1">
      <c r="B154" s="7">
        <v>144</v>
      </c>
      <c r="C154" s="7">
        <v>144</v>
      </c>
      <c r="D154" s="98">
        <v>116</v>
      </c>
    </row>
    <row r="155" spans="2:4" ht="18.75" customHeight="1">
      <c r="B155" s="5">
        <v>145</v>
      </c>
      <c r="C155" s="7">
        <v>145</v>
      </c>
      <c r="D155" s="98">
        <v>116</v>
      </c>
    </row>
    <row r="156" spans="2:4" ht="18.75" customHeight="1">
      <c r="B156" s="7">
        <v>146</v>
      </c>
      <c r="C156" s="7">
        <v>146</v>
      </c>
      <c r="D156" s="98">
        <v>117</v>
      </c>
    </row>
    <row r="157" spans="2:4" ht="18.75" customHeight="1">
      <c r="B157" s="5">
        <v>147</v>
      </c>
      <c r="C157" s="7">
        <v>147</v>
      </c>
      <c r="D157" s="98">
        <v>117</v>
      </c>
    </row>
    <row r="158" spans="2:4" ht="18.75" customHeight="1">
      <c r="B158" s="7">
        <v>148</v>
      </c>
      <c r="C158" s="7">
        <v>148</v>
      </c>
      <c r="D158" s="98">
        <v>118</v>
      </c>
    </row>
    <row r="159" spans="2:4" ht="18.75" customHeight="1">
      <c r="B159" s="5">
        <v>149</v>
      </c>
      <c r="C159" s="7">
        <v>149</v>
      </c>
      <c r="D159" s="98">
        <v>118</v>
      </c>
    </row>
    <row r="160" spans="2:4" ht="18.75" customHeight="1">
      <c r="B160" s="7">
        <v>150</v>
      </c>
      <c r="C160" s="7">
        <v>150</v>
      </c>
      <c r="D160" s="98">
        <v>119</v>
      </c>
    </row>
    <row r="161" spans="2:4" ht="18.75" customHeight="1">
      <c r="B161" s="5">
        <v>151</v>
      </c>
      <c r="C161" s="7">
        <v>151</v>
      </c>
      <c r="D161" s="98">
        <v>119</v>
      </c>
    </row>
    <row r="162" spans="2:4" ht="18.75" customHeight="1">
      <c r="B162" s="7">
        <v>152</v>
      </c>
      <c r="C162" s="7">
        <v>152</v>
      </c>
      <c r="D162" s="98">
        <v>120</v>
      </c>
    </row>
    <row r="163" spans="2:4" ht="18.75" customHeight="1">
      <c r="B163" s="5">
        <v>153</v>
      </c>
      <c r="C163" s="7">
        <v>153</v>
      </c>
      <c r="D163" s="98">
        <v>120</v>
      </c>
    </row>
    <row r="164" spans="2:4" ht="18.75" customHeight="1">
      <c r="B164" s="7">
        <v>154</v>
      </c>
      <c r="C164" s="7">
        <v>154</v>
      </c>
      <c r="D164" s="98">
        <v>121</v>
      </c>
    </row>
    <row r="165" spans="2:4" ht="18.75" customHeight="1">
      <c r="B165" s="5">
        <v>155</v>
      </c>
      <c r="C165" s="7">
        <v>155</v>
      </c>
      <c r="D165" s="98">
        <v>121</v>
      </c>
    </row>
    <row r="166" spans="2:4" ht="18.75" customHeight="1">
      <c r="B166" s="7">
        <v>156</v>
      </c>
      <c r="C166" s="7">
        <v>156</v>
      </c>
      <c r="D166" s="98">
        <v>122</v>
      </c>
    </row>
    <row r="167" spans="2:4" ht="18.75" customHeight="1">
      <c r="B167" s="5">
        <v>157</v>
      </c>
      <c r="C167" s="7">
        <v>157</v>
      </c>
      <c r="D167" s="98">
        <v>122</v>
      </c>
    </row>
    <row r="168" spans="2:4" ht="18.75" customHeight="1">
      <c r="B168" s="7">
        <v>158</v>
      </c>
      <c r="C168" s="7">
        <v>158</v>
      </c>
      <c r="D168" s="98">
        <v>123</v>
      </c>
    </row>
    <row r="169" spans="2:4" ht="18.75" customHeight="1">
      <c r="B169" s="5">
        <v>159</v>
      </c>
      <c r="C169" s="7">
        <v>159</v>
      </c>
      <c r="D169" s="98">
        <v>123</v>
      </c>
    </row>
    <row r="170" spans="2:4" ht="18.75" customHeight="1">
      <c r="B170" s="7">
        <v>160</v>
      </c>
      <c r="C170" s="7">
        <v>160</v>
      </c>
      <c r="D170" s="98">
        <v>126</v>
      </c>
    </row>
    <row r="171" spans="2:4" ht="18.75" customHeight="1">
      <c r="B171" s="5">
        <v>161</v>
      </c>
      <c r="C171" s="7">
        <v>161</v>
      </c>
      <c r="D171" s="98">
        <v>126</v>
      </c>
    </row>
    <row r="172" spans="2:4" ht="18.75" customHeight="1">
      <c r="B172" s="7">
        <v>162</v>
      </c>
      <c r="C172" s="7">
        <v>162</v>
      </c>
      <c r="D172" s="98">
        <v>127</v>
      </c>
    </row>
    <row r="173" spans="2:4" ht="18.75" customHeight="1">
      <c r="B173" s="5">
        <v>163</v>
      </c>
      <c r="C173" s="7">
        <v>163</v>
      </c>
      <c r="D173" s="98">
        <v>127</v>
      </c>
    </row>
    <row r="174" spans="2:4" ht="18.75" customHeight="1">
      <c r="B174" s="7">
        <v>164</v>
      </c>
      <c r="C174" s="7">
        <v>164</v>
      </c>
      <c r="D174" s="98">
        <v>128</v>
      </c>
    </row>
    <row r="175" spans="2:4" ht="18.75" customHeight="1">
      <c r="B175" s="5">
        <v>165</v>
      </c>
      <c r="C175" s="7">
        <v>165</v>
      </c>
      <c r="D175" s="98">
        <v>128</v>
      </c>
    </row>
    <row r="176" spans="2:4" ht="18.75" customHeight="1">
      <c r="B176" s="7">
        <v>166</v>
      </c>
      <c r="C176" s="7">
        <v>166</v>
      </c>
      <c r="D176" s="98">
        <v>129</v>
      </c>
    </row>
    <row r="177" spans="2:4" ht="18.75" customHeight="1">
      <c r="B177" s="5">
        <v>167</v>
      </c>
      <c r="C177" s="7">
        <v>167</v>
      </c>
      <c r="D177" s="98">
        <v>129</v>
      </c>
    </row>
    <row r="178" spans="2:4" ht="18.75" customHeight="1">
      <c r="B178" s="7">
        <v>168</v>
      </c>
      <c r="C178" s="7">
        <v>168</v>
      </c>
      <c r="D178" s="98">
        <v>130</v>
      </c>
    </row>
    <row r="179" spans="2:4" ht="18.75" customHeight="1">
      <c r="B179" s="5">
        <v>169</v>
      </c>
      <c r="C179" s="7">
        <v>169</v>
      </c>
      <c r="D179" s="98">
        <v>130</v>
      </c>
    </row>
    <row r="180" spans="2:4" ht="18.75" customHeight="1">
      <c r="B180" s="7">
        <v>170</v>
      </c>
      <c r="C180" s="7">
        <v>170</v>
      </c>
      <c r="D180" s="98">
        <v>131</v>
      </c>
    </row>
    <row r="181" spans="2:4" ht="18.75" customHeight="1">
      <c r="B181" s="5">
        <v>171</v>
      </c>
      <c r="C181" s="7">
        <v>171</v>
      </c>
      <c r="D181" s="98">
        <v>131</v>
      </c>
    </row>
    <row r="182" spans="2:4" ht="18.75" customHeight="1">
      <c r="B182" s="7">
        <v>172</v>
      </c>
      <c r="C182" s="7">
        <v>172</v>
      </c>
      <c r="D182" s="98">
        <v>132</v>
      </c>
    </row>
    <row r="183" spans="2:4" ht="18.75" customHeight="1">
      <c r="B183" s="5">
        <v>173</v>
      </c>
      <c r="C183" s="7">
        <v>173</v>
      </c>
      <c r="D183" s="98">
        <v>132</v>
      </c>
    </row>
    <row r="184" spans="2:4" ht="18.75" customHeight="1">
      <c r="B184" s="7">
        <v>174</v>
      </c>
      <c r="C184" s="7">
        <v>174</v>
      </c>
      <c r="D184" s="98">
        <v>133</v>
      </c>
    </row>
    <row r="185" spans="2:4" ht="18.75" customHeight="1">
      <c r="B185" s="5">
        <v>175</v>
      </c>
      <c r="C185" s="7">
        <v>175</v>
      </c>
      <c r="D185" s="98">
        <v>133</v>
      </c>
    </row>
    <row r="186" spans="2:4" ht="18.75" customHeight="1">
      <c r="B186" s="7">
        <v>176</v>
      </c>
      <c r="C186" s="7">
        <v>176</v>
      </c>
      <c r="D186" s="98">
        <v>134</v>
      </c>
    </row>
    <row r="187" spans="2:4" ht="18.75" customHeight="1">
      <c r="B187" s="5">
        <v>177</v>
      </c>
      <c r="C187" s="7">
        <v>177</v>
      </c>
      <c r="D187" s="98">
        <v>134</v>
      </c>
    </row>
    <row r="188" spans="2:4" ht="18.75" customHeight="1">
      <c r="B188" s="7">
        <v>178</v>
      </c>
      <c r="C188" s="7">
        <v>178</v>
      </c>
      <c r="D188" s="98">
        <v>135</v>
      </c>
    </row>
    <row r="189" spans="2:4" ht="18.75" customHeight="1">
      <c r="B189" s="5">
        <v>179</v>
      </c>
      <c r="C189" s="7">
        <v>179</v>
      </c>
      <c r="D189" s="98">
        <v>135</v>
      </c>
    </row>
    <row r="190" spans="2:4" ht="18.75" customHeight="1">
      <c r="B190" s="7">
        <v>180</v>
      </c>
      <c r="C190" s="7">
        <v>180</v>
      </c>
      <c r="D190" s="98">
        <v>138</v>
      </c>
    </row>
    <row r="191" spans="2:4" ht="18.75" customHeight="1">
      <c r="B191" s="5">
        <v>181</v>
      </c>
      <c r="C191" s="7">
        <v>181</v>
      </c>
      <c r="D191" s="98">
        <v>138</v>
      </c>
    </row>
    <row r="192" spans="2:4" ht="18.75" customHeight="1">
      <c r="B192" s="7">
        <v>182</v>
      </c>
      <c r="C192" s="7">
        <v>182</v>
      </c>
      <c r="D192" s="98">
        <v>139</v>
      </c>
    </row>
    <row r="193" spans="2:4" ht="18.75" customHeight="1">
      <c r="B193" s="5">
        <v>183</v>
      </c>
      <c r="C193" s="7">
        <v>183</v>
      </c>
      <c r="D193" s="98">
        <v>139</v>
      </c>
    </row>
    <row r="194" spans="2:4" ht="18.75" customHeight="1">
      <c r="B194" s="7">
        <v>184</v>
      </c>
      <c r="C194" s="7">
        <v>184</v>
      </c>
      <c r="D194" s="98">
        <v>140</v>
      </c>
    </row>
    <row r="195" spans="2:4" ht="18.75" customHeight="1">
      <c r="B195" s="5">
        <v>185</v>
      </c>
      <c r="C195" s="7">
        <v>185</v>
      </c>
      <c r="D195" s="98">
        <v>140</v>
      </c>
    </row>
    <row r="196" spans="2:4" ht="18.75" customHeight="1">
      <c r="B196" s="7">
        <v>186</v>
      </c>
      <c r="C196" s="7">
        <v>186</v>
      </c>
      <c r="D196" s="98">
        <v>141</v>
      </c>
    </row>
    <row r="197" spans="2:4" ht="18.75" customHeight="1">
      <c r="B197" s="5">
        <v>187</v>
      </c>
      <c r="C197" s="7">
        <v>187</v>
      </c>
      <c r="D197" s="98">
        <v>141</v>
      </c>
    </row>
    <row r="198" spans="2:4" ht="18.75" customHeight="1">
      <c r="B198" s="7">
        <v>188</v>
      </c>
      <c r="C198" s="7">
        <v>188</v>
      </c>
      <c r="D198" s="98">
        <v>142</v>
      </c>
    </row>
    <row r="199" spans="2:4" ht="18.75" customHeight="1">
      <c r="B199" s="5">
        <v>189</v>
      </c>
      <c r="C199" s="7">
        <v>189</v>
      </c>
      <c r="D199" s="98">
        <v>142</v>
      </c>
    </row>
    <row r="200" spans="2:4" ht="18.75" customHeight="1">
      <c r="B200" s="7">
        <v>190</v>
      </c>
      <c r="C200" s="7">
        <v>190</v>
      </c>
      <c r="D200" s="98">
        <v>143</v>
      </c>
    </row>
    <row r="201" spans="2:4" ht="18.75" customHeight="1">
      <c r="B201" s="5">
        <v>191</v>
      </c>
      <c r="C201" s="7">
        <v>191</v>
      </c>
      <c r="D201" s="98">
        <v>143</v>
      </c>
    </row>
    <row r="202" spans="2:4" ht="18.75" customHeight="1">
      <c r="B202" s="7">
        <v>192</v>
      </c>
      <c r="C202" s="7">
        <v>192</v>
      </c>
      <c r="D202" s="98">
        <v>144</v>
      </c>
    </row>
    <row r="203" spans="2:4" ht="18.75" customHeight="1">
      <c r="B203" s="5">
        <v>193</v>
      </c>
      <c r="C203" s="7">
        <v>193</v>
      </c>
      <c r="D203" s="98">
        <v>144</v>
      </c>
    </row>
    <row r="204" spans="2:4" ht="18.75" customHeight="1">
      <c r="B204" s="7">
        <v>194</v>
      </c>
      <c r="C204" s="7">
        <v>194</v>
      </c>
      <c r="D204" s="98">
        <v>145</v>
      </c>
    </row>
    <row r="205" spans="2:4" ht="18.75" customHeight="1">
      <c r="B205" s="5">
        <v>195</v>
      </c>
      <c r="C205" s="7">
        <v>195</v>
      </c>
      <c r="D205" s="98">
        <v>145</v>
      </c>
    </row>
    <row r="206" spans="2:4" ht="18.75" customHeight="1">
      <c r="B206" s="7">
        <v>196</v>
      </c>
      <c r="C206" s="7">
        <v>196</v>
      </c>
      <c r="D206" s="98">
        <v>146</v>
      </c>
    </row>
    <row r="207" spans="2:4" ht="18.75" customHeight="1">
      <c r="B207" s="5">
        <v>197</v>
      </c>
      <c r="C207" s="7">
        <v>197</v>
      </c>
      <c r="D207" s="98">
        <v>146</v>
      </c>
    </row>
    <row r="208" spans="2:4" ht="18.75" customHeight="1">
      <c r="B208" s="7">
        <v>198</v>
      </c>
      <c r="C208" s="7">
        <v>198</v>
      </c>
      <c r="D208" s="98">
        <v>147</v>
      </c>
    </row>
    <row r="209" spans="2:4" ht="18.75" customHeight="1">
      <c r="B209" s="5">
        <v>199</v>
      </c>
      <c r="C209" s="7">
        <v>199</v>
      </c>
      <c r="D209" s="98">
        <v>147</v>
      </c>
    </row>
    <row r="210" spans="2:4" ht="18.75" customHeight="1">
      <c r="B210" s="7">
        <v>200</v>
      </c>
      <c r="C210" s="7">
        <v>200</v>
      </c>
      <c r="D210" s="98">
        <v>150</v>
      </c>
    </row>
    <row r="211" spans="2:4" ht="18.75" customHeight="1">
      <c r="B211" s="5">
        <v>201</v>
      </c>
      <c r="C211" s="6">
        <v>201</v>
      </c>
      <c r="D211" s="98">
        <v>150</v>
      </c>
    </row>
    <row r="212" spans="2:4" ht="18.75" customHeight="1">
      <c r="B212" s="7">
        <v>202</v>
      </c>
      <c r="C212" s="7">
        <v>202</v>
      </c>
      <c r="D212" s="98">
        <v>151</v>
      </c>
    </row>
    <row r="213" spans="2:4" ht="18.75" customHeight="1">
      <c r="B213" s="5">
        <v>203</v>
      </c>
      <c r="C213" s="7">
        <v>203</v>
      </c>
      <c r="D213" s="98">
        <v>151</v>
      </c>
    </row>
    <row r="214" spans="2:4" ht="18.75" customHeight="1">
      <c r="B214" s="7">
        <v>204</v>
      </c>
      <c r="C214" s="7">
        <v>204</v>
      </c>
      <c r="D214" s="98">
        <v>152</v>
      </c>
    </row>
    <row r="215" spans="2:4" ht="18.75" customHeight="1">
      <c r="B215" s="5">
        <v>205</v>
      </c>
      <c r="C215" s="7">
        <v>205</v>
      </c>
      <c r="D215" s="98">
        <v>152</v>
      </c>
    </row>
    <row r="216" spans="2:4" ht="18.75" customHeight="1">
      <c r="B216" s="7">
        <v>206</v>
      </c>
      <c r="C216" s="7">
        <v>206</v>
      </c>
      <c r="D216" s="98">
        <v>153</v>
      </c>
    </row>
    <row r="217" spans="2:4" ht="18.75" customHeight="1">
      <c r="B217" s="5">
        <v>207</v>
      </c>
      <c r="C217" s="7">
        <v>207</v>
      </c>
      <c r="D217" s="98">
        <v>153</v>
      </c>
    </row>
    <row r="218" spans="2:4" ht="18.75" customHeight="1">
      <c r="B218" s="7">
        <v>208</v>
      </c>
      <c r="C218" s="7">
        <v>208</v>
      </c>
      <c r="D218" s="98">
        <v>154</v>
      </c>
    </row>
    <row r="219" spans="2:4" ht="18.75" customHeight="1">
      <c r="B219" s="5">
        <v>209</v>
      </c>
      <c r="C219" s="7">
        <v>209</v>
      </c>
      <c r="D219" s="98">
        <v>154</v>
      </c>
    </row>
    <row r="220" spans="2:4" ht="18.75" customHeight="1">
      <c r="B220" s="7">
        <v>210</v>
      </c>
      <c r="C220" s="7">
        <v>210</v>
      </c>
      <c r="D220" s="98">
        <v>155</v>
      </c>
    </row>
    <row r="221" spans="2:4" ht="18.75" customHeight="1">
      <c r="B221" s="5">
        <v>211</v>
      </c>
      <c r="C221" s="7">
        <v>211</v>
      </c>
      <c r="D221" s="98">
        <v>155</v>
      </c>
    </row>
    <row r="222" spans="2:4" ht="18.75" customHeight="1">
      <c r="B222" s="7">
        <v>212</v>
      </c>
      <c r="C222" s="7">
        <v>212</v>
      </c>
      <c r="D222" s="98">
        <v>156</v>
      </c>
    </row>
    <row r="223" spans="2:4" ht="18.75" customHeight="1">
      <c r="B223" s="5">
        <v>213</v>
      </c>
      <c r="C223" s="7">
        <v>213</v>
      </c>
      <c r="D223" s="98">
        <v>156</v>
      </c>
    </row>
    <row r="224" spans="2:4" ht="18.75" customHeight="1">
      <c r="B224" s="7">
        <v>214</v>
      </c>
      <c r="C224" s="7">
        <v>214</v>
      </c>
      <c r="D224" s="98">
        <v>157</v>
      </c>
    </row>
    <row r="225" spans="2:4" ht="18.75" customHeight="1">
      <c r="B225" s="5">
        <v>215</v>
      </c>
      <c r="C225" s="7">
        <v>215</v>
      </c>
      <c r="D225" s="98">
        <v>157</v>
      </c>
    </row>
    <row r="226" spans="2:4" ht="18.75" customHeight="1">
      <c r="B226" s="7">
        <v>216</v>
      </c>
      <c r="C226" s="7">
        <v>216</v>
      </c>
      <c r="D226" s="98">
        <v>158</v>
      </c>
    </row>
    <row r="227" spans="2:4" ht="18.75" customHeight="1">
      <c r="B227" s="5">
        <v>217</v>
      </c>
      <c r="C227" s="7">
        <v>217</v>
      </c>
      <c r="D227" s="98">
        <v>158</v>
      </c>
    </row>
    <row r="228" spans="2:4" ht="18.75" customHeight="1">
      <c r="B228" s="7">
        <v>218</v>
      </c>
      <c r="C228" s="7">
        <v>218</v>
      </c>
      <c r="D228" s="98">
        <v>159</v>
      </c>
    </row>
    <row r="229" spans="2:4" ht="18.75" customHeight="1">
      <c r="B229" s="5">
        <v>219</v>
      </c>
      <c r="C229" s="7">
        <v>219</v>
      </c>
      <c r="D229" s="98">
        <v>159</v>
      </c>
    </row>
    <row r="230" spans="2:4" ht="18.75" customHeight="1">
      <c r="B230" s="7">
        <v>220</v>
      </c>
      <c r="C230" s="7">
        <v>220</v>
      </c>
      <c r="D230" s="98">
        <v>162</v>
      </c>
    </row>
    <row r="231" spans="2:4" ht="18.75" customHeight="1">
      <c r="B231" s="5">
        <v>221</v>
      </c>
      <c r="C231" s="7">
        <v>221</v>
      </c>
      <c r="D231" s="98">
        <v>162</v>
      </c>
    </row>
    <row r="232" spans="2:4" ht="18.75" customHeight="1">
      <c r="B232" s="7">
        <v>222</v>
      </c>
      <c r="C232" s="7">
        <v>222</v>
      </c>
      <c r="D232" s="98">
        <v>163</v>
      </c>
    </row>
    <row r="233" spans="2:4" ht="18.75" customHeight="1">
      <c r="B233" s="5">
        <v>223</v>
      </c>
      <c r="C233" s="7">
        <v>223</v>
      </c>
      <c r="D233" s="98">
        <v>163</v>
      </c>
    </row>
    <row r="234" spans="2:4" ht="18.75" customHeight="1">
      <c r="B234" s="7">
        <v>224</v>
      </c>
      <c r="C234" s="7">
        <v>224</v>
      </c>
      <c r="D234" s="98">
        <v>164</v>
      </c>
    </row>
    <row r="235" spans="2:4" ht="18.75" customHeight="1">
      <c r="B235" s="5">
        <v>225</v>
      </c>
      <c r="C235" s="7">
        <v>225</v>
      </c>
      <c r="D235" s="98">
        <v>164</v>
      </c>
    </row>
    <row r="236" spans="2:4" ht="18.75" customHeight="1">
      <c r="B236" s="7">
        <v>226</v>
      </c>
      <c r="C236" s="7">
        <v>226</v>
      </c>
      <c r="D236" s="98">
        <v>165</v>
      </c>
    </row>
    <row r="237" spans="2:4" ht="18.75" customHeight="1">
      <c r="B237" s="5">
        <v>227</v>
      </c>
      <c r="C237" s="7">
        <v>227</v>
      </c>
      <c r="D237" s="98">
        <v>165</v>
      </c>
    </row>
    <row r="238" spans="2:4" ht="18.75" customHeight="1">
      <c r="B238" s="7">
        <v>228</v>
      </c>
      <c r="C238" s="7">
        <v>228</v>
      </c>
      <c r="D238" s="98">
        <v>166</v>
      </c>
    </row>
    <row r="239" spans="2:4" ht="18.75" customHeight="1">
      <c r="B239" s="5">
        <v>229</v>
      </c>
      <c r="C239" s="7">
        <v>229</v>
      </c>
      <c r="D239" s="98">
        <v>166</v>
      </c>
    </row>
    <row r="240" spans="2:4" ht="18.75" customHeight="1">
      <c r="B240" s="7">
        <v>230</v>
      </c>
      <c r="C240" s="7">
        <v>230</v>
      </c>
      <c r="D240" s="98">
        <v>167</v>
      </c>
    </row>
    <row r="241" spans="2:4" ht="18.75" customHeight="1">
      <c r="B241" s="5">
        <v>231</v>
      </c>
      <c r="C241" s="7">
        <v>231</v>
      </c>
      <c r="D241" s="98">
        <v>167</v>
      </c>
    </row>
    <row r="242" spans="2:4" ht="18.75" customHeight="1">
      <c r="B242" s="7">
        <v>232</v>
      </c>
      <c r="C242" s="7">
        <v>232</v>
      </c>
      <c r="D242" s="98">
        <v>168</v>
      </c>
    </row>
    <row r="243" spans="2:4" ht="18.75" customHeight="1">
      <c r="B243" s="5">
        <v>233</v>
      </c>
      <c r="C243" s="7">
        <v>233</v>
      </c>
      <c r="D243" s="98">
        <v>168</v>
      </c>
    </row>
    <row r="244" spans="2:4" ht="18.75" customHeight="1">
      <c r="B244" s="7">
        <v>234</v>
      </c>
      <c r="C244" s="7">
        <v>234</v>
      </c>
      <c r="D244" s="98">
        <v>169</v>
      </c>
    </row>
    <row r="245" spans="2:4" ht="18.75" customHeight="1">
      <c r="B245" s="5">
        <v>235</v>
      </c>
      <c r="C245" s="7">
        <v>235</v>
      </c>
      <c r="D245" s="98">
        <v>169</v>
      </c>
    </row>
    <row r="246" spans="2:4" ht="18.75" customHeight="1">
      <c r="B246" s="7">
        <v>236</v>
      </c>
      <c r="C246" s="7">
        <v>236</v>
      </c>
      <c r="D246" s="98">
        <v>170</v>
      </c>
    </row>
    <row r="247" spans="2:4" ht="18.75" customHeight="1">
      <c r="B247" s="5">
        <v>237</v>
      </c>
      <c r="C247" s="7">
        <v>237</v>
      </c>
      <c r="D247" s="98">
        <v>170</v>
      </c>
    </row>
    <row r="248" spans="2:4" ht="18.75" customHeight="1">
      <c r="B248" s="7">
        <v>238</v>
      </c>
      <c r="C248" s="7">
        <v>238</v>
      </c>
      <c r="D248" s="98">
        <v>171</v>
      </c>
    </row>
    <row r="249" spans="2:4" ht="18.75" customHeight="1">
      <c r="B249" s="5">
        <v>239</v>
      </c>
      <c r="C249" s="7">
        <v>239</v>
      </c>
      <c r="D249" s="98">
        <v>171</v>
      </c>
    </row>
    <row r="250" spans="2:4" ht="18.75" customHeight="1">
      <c r="B250" s="7">
        <v>240</v>
      </c>
      <c r="C250" s="7">
        <v>240</v>
      </c>
      <c r="D250" s="98">
        <v>174</v>
      </c>
    </row>
    <row r="251" spans="2:4" ht="18.75" customHeight="1">
      <c r="B251" s="5">
        <v>241</v>
      </c>
      <c r="C251" s="7">
        <v>241</v>
      </c>
      <c r="D251" s="98">
        <v>174</v>
      </c>
    </row>
    <row r="252" spans="2:4" ht="18.75" customHeight="1">
      <c r="B252" s="7">
        <v>242</v>
      </c>
      <c r="C252" s="7">
        <v>242</v>
      </c>
      <c r="D252" s="98">
        <v>175</v>
      </c>
    </row>
    <row r="253" spans="2:4" ht="18.75" customHeight="1">
      <c r="B253" s="5">
        <v>243</v>
      </c>
      <c r="C253" s="7">
        <v>243</v>
      </c>
      <c r="D253" s="98">
        <v>175</v>
      </c>
    </row>
    <row r="254" spans="2:4" ht="18.75" customHeight="1">
      <c r="B254" s="7">
        <v>244</v>
      </c>
      <c r="C254" s="7">
        <v>244</v>
      </c>
      <c r="D254" s="98">
        <v>176</v>
      </c>
    </row>
    <row r="255" spans="2:4" ht="18.75" customHeight="1">
      <c r="B255" s="5">
        <v>245</v>
      </c>
      <c r="C255" s="7">
        <v>245</v>
      </c>
      <c r="D255" s="98">
        <v>176</v>
      </c>
    </row>
    <row r="256" spans="2:4" ht="18.75" customHeight="1">
      <c r="B256" s="7">
        <v>246</v>
      </c>
      <c r="C256" s="7">
        <v>246</v>
      </c>
      <c r="D256" s="98">
        <v>177</v>
      </c>
    </row>
    <row r="257" spans="2:4" ht="18.75" customHeight="1">
      <c r="B257" s="5">
        <v>247</v>
      </c>
      <c r="C257" s="7">
        <v>247</v>
      </c>
      <c r="D257" s="98">
        <v>177</v>
      </c>
    </row>
    <row r="258" spans="2:4" ht="18.75" customHeight="1">
      <c r="B258" s="7">
        <v>248</v>
      </c>
      <c r="C258" s="7">
        <v>248</v>
      </c>
      <c r="D258" s="98">
        <v>178</v>
      </c>
    </row>
    <row r="259" spans="2:4" ht="18.75" customHeight="1">
      <c r="B259" s="5">
        <v>249</v>
      </c>
      <c r="C259" s="7">
        <v>249</v>
      </c>
      <c r="D259" s="98">
        <v>178</v>
      </c>
    </row>
    <row r="260" spans="2:4" ht="18.75" customHeight="1">
      <c r="B260" s="7">
        <v>250</v>
      </c>
      <c r="C260" s="7">
        <v>250</v>
      </c>
      <c r="D260" s="98">
        <v>179</v>
      </c>
    </row>
    <row r="261" spans="2:4" ht="18.75" customHeight="1">
      <c r="B261" s="5">
        <v>251</v>
      </c>
      <c r="C261" s="7">
        <v>251</v>
      </c>
      <c r="D261" s="98">
        <v>179</v>
      </c>
    </row>
    <row r="262" spans="2:4" ht="18.75" customHeight="1">
      <c r="B262" s="7">
        <v>252</v>
      </c>
      <c r="C262" s="7">
        <v>252</v>
      </c>
      <c r="D262" s="98">
        <v>180</v>
      </c>
    </row>
    <row r="263" spans="2:4" ht="18.75" customHeight="1">
      <c r="B263" s="5">
        <v>253</v>
      </c>
      <c r="C263" s="7">
        <v>253</v>
      </c>
      <c r="D263" s="98">
        <v>180</v>
      </c>
    </row>
    <row r="264" spans="2:4" ht="18.75" customHeight="1">
      <c r="B264" s="7">
        <v>254</v>
      </c>
      <c r="C264" s="7">
        <v>254</v>
      </c>
      <c r="D264" s="98">
        <v>181</v>
      </c>
    </row>
    <row r="265" spans="2:4" ht="18.75" customHeight="1">
      <c r="B265" s="5">
        <v>255</v>
      </c>
      <c r="C265" s="7">
        <v>255</v>
      </c>
      <c r="D265" s="98">
        <v>181</v>
      </c>
    </row>
    <row r="266" spans="2:4" ht="18.75" customHeight="1">
      <c r="B266" s="7">
        <v>256</v>
      </c>
      <c r="C266" s="7">
        <v>256</v>
      </c>
      <c r="D266" s="98">
        <v>182</v>
      </c>
    </row>
    <row r="267" spans="2:4" ht="18.75" customHeight="1">
      <c r="B267" s="5">
        <v>257</v>
      </c>
      <c r="C267" s="7">
        <v>257</v>
      </c>
      <c r="D267" s="98">
        <v>182</v>
      </c>
    </row>
    <row r="268" spans="2:4" ht="18.75" customHeight="1">
      <c r="B268" s="7">
        <v>258</v>
      </c>
      <c r="C268" s="7">
        <v>258</v>
      </c>
      <c r="D268" s="98">
        <v>183</v>
      </c>
    </row>
    <row r="269" spans="2:4" ht="18.75" customHeight="1">
      <c r="B269" s="5">
        <v>259</v>
      </c>
      <c r="C269" s="7">
        <v>259</v>
      </c>
      <c r="D269" s="98">
        <v>183</v>
      </c>
    </row>
    <row r="270" spans="2:4" ht="18.75" customHeight="1">
      <c r="B270" s="7">
        <v>260</v>
      </c>
      <c r="C270" s="7">
        <v>260</v>
      </c>
      <c r="D270" s="98">
        <v>186</v>
      </c>
    </row>
    <row r="271" spans="2:4" ht="18.75" customHeight="1">
      <c r="B271" s="5">
        <v>261</v>
      </c>
      <c r="C271" s="7">
        <v>261</v>
      </c>
      <c r="D271" s="98">
        <v>186</v>
      </c>
    </row>
    <row r="272" spans="2:4" ht="18.75" customHeight="1">
      <c r="B272" s="7">
        <v>262</v>
      </c>
      <c r="C272" s="7">
        <v>262</v>
      </c>
      <c r="D272" s="98">
        <v>187</v>
      </c>
    </row>
    <row r="273" spans="2:4" ht="18.75" customHeight="1">
      <c r="B273" s="5">
        <v>263</v>
      </c>
      <c r="C273" s="7">
        <v>263</v>
      </c>
      <c r="D273" s="98">
        <v>187</v>
      </c>
    </row>
    <row r="274" spans="2:4" ht="18.75" customHeight="1">
      <c r="B274" s="7">
        <v>264</v>
      </c>
      <c r="C274" s="7">
        <v>264</v>
      </c>
      <c r="D274" s="98">
        <v>188</v>
      </c>
    </row>
    <row r="275" spans="2:4" ht="18.75" customHeight="1">
      <c r="B275" s="5">
        <v>265</v>
      </c>
      <c r="C275" s="7">
        <v>265</v>
      </c>
      <c r="D275" s="98">
        <v>188</v>
      </c>
    </row>
    <row r="276" spans="2:4" ht="18.75" customHeight="1">
      <c r="B276" s="7">
        <v>266</v>
      </c>
      <c r="C276" s="7">
        <v>266</v>
      </c>
      <c r="D276" s="98">
        <v>189</v>
      </c>
    </row>
    <row r="277" spans="2:4" ht="18.75" customHeight="1">
      <c r="B277" s="5">
        <v>267</v>
      </c>
      <c r="C277" s="7">
        <v>267</v>
      </c>
      <c r="D277" s="98">
        <v>189</v>
      </c>
    </row>
    <row r="278" spans="2:4" ht="18.75" customHeight="1">
      <c r="B278" s="7">
        <v>268</v>
      </c>
      <c r="C278" s="7">
        <v>268</v>
      </c>
      <c r="D278" s="98">
        <v>190</v>
      </c>
    </row>
    <row r="279" spans="2:4" ht="18.75" customHeight="1">
      <c r="B279" s="5">
        <v>269</v>
      </c>
      <c r="C279" s="7">
        <v>269</v>
      </c>
      <c r="D279" s="98">
        <v>190</v>
      </c>
    </row>
    <row r="280" spans="2:4" ht="18.75" customHeight="1">
      <c r="B280" s="7">
        <v>270</v>
      </c>
      <c r="C280" s="7">
        <v>270</v>
      </c>
      <c r="D280" s="98">
        <v>191</v>
      </c>
    </row>
    <row r="281" spans="2:4" ht="18.75" customHeight="1">
      <c r="B281" s="5">
        <v>271</v>
      </c>
      <c r="C281" s="7">
        <v>271</v>
      </c>
      <c r="D281" s="98">
        <v>191</v>
      </c>
    </row>
    <row r="282" spans="2:4" ht="18.75" customHeight="1">
      <c r="B282" s="7">
        <v>272</v>
      </c>
      <c r="C282" s="7">
        <v>272</v>
      </c>
      <c r="D282" s="98">
        <v>192</v>
      </c>
    </row>
    <row r="283" spans="2:4" ht="18.75" customHeight="1">
      <c r="B283" s="5">
        <v>273</v>
      </c>
      <c r="C283" s="7">
        <v>273</v>
      </c>
      <c r="D283" s="98">
        <v>192</v>
      </c>
    </row>
    <row r="284" spans="2:4" ht="18.75" customHeight="1">
      <c r="B284" s="7">
        <v>274</v>
      </c>
      <c r="C284" s="7">
        <v>274</v>
      </c>
      <c r="D284" s="98">
        <v>193</v>
      </c>
    </row>
    <row r="285" spans="2:4" ht="18.75" customHeight="1">
      <c r="B285" s="5">
        <v>275</v>
      </c>
      <c r="C285" s="7">
        <v>275</v>
      </c>
      <c r="D285" s="98">
        <v>193</v>
      </c>
    </row>
    <row r="286" spans="2:4" ht="18.75" customHeight="1">
      <c r="B286" s="7">
        <v>276</v>
      </c>
      <c r="C286" s="7">
        <v>276</v>
      </c>
      <c r="D286" s="98">
        <v>194</v>
      </c>
    </row>
    <row r="287" spans="2:4" ht="18.75" customHeight="1">
      <c r="B287" s="5">
        <v>277</v>
      </c>
      <c r="C287" s="7">
        <v>277</v>
      </c>
      <c r="D287" s="98">
        <v>194</v>
      </c>
    </row>
    <row r="288" spans="2:4" ht="18.75" customHeight="1">
      <c r="B288" s="7">
        <v>278</v>
      </c>
      <c r="C288" s="7">
        <v>278</v>
      </c>
      <c r="D288" s="98">
        <v>195</v>
      </c>
    </row>
    <row r="289" spans="2:4" ht="18.75" customHeight="1">
      <c r="B289" s="5">
        <v>279</v>
      </c>
      <c r="C289" s="7">
        <v>279</v>
      </c>
      <c r="D289" s="98">
        <v>195</v>
      </c>
    </row>
    <row r="290" spans="2:4" ht="18.75" customHeight="1">
      <c r="B290" s="7">
        <v>280</v>
      </c>
      <c r="C290" s="7">
        <v>280</v>
      </c>
      <c r="D290" s="98">
        <v>198</v>
      </c>
    </row>
    <row r="291" spans="2:4" ht="18.75" customHeight="1">
      <c r="B291" s="5">
        <v>281</v>
      </c>
      <c r="C291" s="7">
        <v>281</v>
      </c>
      <c r="D291" s="98">
        <v>198</v>
      </c>
    </row>
    <row r="292" spans="2:4" ht="18.75" customHeight="1">
      <c r="B292" s="7">
        <v>282</v>
      </c>
      <c r="C292" s="7">
        <v>282</v>
      </c>
      <c r="D292" s="98">
        <v>199</v>
      </c>
    </row>
    <row r="293" spans="2:4" ht="18.75" customHeight="1">
      <c r="B293" s="5">
        <v>283</v>
      </c>
      <c r="C293" s="7">
        <v>283</v>
      </c>
      <c r="D293" s="98">
        <v>199</v>
      </c>
    </row>
    <row r="294" spans="2:4" ht="18.75" customHeight="1">
      <c r="B294" s="7">
        <v>284</v>
      </c>
      <c r="C294" s="7">
        <v>284</v>
      </c>
      <c r="D294" s="98">
        <v>200</v>
      </c>
    </row>
    <row r="295" spans="2:4" ht="18.75" customHeight="1">
      <c r="B295" s="5">
        <v>285</v>
      </c>
      <c r="C295" s="7">
        <v>285</v>
      </c>
      <c r="D295" s="98">
        <v>200</v>
      </c>
    </row>
    <row r="296" spans="2:4" ht="18.75" customHeight="1">
      <c r="B296" s="7">
        <v>286</v>
      </c>
      <c r="C296" s="7">
        <v>286</v>
      </c>
      <c r="D296" s="98">
        <v>201</v>
      </c>
    </row>
    <row r="297" spans="2:4" ht="18.75" customHeight="1">
      <c r="B297" s="5">
        <v>287</v>
      </c>
      <c r="C297" s="7">
        <v>287</v>
      </c>
      <c r="D297" s="98">
        <v>201</v>
      </c>
    </row>
    <row r="298" spans="2:4" ht="18.75" customHeight="1">
      <c r="B298" s="7">
        <v>288</v>
      </c>
      <c r="C298" s="7">
        <v>288</v>
      </c>
      <c r="D298" s="98">
        <v>202</v>
      </c>
    </row>
    <row r="299" spans="2:4" ht="18.75" customHeight="1">
      <c r="B299" s="5">
        <v>289</v>
      </c>
      <c r="C299" s="7">
        <v>289</v>
      </c>
      <c r="D299" s="98">
        <v>202</v>
      </c>
    </row>
    <row r="300" spans="2:4" ht="18.75" customHeight="1">
      <c r="B300" s="7">
        <v>290</v>
      </c>
      <c r="C300" s="7">
        <v>290</v>
      </c>
      <c r="D300" s="98">
        <v>203</v>
      </c>
    </row>
    <row r="301" spans="2:4" ht="18.75" customHeight="1">
      <c r="B301" s="5">
        <v>291</v>
      </c>
      <c r="C301" s="7">
        <v>291</v>
      </c>
      <c r="D301" s="98">
        <v>203</v>
      </c>
    </row>
    <row r="302" spans="2:4" ht="18.75" customHeight="1">
      <c r="B302" s="7">
        <v>292</v>
      </c>
      <c r="C302" s="7">
        <v>292</v>
      </c>
      <c r="D302" s="98">
        <v>204</v>
      </c>
    </row>
    <row r="303" spans="2:4" ht="18.75" customHeight="1">
      <c r="B303" s="5">
        <v>293</v>
      </c>
      <c r="C303" s="7">
        <v>293</v>
      </c>
      <c r="D303" s="98">
        <v>204</v>
      </c>
    </row>
    <row r="304" spans="2:4" ht="18.75" customHeight="1">
      <c r="B304" s="7">
        <v>294</v>
      </c>
      <c r="C304" s="7">
        <v>294</v>
      </c>
      <c r="D304" s="98">
        <v>205</v>
      </c>
    </row>
    <row r="305" spans="2:4" ht="18.75" customHeight="1">
      <c r="B305" s="5">
        <v>295</v>
      </c>
      <c r="C305" s="7">
        <v>295</v>
      </c>
      <c r="D305" s="98">
        <v>205</v>
      </c>
    </row>
    <row r="306" spans="2:4" ht="18.75" customHeight="1">
      <c r="B306" s="7">
        <v>296</v>
      </c>
      <c r="C306" s="7">
        <v>296</v>
      </c>
      <c r="D306" s="98">
        <v>206</v>
      </c>
    </row>
    <row r="307" spans="2:4" ht="18.75" customHeight="1">
      <c r="B307" s="5">
        <v>297</v>
      </c>
      <c r="C307" s="7">
        <v>297</v>
      </c>
      <c r="D307" s="98">
        <v>206</v>
      </c>
    </row>
    <row r="308" spans="2:4" ht="18.75" customHeight="1">
      <c r="B308" s="7">
        <v>298</v>
      </c>
      <c r="C308" s="7">
        <v>298</v>
      </c>
      <c r="D308" s="98">
        <v>207</v>
      </c>
    </row>
    <row r="309" spans="2:4" ht="18.75" customHeight="1">
      <c r="B309" s="5">
        <v>299</v>
      </c>
      <c r="C309" s="7">
        <v>299</v>
      </c>
      <c r="D309" s="98">
        <v>207</v>
      </c>
    </row>
    <row r="310" spans="2:4" ht="18.75" customHeight="1">
      <c r="B310" s="7">
        <v>300</v>
      </c>
      <c r="C310" s="7">
        <v>300</v>
      </c>
      <c r="D310" s="98">
        <v>210</v>
      </c>
    </row>
    <row r="311" spans="2:4" ht="18.75" customHeight="1">
      <c r="B311" s="5">
        <v>301</v>
      </c>
      <c r="C311" s="6">
        <v>301</v>
      </c>
      <c r="D311" s="98">
        <v>210</v>
      </c>
    </row>
    <row r="312" spans="2:4" ht="18.75" customHeight="1">
      <c r="B312" s="7">
        <v>302</v>
      </c>
      <c r="C312" s="7">
        <v>302</v>
      </c>
      <c r="D312" s="98">
        <v>211</v>
      </c>
    </row>
    <row r="313" spans="2:4" ht="18.75" customHeight="1">
      <c r="B313" s="5">
        <v>303</v>
      </c>
      <c r="C313" s="7">
        <v>303</v>
      </c>
      <c r="D313" s="98">
        <v>211</v>
      </c>
    </row>
    <row r="314" spans="2:4" ht="18.75" customHeight="1">
      <c r="B314" s="7">
        <v>304</v>
      </c>
      <c r="C314" s="7">
        <v>304</v>
      </c>
      <c r="D314" s="98">
        <v>212</v>
      </c>
    </row>
    <row r="315" spans="2:4" ht="18.75" customHeight="1">
      <c r="B315" s="5">
        <v>305</v>
      </c>
      <c r="C315" s="7">
        <v>305</v>
      </c>
      <c r="D315" s="98">
        <v>212</v>
      </c>
    </row>
    <row r="316" spans="2:4" ht="18.75" customHeight="1">
      <c r="B316" s="7">
        <v>306</v>
      </c>
      <c r="C316" s="7">
        <v>306</v>
      </c>
      <c r="D316" s="98">
        <v>213</v>
      </c>
    </row>
    <row r="317" spans="2:4" ht="18.75" customHeight="1">
      <c r="B317" s="5">
        <v>307</v>
      </c>
      <c r="C317" s="7">
        <v>307</v>
      </c>
      <c r="D317" s="98">
        <v>213</v>
      </c>
    </row>
    <row r="318" spans="2:4" ht="18.75" customHeight="1">
      <c r="B318" s="7">
        <v>308</v>
      </c>
      <c r="C318" s="7">
        <v>308</v>
      </c>
      <c r="D318" s="98">
        <v>214</v>
      </c>
    </row>
    <row r="319" spans="2:4" ht="18.75" customHeight="1">
      <c r="B319" s="5">
        <v>309</v>
      </c>
      <c r="C319" s="7">
        <v>309</v>
      </c>
      <c r="D319" s="98">
        <v>214</v>
      </c>
    </row>
    <row r="320" spans="2:4" ht="18.75" customHeight="1">
      <c r="B320" s="7">
        <v>310</v>
      </c>
      <c r="C320" s="7">
        <v>310</v>
      </c>
      <c r="D320" s="98">
        <v>215</v>
      </c>
    </row>
    <row r="321" spans="2:4" ht="18.75" customHeight="1">
      <c r="B321" s="5">
        <v>311</v>
      </c>
      <c r="C321" s="7">
        <v>311</v>
      </c>
      <c r="D321" s="98">
        <v>215</v>
      </c>
    </row>
    <row r="322" spans="2:4" ht="18.75" customHeight="1">
      <c r="B322" s="7">
        <v>312</v>
      </c>
      <c r="C322" s="7">
        <v>312</v>
      </c>
      <c r="D322" s="98">
        <v>216</v>
      </c>
    </row>
    <row r="323" spans="2:4" ht="18.75" customHeight="1">
      <c r="B323" s="5">
        <v>313</v>
      </c>
      <c r="C323" s="7">
        <v>313</v>
      </c>
      <c r="D323" s="98">
        <v>216</v>
      </c>
    </row>
    <row r="324" spans="2:4" ht="18.75" customHeight="1">
      <c r="B324" s="7">
        <v>314</v>
      </c>
      <c r="C324" s="7">
        <v>314</v>
      </c>
      <c r="D324" s="98">
        <v>217</v>
      </c>
    </row>
    <row r="325" spans="2:4" ht="18.75" customHeight="1">
      <c r="B325" s="5">
        <v>315</v>
      </c>
      <c r="C325" s="7">
        <v>315</v>
      </c>
      <c r="D325" s="98">
        <v>217</v>
      </c>
    </row>
    <row r="326" spans="2:4" ht="18.75" customHeight="1">
      <c r="B326" s="7">
        <v>316</v>
      </c>
      <c r="C326" s="7">
        <v>316</v>
      </c>
      <c r="D326" s="98">
        <v>218</v>
      </c>
    </row>
    <row r="327" spans="2:4" ht="18.75" customHeight="1">
      <c r="B327" s="5">
        <v>317</v>
      </c>
      <c r="C327" s="7">
        <v>317</v>
      </c>
      <c r="D327" s="98">
        <v>218</v>
      </c>
    </row>
    <row r="328" spans="2:4" ht="18.75" customHeight="1">
      <c r="B328" s="7">
        <v>318</v>
      </c>
      <c r="C328" s="7">
        <v>318</v>
      </c>
      <c r="D328" s="98">
        <v>219</v>
      </c>
    </row>
    <row r="329" spans="2:4" ht="18.75" customHeight="1">
      <c r="B329" s="5">
        <v>319</v>
      </c>
      <c r="C329" s="7">
        <v>319</v>
      </c>
      <c r="D329" s="98">
        <v>219</v>
      </c>
    </row>
    <row r="330" spans="2:4" ht="18.75" customHeight="1">
      <c r="B330" s="7">
        <v>320</v>
      </c>
      <c r="C330" s="7">
        <v>320</v>
      </c>
      <c r="D330" s="98">
        <v>222</v>
      </c>
    </row>
    <row r="331" spans="2:4" ht="18.75" customHeight="1">
      <c r="B331" s="5">
        <v>321</v>
      </c>
      <c r="C331" s="7">
        <v>321</v>
      </c>
      <c r="D331" s="98">
        <v>222</v>
      </c>
    </row>
    <row r="332" spans="2:4" ht="18.75" customHeight="1">
      <c r="B332" s="7">
        <v>322</v>
      </c>
      <c r="C332" s="7">
        <v>322</v>
      </c>
      <c r="D332" s="98">
        <v>223</v>
      </c>
    </row>
    <row r="333" spans="2:4" ht="18.75" customHeight="1">
      <c r="B333" s="5">
        <v>323</v>
      </c>
      <c r="C333" s="7">
        <v>323</v>
      </c>
      <c r="D333" s="98">
        <v>223</v>
      </c>
    </row>
    <row r="334" spans="2:4" ht="18.75" customHeight="1">
      <c r="B334" s="7">
        <v>324</v>
      </c>
      <c r="C334" s="7">
        <v>324</v>
      </c>
      <c r="D334" s="98">
        <v>224</v>
      </c>
    </row>
    <row r="335" spans="2:4" ht="18.75" customHeight="1">
      <c r="B335" s="5">
        <v>325</v>
      </c>
      <c r="C335" s="7">
        <v>325</v>
      </c>
      <c r="D335" s="98">
        <v>224</v>
      </c>
    </row>
    <row r="336" spans="2:4" ht="18.75" customHeight="1">
      <c r="B336" s="7">
        <v>326</v>
      </c>
      <c r="C336" s="7">
        <v>326</v>
      </c>
      <c r="D336" s="98">
        <v>225</v>
      </c>
    </row>
    <row r="337" spans="2:4" ht="18.75" customHeight="1">
      <c r="B337" s="5">
        <v>327</v>
      </c>
      <c r="C337" s="7">
        <v>327</v>
      </c>
      <c r="D337" s="98">
        <v>225</v>
      </c>
    </row>
    <row r="338" spans="2:4" ht="18.75" customHeight="1">
      <c r="B338" s="7">
        <v>328</v>
      </c>
      <c r="C338" s="7">
        <v>328</v>
      </c>
      <c r="D338" s="98">
        <v>226</v>
      </c>
    </row>
    <row r="339" spans="2:4" ht="18.75" customHeight="1">
      <c r="B339" s="5">
        <v>329</v>
      </c>
      <c r="C339" s="7">
        <v>329</v>
      </c>
      <c r="D339" s="98">
        <v>226</v>
      </c>
    </row>
    <row r="340" spans="2:4" ht="18.75" customHeight="1">
      <c r="B340" s="7">
        <v>330</v>
      </c>
      <c r="C340" s="7">
        <v>330</v>
      </c>
      <c r="D340" s="98">
        <v>227</v>
      </c>
    </row>
    <row r="341" spans="2:4" ht="18.75" customHeight="1">
      <c r="B341" s="5">
        <v>331</v>
      </c>
      <c r="C341" s="7">
        <v>331</v>
      </c>
      <c r="D341" s="98">
        <v>227</v>
      </c>
    </row>
    <row r="342" spans="2:4" ht="18.75" customHeight="1">
      <c r="B342" s="7">
        <v>332</v>
      </c>
      <c r="C342" s="7">
        <v>332</v>
      </c>
      <c r="D342" s="98">
        <v>228</v>
      </c>
    </row>
    <row r="343" spans="2:4" ht="18.75" customHeight="1">
      <c r="B343" s="5">
        <v>333</v>
      </c>
      <c r="C343" s="7">
        <v>333</v>
      </c>
      <c r="D343" s="98">
        <v>228</v>
      </c>
    </row>
    <row r="344" spans="2:4" ht="18.75" customHeight="1">
      <c r="B344" s="7">
        <v>334</v>
      </c>
      <c r="C344" s="7">
        <v>334</v>
      </c>
      <c r="D344" s="98">
        <v>229</v>
      </c>
    </row>
    <row r="345" spans="2:4" ht="18.75" customHeight="1">
      <c r="B345" s="5">
        <v>335</v>
      </c>
      <c r="C345" s="7">
        <v>335</v>
      </c>
      <c r="D345" s="98">
        <v>229</v>
      </c>
    </row>
    <row r="346" spans="2:4" ht="18.75" customHeight="1">
      <c r="B346" s="7">
        <v>336</v>
      </c>
      <c r="C346" s="7">
        <v>336</v>
      </c>
      <c r="D346" s="98">
        <v>230</v>
      </c>
    </row>
    <row r="347" spans="2:4" ht="18.75" customHeight="1">
      <c r="B347" s="5">
        <v>337</v>
      </c>
      <c r="C347" s="7">
        <v>337</v>
      </c>
      <c r="D347" s="98">
        <v>230</v>
      </c>
    </row>
    <row r="348" spans="2:4" ht="18.75" customHeight="1">
      <c r="B348" s="7">
        <v>338</v>
      </c>
      <c r="C348" s="7">
        <v>338</v>
      </c>
      <c r="D348" s="98">
        <v>231</v>
      </c>
    </row>
    <row r="349" spans="2:4" ht="18.75" customHeight="1">
      <c r="B349" s="5">
        <v>339</v>
      </c>
      <c r="C349" s="7">
        <v>339</v>
      </c>
      <c r="D349" s="98">
        <v>231</v>
      </c>
    </row>
    <row r="350" spans="2:4" ht="18.75" customHeight="1">
      <c r="B350" s="7">
        <v>340</v>
      </c>
      <c r="C350" s="7">
        <v>340</v>
      </c>
      <c r="D350" s="98">
        <v>234</v>
      </c>
    </row>
    <row r="351" spans="2:4" ht="18.75" customHeight="1">
      <c r="B351" s="5">
        <v>341</v>
      </c>
      <c r="C351" s="7">
        <v>341</v>
      </c>
      <c r="D351" s="98">
        <v>234</v>
      </c>
    </row>
    <row r="352" spans="2:4" ht="18.75" customHeight="1">
      <c r="B352" s="7">
        <v>342</v>
      </c>
      <c r="C352" s="7">
        <v>342</v>
      </c>
      <c r="D352" s="98">
        <v>235</v>
      </c>
    </row>
    <row r="353" spans="2:4" ht="18.75" customHeight="1">
      <c r="B353" s="5">
        <v>343</v>
      </c>
      <c r="C353" s="7">
        <v>343</v>
      </c>
      <c r="D353" s="98">
        <v>235</v>
      </c>
    </row>
    <row r="354" spans="2:4" ht="18.75" customHeight="1">
      <c r="B354" s="7">
        <v>344</v>
      </c>
      <c r="C354" s="7">
        <v>344</v>
      </c>
      <c r="D354" s="98">
        <v>236</v>
      </c>
    </row>
    <row r="355" spans="2:4" ht="18.75" customHeight="1">
      <c r="B355" s="5">
        <v>345</v>
      </c>
      <c r="C355" s="7">
        <v>345</v>
      </c>
      <c r="D355" s="98">
        <v>236</v>
      </c>
    </row>
    <row r="356" spans="2:4" ht="18.75" customHeight="1">
      <c r="B356" s="7">
        <v>346</v>
      </c>
      <c r="C356" s="7">
        <v>346</v>
      </c>
      <c r="D356" s="98">
        <v>237</v>
      </c>
    </row>
    <row r="357" spans="2:4" ht="18.75" customHeight="1">
      <c r="B357" s="5">
        <v>347</v>
      </c>
      <c r="C357" s="7">
        <v>347</v>
      </c>
      <c r="D357" s="98">
        <v>237</v>
      </c>
    </row>
    <row r="358" spans="2:4" ht="18.75" customHeight="1">
      <c r="B358" s="7">
        <v>348</v>
      </c>
      <c r="C358" s="7">
        <v>348</v>
      </c>
      <c r="D358" s="98">
        <v>238</v>
      </c>
    </row>
    <row r="359" spans="2:4" ht="18.75" customHeight="1">
      <c r="B359" s="5">
        <v>349</v>
      </c>
      <c r="C359" s="7">
        <v>349</v>
      </c>
      <c r="D359" s="98">
        <v>238</v>
      </c>
    </row>
    <row r="360" spans="2:4" ht="18.75" customHeight="1">
      <c r="B360" s="7">
        <v>350</v>
      </c>
      <c r="C360" s="7">
        <v>350</v>
      </c>
      <c r="D360" s="98">
        <v>239</v>
      </c>
    </row>
    <row r="361" spans="2:4" ht="18.75" customHeight="1">
      <c r="B361" s="5">
        <v>351</v>
      </c>
      <c r="C361" s="7">
        <v>351</v>
      </c>
      <c r="D361" s="98">
        <v>239</v>
      </c>
    </row>
    <row r="362" spans="2:4" ht="18.75" customHeight="1">
      <c r="B362" s="7">
        <v>352</v>
      </c>
      <c r="C362" s="7">
        <v>352</v>
      </c>
      <c r="D362" s="98">
        <v>240</v>
      </c>
    </row>
    <row r="363" spans="2:4" ht="18.75" customHeight="1">
      <c r="B363" s="5">
        <v>353</v>
      </c>
      <c r="C363" s="7">
        <v>353</v>
      </c>
      <c r="D363" s="98">
        <v>240</v>
      </c>
    </row>
    <row r="364" spans="2:4" ht="18.75" customHeight="1">
      <c r="B364" s="7">
        <v>354</v>
      </c>
      <c r="C364" s="7">
        <v>354</v>
      </c>
      <c r="D364" s="98">
        <v>241</v>
      </c>
    </row>
    <row r="365" spans="2:4" ht="18.75" customHeight="1">
      <c r="B365" s="5">
        <v>355</v>
      </c>
      <c r="C365" s="7">
        <v>355</v>
      </c>
      <c r="D365" s="98">
        <v>241</v>
      </c>
    </row>
    <row r="366" spans="2:4" ht="18.75" customHeight="1">
      <c r="B366" s="7">
        <v>356</v>
      </c>
      <c r="C366" s="7">
        <v>356</v>
      </c>
      <c r="D366" s="98">
        <v>242</v>
      </c>
    </row>
    <row r="367" spans="2:4" ht="18.75" customHeight="1">
      <c r="B367" s="5">
        <v>357</v>
      </c>
      <c r="C367" s="7">
        <v>357</v>
      </c>
      <c r="D367" s="98">
        <v>242</v>
      </c>
    </row>
    <row r="368" spans="2:4" ht="18.75" customHeight="1">
      <c r="B368" s="7">
        <v>358</v>
      </c>
      <c r="C368" s="7">
        <v>358</v>
      </c>
      <c r="D368" s="98">
        <v>243</v>
      </c>
    </row>
    <row r="369" spans="2:4" ht="18.75" customHeight="1">
      <c r="B369" s="5">
        <v>359</v>
      </c>
      <c r="C369" s="7">
        <v>359</v>
      </c>
      <c r="D369" s="98">
        <v>243</v>
      </c>
    </row>
    <row r="370" spans="2:4" ht="18.75" customHeight="1">
      <c r="B370" s="7">
        <v>360</v>
      </c>
      <c r="C370" s="7">
        <v>360</v>
      </c>
      <c r="D370" s="98">
        <v>246</v>
      </c>
    </row>
    <row r="371" spans="2:4" ht="18.75" customHeight="1">
      <c r="B371" s="5">
        <v>361</v>
      </c>
      <c r="C371" s="7">
        <v>361</v>
      </c>
      <c r="D371" s="98">
        <v>246</v>
      </c>
    </row>
    <row r="372" spans="2:4" ht="18.75" customHeight="1">
      <c r="B372" s="7">
        <v>362</v>
      </c>
      <c r="C372" s="7">
        <v>362</v>
      </c>
      <c r="D372" s="98">
        <v>247</v>
      </c>
    </row>
    <row r="373" spans="2:4" ht="18.75" customHeight="1">
      <c r="B373" s="5">
        <v>363</v>
      </c>
      <c r="C373" s="7">
        <v>363</v>
      </c>
      <c r="D373" s="98">
        <v>247</v>
      </c>
    </row>
    <row r="374" spans="2:4" ht="18.75" customHeight="1">
      <c r="B374" s="7">
        <v>364</v>
      </c>
      <c r="C374" s="7">
        <v>364</v>
      </c>
      <c r="D374" s="98">
        <v>248</v>
      </c>
    </row>
    <row r="375" spans="2:4" ht="18.75" customHeight="1">
      <c r="B375" s="5">
        <v>365</v>
      </c>
      <c r="C375" s="7">
        <v>365</v>
      </c>
      <c r="D375" s="98">
        <v>248</v>
      </c>
    </row>
    <row r="376" spans="2:4" ht="18.75" customHeight="1">
      <c r="B376" s="7">
        <v>366</v>
      </c>
      <c r="C376" s="7">
        <v>366</v>
      </c>
      <c r="D376" s="98">
        <v>249</v>
      </c>
    </row>
    <row r="377" spans="2:4" ht="18.75" customHeight="1">
      <c r="B377" s="5">
        <v>367</v>
      </c>
      <c r="C377" s="7">
        <v>367</v>
      </c>
      <c r="D377" s="98">
        <v>249</v>
      </c>
    </row>
    <row r="378" spans="2:4" ht="18.75" customHeight="1">
      <c r="B378" s="7">
        <v>368</v>
      </c>
      <c r="C378" s="7">
        <v>368</v>
      </c>
      <c r="D378" s="98">
        <v>250</v>
      </c>
    </row>
    <row r="379" spans="2:4" ht="18.75" customHeight="1">
      <c r="B379" s="5">
        <v>369</v>
      </c>
      <c r="C379" s="7">
        <v>369</v>
      </c>
      <c r="D379" s="98">
        <v>250</v>
      </c>
    </row>
    <row r="380" spans="2:4" ht="18.75" customHeight="1">
      <c r="B380" s="7">
        <v>370</v>
      </c>
      <c r="C380" s="7">
        <v>370</v>
      </c>
      <c r="D380" s="98">
        <v>251</v>
      </c>
    </row>
    <row r="381" spans="2:4" ht="18.75" customHeight="1">
      <c r="B381" s="5">
        <v>371</v>
      </c>
      <c r="C381" s="7">
        <v>371</v>
      </c>
      <c r="D381" s="98">
        <v>251</v>
      </c>
    </row>
    <row r="382" spans="2:4" ht="18.75" customHeight="1">
      <c r="B382" s="7">
        <v>372</v>
      </c>
      <c r="C382" s="7">
        <v>372</v>
      </c>
      <c r="D382" s="98">
        <v>252</v>
      </c>
    </row>
    <row r="383" spans="2:4" ht="18.75" customHeight="1">
      <c r="B383" s="5">
        <v>373</v>
      </c>
      <c r="C383" s="7">
        <v>373</v>
      </c>
      <c r="D383" s="98">
        <v>252</v>
      </c>
    </row>
    <row r="384" spans="2:4" ht="18.75" customHeight="1">
      <c r="B384" s="7">
        <v>374</v>
      </c>
      <c r="C384" s="7">
        <v>374</v>
      </c>
      <c r="D384" s="98">
        <v>253</v>
      </c>
    </row>
    <row r="385" spans="2:4" ht="18.75" customHeight="1">
      <c r="B385" s="5">
        <v>375</v>
      </c>
      <c r="C385" s="7">
        <v>375</v>
      </c>
      <c r="D385" s="98">
        <v>253</v>
      </c>
    </row>
    <row r="386" spans="2:4" ht="18.75" customHeight="1">
      <c r="B386" s="7">
        <v>376</v>
      </c>
      <c r="C386" s="7">
        <v>376</v>
      </c>
      <c r="D386" s="98">
        <v>254</v>
      </c>
    </row>
    <row r="387" spans="2:4" ht="18.75" customHeight="1">
      <c r="B387" s="5">
        <v>377</v>
      </c>
      <c r="C387" s="7">
        <v>377</v>
      </c>
      <c r="D387" s="98">
        <v>254</v>
      </c>
    </row>
    <row r="388" spans="2:4" ht="18.75" customHeight="1">
      <c r="B388" s="7">
        <v>378</v>
      </c>
      <c r="C388" s="7">
        <v>378</v>
      </c>
      <c r="D388" s="98">
        <v>255</v>
      </c>
    </row>
    <row r="389" spans="2:4" ht="18.75" customHeight="1">
      <c r="B389" s="5">
        <v>379</v>
      </c>
      <c r="C389" s="7">
        <v>379</v>
      </c>
      <c r="D389" s="98">
        <v>255</v>
      </c>
    </row>
    <row r="390" spans="2:4" ht="18.75" customHeight="1">
      <c r="B390" s="7">
        <v>380</v>
      </c>
      <c r="C390" s="7">
        <v>380</v>
      </c>
      <c r="D390" s="98">
        <v>258</v>
      </c>
    </row>
    <row r="391" spans="2:4" ht="18.75" customHeight="1">
      <c r="B391" s="5">
        <v>381</v>
      </c>
      <c r="C391" s="7">
        <v>381</v>
      </c>
      <c r="D391" s="98">
        <v>258</v>
      </c>
    </row>
    <row r="392" spans="2:4" ht="18.75" customHeight="1">
      <c r="B392" s="7">
        <v>382</v>
      </c>
      <c r="C392" s="7">
        <v>382</v>
      </c>
      <c r="D392" s="98">
        <v>259</v>
      </c>
    </row>
    <row r="393" spans="2:4" ht="18.75" customHeight="1">
      <c r="B393" s="5">
        <v>383</v>
      </c>
      <c r="C393" s="7">
        <v>383</v>
      </c>
      <c r="D393" s="98">
        <v>259</v>
      </c>
    </row>
    <row r="394" spans="2:4" ht="18.75" customHeight="1">
      <c r="B394" s="7">
        <v>384</v>
      </c>
      <c r="C394" s="7">
        <v>384</v>
      </c>
      <c r="D394" s="98">
        <v>260</v>
      </c>
    </row>
    <row r="395" spans="2:4" ht="18.75" customHeight="1">
      <c r="B395" s="5">
        <v>385</v>
      </c>
      <c r="C395" s="7">
        <v>385</v>
      </c>
      <c r="D395" s="98">
        <v>260</v>
      </c>
    </row>
    <row r="396" spans="2:4" ht="18.75" customHeight="1">
      <c r="B396" s="7">
        <v>386</v>
      </c>
      <c r="C396" s="7">
        <v>386</v>
      </c>
      <c r="D396" s="98">
        <v>261</v>
      </c>
    </row>
    <row r="397" spans="2:4" ht="18.75" customHeight="1">
      <c r="B397" s="5">
        <v>387</v>
      </c>
      <c r="C397" s="7">
        <v>387</v>
      </c>
      <c r="D397" s="98">
        <v>261</v>
      </c>
    </row>
    <row r="398" spans="2:4" ht="18.75" customHeight="1">
      <c r="B398" s="7">
        <v>388</v>
      </c>
      <c r="C398" s="7">
        <v>388</v>
      </c>
      <c r="D398" s="98">
        <v>262</v>
      </c>
    </row>
    <row r="399" spans="2:4" ht="18.75" customHeight="1">
      <c r="B399" s="5">
        <v>389</v>
      </c>
      <c r="C399" s="7">
        <v>389</v>
      </c>
      <c r="D399" s="98">
        <v>262</v>
      </c>
    </row>
    <row r="400" spans="2:4" ht="18.75" customHeight="1">
      <c r="B400" s="7">
        <v>390</v>
      </c>
      <c r="C400" s="7">
        <v>390</v>
      </c>
      <c r="D400" s="98">
        <v>263</v>
      </c>
    </row>
    <row r="401" spans="2:4" ht="18.75" customHeight="1">
      <c r="B401" s="5">
        <v>391</v>
      </c>
      <c r="C401" s="7">
        <v>391</v>
      </c>
      <c r="D401" s="98">
        <v>263</v>
      </c>
    </row>
    <row r="402" spans="2:4" ht="18.75" customHeight="1">
      <c r="B402" s="7">
        <v>392</v>
      </c>
      <c r="C402" s="7">
        <v>392</v>
      </c>
      <c r="D402" s="98">
        <v>264</v>
      </c>
    </row>
    <row r="403" spans="2:4" ht="18.75" customHeight="1">
      <c r="B403" s="5">
        <v>393</v>
      </c>
      <c r="C403" s="7">
        <v>393</v>
      </c>
      <c r="D403" s="98">
        <v>264</v>
      </c>
    </row>
    <row r="404" spans="2:4" ht="18.75" customHeight="1">
      <c r="B404" s="7">
        <v>394</v>
      </c>
      <c r="C404" s="7">
        <v>394</v>
      </c>
      <c r="D404" s="98">
        <v>265</v>
      </c>
    </row>
    <row r="405" spans="2:4" ht="18.75" customHeight="1">
      <c r="B405" s="5">
        <v>395</v>
      </c>
      <c r="C405" s="7">
        <v>395</v>
      </c>
      <c r="D405" s="98">
        <v>265</v>
      </c>
    </row>
    <row r="406" spans="2:4" ht="18.75" customHeight="1">
      <c r="B406" s="7">
        <v>396</v>
      </c>
      <c r="C406" s="7">
        <v>396</v>
      </c>
      <c r="D406" s="98">
        <v>266</v>
      </c>
    </row>
    <row r="407" spans="2:4" ht="18.75" customHeight="1">
      <c r="B407" s="5">
        <v>397</v>
      </c>
      <c r="C407" s="7">
        <v>397</v>
      </c>
      <c r="D407" s="98">
        <v>266</v>
      </c>
    </row>
    <row r="408" spans="2:4" ht="18.75" customHeight="1">
      <c r="B408" s="7">
        <v>398</v>
      </c>
      <c r="C408" s="7">
        <v>398</v>
      </c>
      <c r="D408" s="98">
        <v>267</v>
      </c>
    </row>
    <row r="409" spans="2:4" ht="18.75" customHeight="1">
      <c r="B409" s="5">
        <v>399</v>
      </c>
      <c r="C409" s="7">
        <v>399</v>
      </c>
      <c r="D409" s="98">
        <v>267</v>
      </c>
    </row>
    <row r="410" spans="2:4" ht="18.75" customHeight="1">
      <c r="B410" s="7">
        <v>400</v>
      </c>
      <c r="C410" s="7">
        <v>400</v>
      </c>
      <c r="D410" s="98">
        <v>270</v>
      </c>
    </row>
    <row r="411" spans="2:4" ht="18.75" customHeight="1">
      <c r="B411" s="5">
        <v>401</v>
      </c>
      <c r="C411" s="6">
        <v>401</v>
      </c>
      <c r="D411" s="98">
        <v>270</v>
      </c>
    </row>
    <row r="412" spans="2:4" ht="18.75" customHeight="1">
      <c r="B412" s="7">
        <v>402</v>
      </c>
      <c r="C412" s="7">
        <v>402</v>
      </c>
      <c r="D412" s="98">
        <v>271</v>
      </c>
    </row>
    <row r="413" spans="2:4" ht="18.75" customHeight="1">
      <c r="B413" s="5">
        <v>403</v>
      </c>
      <c r="C413" s="7">
        <v>403</v>
      </c>
      <c r="D413" s="98">
        <v>271</v>
      </c>
    </row>
    <row r="414" spans="2:4" ht="18.75" customHeight="1">
      <c r="B414" s="7">
        <v>404</v>
      </c>
      <c r="C414" s="7">
        <v>404</v>
      </c>
      <c r="D414" s="98">
        <v>272</v>
      </c>
    </row>
    <row r="415" spans="2:4" ht="18.75" customHeight="1">
      <c r="B415" s="5">
        <v>405</v>
      </c>
      <c r="C415" s="7">
        <v>405</v>
      </c>
      <c r="D415" s="98">
        <v>272</v>
      </c>
    </row>
    <row r="416" spans="2:4" ht="18.75" customHeight="1">
      <c r="B416" s="7">
        <v>406</v>
      </c>
      <c r="C416" s="7">
        <v>406</v>
      </c>
      <c r="D416" s="98">
        <v>273</v>
      </c>
    </row>
    <row r="417" spans="2:4" ht="18.75" customHeight="1">
      <c r="B417" s="5">
        <v>407</v>
      </c>
      <c r="C417" s="7">
        <v>407</v>
      </c>
      <c r="D417" s="98">
        <v>273</v>
      </c>
    </row>
    <row r="418" spans="2:4" ht="18.75" customHeight="1">
      <c r="B418" s="7">
        <v>408</v>
      </c>
      <c r="C418" s="7">
        <v>408</v>
      </c>
      <c r="D418" s="98">
        <v>274</v>
      </c>
    </row>
    <row r="419" spans="2:4" ht="18.75" customHeight="1">
      <c r="B419" s="5">
        <v>409</v>
      </c>
      <c r="C419" s="7">
        <v>409</v>
      </c>
      <c r="D419" s="98">
        <v>274</v>
      </c>
    </row>
    <row r="420" spans="2:4" ht="18.75" customHeight="1">
      <c r="B420" s="7">
        <v>410</v>
      </c>
      <c r="C420" s="7">
        <v>410</v>
      </c>
      <c r="D420" s="98">
        <v>275</v>
      </c>
    </row>
    <row r="421" spans="2:4" ht="18.75" customHeight="1">
      <c r="B421" s="5">
        <v>411</v>
      </c>
      <c r="C421" s="7">
        <v>411</v>
      </c>
      <c r="D421" s="98">
        <v>275</v>
      </c>
    </row>
    <row r="422" spans="2:4" ht="18.75" customHeight="1">
      <c r="B422" s="7">
        <v>412</v>
      </c>
      <c r="C422" s="7">
        <v>412</v>
      </c>
      <c r="D422" s="98">
        <v>276</v>
      </c>
    </row>
    <row r="423" spans="2:4" ht="18.75" customHeight="1">
      <c r="B423" s="5">
        <v>413</v>
      </c>
      <c r="C423" s="7">
        <v>413</v>
      </c>
      <c r="D423" s="98">
        <v>276</v>
      </c>
    </row>
    <row r="424" spans="2:4" ht="18.75" customHeight="1">
      <c r="B424" s="7">
        <v>414</v>
      </c>
      <c r="C424" s="7">
        <v>414</v>
      </c>
      <c r="D424" s="98">
        <v>277</v>
      </c>
    </row>
    <row r="425" spans="2:4" ht="18.75" customHeight="1">
      <c r="B425" s="5">
        <v>415</v>
      </c>
      <c r="C425" s="7">
        <v>415</v>
      </c>
      <c r="D425" s="98">
        <v>277</v>
      </c>
    </row>
    <row r="426" spans="2:4" ht="18.75" customHeight="1">
      <c r="B426" s="7">
        <v>416</v>
      </c>
      <c r="C426" s="7">
        <v>416</v>
      </c>
      <c r="D426" s="98">
        <v>278</v>
      </c>
    </row>
    <row r="427" spans="2:4" ht="18.75" customHeight="1">
      <c r="B427" s="5">
        <v>417</v>
      </c>
      <c r="C427" s="7">
        <v>417</v>
      </c>
      <c r="D427" s="98">
        <v>278</v>
      </c>
    </row>
    <row r="428" spans="2:4" ht="18.75" customHeight="1">
      <c r="B428" s="7">
        <v>418</v>
      </c>
      <c r="C428" s="7">
        <v>418</v>
      </c>
      <c r="D428" s="98">
        <v>279</v>
      </c>
    </row>
    <row r="429" spans="2:4" ht="18.75" customHeight="1">
      <c r="B429" s="5">
        <v>419</v>
      </c>
      <c r="C429" s="7">
        <v>419</v>
      </c>
      <c r="D429" s="98">
        <v>279</v>
      </c>
    </row>
    <row r="430" spans="2:4" ht="18.75" customHeight="1">
      <c r="B430" s="7">
        <v>420</v>
      </c>
      <c r="C430" s="7">
        <v>420</v>
      </c>
      <c r="D430" s="98">
        <v>282</v>
      </c>
    </row>
    <row r="431" spans="2:4" ht="18.75" customHeight="1">
      <c r="B431" s="5">
        <v>421</v>
      </c>
      <c r="C431" s="7">
        <v>421</v>
      </c>
      <c r="D431" s="98">
        <v>282</v>
      </c>
    </row>
    <row r="432" spans="2:4" ht="18.75" customHeight="1">
      <c r="B432" s="7">
        <v>422</v>
      </c>
      <c r="C432" s="7">
        <v>422</v>
      </c>
      <c r="D432" s="98">
        <v>283</v>
      </c>
    </row>
    <row r="433" spans="2:4" ht="18.75" customHeight="1">
      <c r="B433" s="5">
        <v>423</v>
      </c>
      <c r="C433" s="7">
        <v>423</v>
      </c>
      <c r="D433" s="98">
        <v>283</v>
      </c>
    </row>
    <row r="434" spans="2:4" ht="18.75" customHeight="1">
      <c r="B434" s="7">
        <v>424</v>
      </c>
      <c r="C434" s="7">
        <v>424</v>
      </c>
      <c r="D434" s="98">
        <v>284</v>
      </c>
    </row>
    <row r="435" spans="2:4" ht="18.75" customHeight="1">
      <c r="B435" s="5">
        <v>425</v>
      </c>
      <c r="C435" s="7">
        <v>425</v>
      </c>
      <c r="D435" s="98">
        <v>284</v>
      </c>
    </row>
    <row r="436" spans="2:4" ht="18.75" customHeight="1">
      <c r="B436" s="7">
        <v>426</v>
      </c>
      <c r="C436" s="7">
        <v>426</v>
      </c>
      <c r="D436" s="98">
        <v>285</v>
      </c>
    </row>
    <row r="437" spans="2:4" ht="18.75" customHeight="1">
      <c r="B437" s="5">
        <v>427</v>
      </c>
      <c r="C437" s="7">
        <v>427</v>
      </c>
      <c r="D437" s="98">
        <v>285</v>
      </c>
    </row>
    <row r="438" spans="2:4" ht="18.75" customHeight="1">
      <c r="B438" s="7">
        <v>428</v>
      </c>
      <c r="C438" s="7">
        <v>428</v>
      </c>
      <c r="D438" s="98">
        <v>286</v>
      </c>
    </row>
    <row r="439" spans="2:4" ht="18.75" customHeight="1">
      <c r="B439" s="5">
        <v>429</v>
      </c>
      <c r="C439" s="7">
        <v>429</v>
      </c>
      <c r="D439" s="98">
        <v>286</v>
      </c>
    </row>
    <row r="440" spans="2:4" ht="18.75" customHeight="1">
      <c r="B440" s="7">
        <v>430</v>
      </c>
      <c r="C440" s="7">
        <v>430</v>
      </c>
      <c r="D440" s="98">
        <v>287</v>
      </c>
    </row>
    <row r="441" spans="2:4" ht="18.75" customHeight="1">
      <c r="B441" s="5">
        <v>431</v>
      </c>
      <c r="C441" s="7">
        <v>431</v>
      </c>
      <c r="D441" s="98">
        <v>287</v>
      </c>
    </row>
    <row r="442" spans="2:4" ht="18.75" customHeight="1">
      <c r="B442" s="7">
        <v>432</v>
      </c>
      <c r="C442" s="7">
        <v>432</v>
      </c>
      <c r="D442" s="98">
        <v>288</v>
      </c>
    </row>
    <row r="443" spans="2:4" ht="18.75" customHeight="1">
      <c r="B443" s="5">
        <v>433</v>
      </c>
      <c r="C443" s="7">
        <v>433</v>
      </c>
      <c r="D443" s="98">
        <v>288</v>
      </c>
    </row>
    <row r="444" spans="2:4" ht="18.75" customHeight="1">
      <c r="B444" s="7">
        <v>434</v>
      </c>
      <c r="C444" s="7">
        <v>434</v>
      </c>
      <c r="D444" s="98">
        <v>289</v>
      </c>
    </row>
    <row r="445" spans="2:4" ht="18.75" customHeight="1">
      <c r="B445" s="5">
        <v>435</v>
      </c>
      <c r="C445" s="7">
        <v>435</v>
      </c>
      <c r="D445" s="98">
        <v>289</v>
      </c>
    </row>
    <row r="446" spans="2:4" ht="18.75" customHeight="1">
      <c r="B446" s="7">
        <v>436</v>
      </c>
      <c r="C446" s="7">
        <v>436</v>
      </c>
      <c r="D446" s="98">
        <v>290</v>
      </c>
    </row>
    <row r="447" spans="2:4" ht="18.75" customHeight="1">
      <c r="B447" s="5">
        <v>437</v>
      </c>
      <c r="C447" s="7">
        <v>437</v>
      </c>
      <c r="D447" s="98">
        <v>290</v>
      </c>
    </row>
    <row r="448" spans="2:4" ht="18.75" customHeight="1">
      <c r="B448" s="7">
        <v>438</v>
      </c>
      <c r="C448" s="7">
        <v>438</v>
      </c>
      <c r="D448" s="98">
        <v>291</v>
      </c>
    </row>
    <row r="449" spans="2:4" ht="18.75" customHeight="1">
      <c r="B449" s="5">
        <v>439</v>
      </c>
      <c r="C449" s="7">
        <v>439</v>
      </c>
      <c r="D449" s="98">
        <v>291</v>
      </c>
    </row>
    <row r="450" spans="2:4" ht="18.75" customHeight="1">
      <c r="B450" s="7">
        <v>440</v>
      </c>
      <c r="C450" s="7">
        <v>440</v>
      </c>
      <c r="D450" s="98">
        <v>294</v>
      </c>
    </row>
    <row r="451" spans="2:4" ht="18.75" customHeight="1">
      <c r="B451" s="5">
        <v>441</v>
      </c>
      <c r="C451" s="7">
        <v>441</v>
      </c>
      <c r="D451" s="98">
        <v>294</v>
      </c>
    </row>
    <row r="452" spans="2:4" ht="18.75" customHeight="1">
      <c r="B452" s="7">
        <v>442</v>
      </c>
      <c r="C452" s="7">
        <v>442</v>
      </c>
      <c r="D452" s="98">
        <v>295</v>
      </c>
    </row>
    <row r="453" spans="2:4" ht="18.75" customHeight="1">
      <c r="B453" s="5">
        <v>443</v>
      </c>
      <c r="C453" s="7">
        <v>443</v>
      </c>
      <c r="D453" s="98">
        <v>295</v>
      </c>
    </row>
    <row r="454" spans="2:4" ht="18.75" customHeight="1">
      <c r="B454" s="7">
        <v>444</v>
      </c>
      <c r="C454" s="7">
        <v>444</v>
      </c>
      <c r="D454" s="98">
        <v>296</v>
      </c>
    </row>
    <row r="455" spans="2:4" ht="18.75" customHeight="1">
      <c r="B455" s="5">
        <v>445</v>
      </c>
      <c r="C455" s="7">
        <v>445</v>
      </c>
      <c r="D455" s="98">
        <v>296</v>
      </c>
    </row>
    <row r="456" spans="2:4" ht="18.75" customHeight="1">
      <c r="B456" s="7">
        <v>446</v>
      </c>
      <c r="C456" s="7">
        <v>446</v>
      </c>
      <c r="D456" s="98">
        <v>297</v>
      </c>
    </row>
    <row r="457" spans="2:4" ht="18.75" customHeight="1">
      <c r="B457" s="5">
        <v>447</v>
      </c>
      <c r="C457" s="7">
        <v>447</v>
      </c>
      <c r="D457" s="98">
        <v>297</v>
      </c>
    </row>
    <row r="458" spans="2:4" ht="18.75" customHeight="1">
      <c r="B458" s="7">
        <v>448</v>
      </c>
      <c r="C458" s="7">
        <v>448</v>
      </c>
      <c r="D458" s="98">
        <v>298</v>
      </c>
    </row>
    <row r="459" spans="2:4" ht="18.75" customHeight="1">
      <c r="B459" s="5">
        <v>449</v>
      </c>
      <c r="C459" s="7">
        <v>449</v>
      </c>
      <c r="D459" s="98">
        <v>298</v>
      </c>
    </row>
    <row r="460" spans="2:4" ht="18.75" customHeight="1">
      <c r="B460" s="7">
        <v>450</v>
      </c>
      <c r="C460" s="7">
        <v>450</v>
      </c>
      <c r="D460" s="98">
        <v>299</v>
      </c>
    </row>
    <row r="461" spans="2:4" ht="18.75" customHeight="1">
      <c r="B461" s="5">
        <v>451</v>
      </c>
      <c r="C461" s="7">
        <v>451</v>
      </c>
      <c r="D461" s="98">
        <v>299</v>
      </c>
    </row>
    <row r="462" spans="2:4" ht="18.75" customHeight="1">
      <c r="B462" s="7">
        <v>452</v>
      </c>
      <c r="C462" s="7">
        <v>452</v>
      </c>
      <c r="D462" s="98">
        <v>300</v>
      </c>
    </row>
    <row r="463" spans="2:4" ht="18.75" customHeight="1">
      <c r="B463" s="5">
        <v>453</v>
      </c>
      <c r="C463" s="7">
        <v>453</v>
      </c>
      <c r="D463" s="98">
        <v>300</v>
      </c>
    </row>
    <row r="464" spans="2:4" ht="18.75" customHeight="1">
      <c r="B464" s="7">
        <v>454</v>
      </c>
      <c r="C464" s="7">
        <v>454</v>
      </c>
      <c r="D464" s="98">
        <v>301</v>
      </c>
    </row>
    <row r="465" spans="2:4" ht="18.75" customHeight="1">
      <c r="B465" s="5">
        <v>455</v>
      </c>
      <c r="C465" s="7">
        <v>455</v>
      </c>
      <c r="D465" s="98">
        <v>301</v>
      </c>
    </row>
    <row r="466" spans="2:4" ht="18.75" customHeight="1">
      <c r="B466" s="7">
        <v>456</v>
      </c>
      <c r="C466" s="7">
        <v>456</v>
      </c>
      <c r="D466" s="98">
        <v>302</v>
      </c>
    </row>
    <row r="467" spans="2:4" ht="18.75" customHeight="1">
      <c r="B467" s="5">
        <v>457</v>
      </c>
      <c r="C467" s="7">
        <v>457</v>
      </c>
      <c r="D467" s="98">
        <v>302</v>
      </c>
    </row>
    <row r="468" spans="2:4" ht="18.75" customHeight="1">
      <c r="B468" s="7">
        <v>458</v>
      </c>
      <c r="C468" s="7">
        <v>458</v>
      </c>
      <c r="D468" s="98">
        <v>303</v>
      </c>
    </row>
    <row r="469" spans="2:4" ht="18.75" customHeight="1">
      <c r="B469" s="5">
        <v>459</v>
      </c>
      <c r="C469" s="7">
        <v>459</v>
      </c>
      <c r="D469" s="98">
        <v>303</v>
      </c>
    </row>
    <row r="470" spans="2:4" ht="18.75" customHeight="1">
      <c r="B470" s="7">
        <v>460</v>
      </c>
      <c r="C470" s="7">
        <v>460</v>
      </c>
      <c r="D470" s="98">
        <v>306</v>
      </c>
    </row>
    <row r="471" spans="2:4" ht="18.75" customHeight="1">
      <c r="B471" s="5">
        <v>461</v>
      </c>
      <c r="C471" s="7">
        <v>461</v>
      </c>
      <c r="D471" s="98">
        <v>306</v>
      </c>
    </row>
    <row r="472" spans="2:4" ht="18.75" customHeight="1">
      <c r="B472" s="7">
        <v>462</v>
      </c>
      <c r="C472" s="7">
        <v>462</v>
      </c>
      <c r="D472" s="98">
        <v>307</v>
      </c>
    </row>
    <row r="473" spans="2:4" ht="18.75" customHeight="1">
      <c r="B473" s="5">
        <v>463</v>
      </c>
      <c r="C473" s="7">
        <v>463</v>
      </c>
      <c r="D473" s="98">
        <v>307</v>
      </c>
    </row>
    <row r="474" spans="2:4" ht="18.75" customHeight="1">
      <c r="B474" s="7">
        <v>464</v>
      </c>
      <c r="C474" s="7">
        <v>464</v>
      </c>
      <c r="D474" s="98">
        <v>308</v>
      </c>
    </row>
    <row r="475" spans="2:4" ht="18.75" customHeight="1">
      <c r="B475" s="5">
        <v>465</v>
      </c>
      <c r="C475" s="7">
        <v>465</v>
      </c>
      <c r="D475" s="98">
        <v>308</v>
      </c>
    </row>
    <row r="476" spans="2:4" ht="18.75" customHeight="1">
      <c r="B476" s="7">
        <v>466</v>
      </c>
      <c r="C476" s="7">
        <v>466</v>
      </c>
      <c r="D476" s="98">
        <v>309</v>
      </c>
    </row>
    <row r="477" spans="2:4" ht="18.75" customHeight="1">
      <c r="B477" s="5">
        <v>467</v>
      </c>
      <c r="C477" s="7">
        <v>467</v>
      </c>
      <c r="D477" s="98">
        <v>309</v>
      </c>
    </row>
    <row r="478" spans="2:4" ht="18.75" customHeight="1">
      <c r="B478" s="7">
        <v>468</v>
      </c>
      <c r="C478" s="7">
        <v>468</v>
      </c>
      <c r="D478" s="98">
        <v>310</v>
      </c>
    </row>
    <row r="479" spans="2:4" ht="18.75" customHeight="1">
      <c r="B479" s="5">
        <v>469</v>
      </c>
      <c r="C479" s="7">
        <v>469</v>
      </c>
      <c r="D479" s="98">
        <v>310</v>
      </c>
    </row>
    <row r="480" spans="2:4" ht="18.75" customHeight="1">
      <c r="B480" s="7">
        <v>470</v>
      </c>
      <c r="C480" s="7">
        <v>470</v>
      </c>
      <c r="D480" s="98">
        <v>311</v>
      </c>
    </row>
    <row r="481" spans="2:4" ht="18.75" customHeight="1">
      <c r="B481" s="5">
        <v>471</v>
      </c>
      <c r="C481" s="7">
        <v>471</v>
      </c>
      <c r="D481" s="98">
        <v>311</v>
      </c>
    </row>
    <row r="482" spans="2:4" ht="18.75" customHeight="1">
      <c r="B482" s="7">
        <v>472</v>
      </c>
      <c r="C482" s="7">
        <v>472</v>
      </c>
      <c r="D482" s="98">
        <v>312</v>
      </c>
    </row>
    <row r="483" spans="2:4" ht="18.75" customHeight="1">
      <c r="B483" s="5">
        <v>473</v>
      </c>
      <c r="C483" s="7">
        <v>473</v>
      </c>
      <c r="D483" s="98">
        <v>312</v>
      </c>
    </row>
    <row r="484" spans="2:4" ht="18.75" customHeight="1">
      <c r="B484" s="7">
        <v>474</v>
      </c>
      <c r="C484" s="7">
        <v>474</v>
      </c>
      <c r="D484" s="98">
        <v>313</v>
      </c>
    </row>
    <row r="485" spans="2:4" ht="18.75" customHeight="1">
      <c r="B485" s="5">
        <v>475</v>
      </c>
      <c r="C485" s="7">
        <v>475</v>
      </c>
      <c r="D485" s="98">
        <v>313</v>
      </c>
    </row>
    <row r="486" spans="2:4" ht="18.75" customHeight="1">
      <c r="B486" s="7">
        <v>476</v>
      </c>
      <c r="C486" s="7">
        <v>476</v>
      </c>
      <c r="D486" s="98">
        <v>314</v>
      </c>
    </row>
    <row r="487" spans="2:4" ht="18.75" customHeight="1">
      <c r="B487" s="5">
        <v>477</v>
      </c>
      <c r="C487" s="7">
        <v>477</v>
      </c>
      <c r="D487" s="98">
        <v>314</v>
      </c>
    </row>
    <row r="488" spans="2:4" ht="18.75" customHeight="1">
      <c r="B488" s="7">
        <v>478</v>
      </c>
      <c r="C488" s="7">
        <v>478</v>
      </c>
      <c r="D488" s="98">
        <v>315</v>
      </c>
    </row>
    <row r="489" spans="2:4" ht="18.75" customHeight="1">
      <c r="B489" s="5">
        <v>479</v>
      </c>
      <c r="C489" s="7">
        <v>479</v>
      </c>
      <c r="D489" s="98">
        <v>315</v>
      </c>
    </row>
    <row r="490" spans="2:4" ht="18.75" customHeight="1">
      <c r="B490" s="7">
        <v>480</v>
      </c>
      <c r="C490" s="7">
        <v>480</v>
      </c>
      <c r="D490" s="98">
        <v>318</v>
      </c>
    </row>
    <row r="491" spans="2:4" ht="18.75" customHeight="1">
      <c r="B491" s="5">
        <v>481</v>
      </c>
      <c r="C491" s="7">
        <v>481</v>
      </c>
      <c r="D491" s="98">
        <v>318</v>
      </c>
    </row>
    <row r="492" spans="2:4" ht="18.75" customHeight="1">
      <c r="B492" s="7">
        <v>482</v>
      </c>
      <c r="C492" s="7">
        <v>482</v>
      </c>
      <c r="D492" s="98">
        <v>319</v>
      </c>
    </row>
    <row r="493" spans="2:4" ht="18.75" customHeight="1">
      <c r="B493" s="5">
        <v>483</v>
      </c>
      <c r="C493" s="7">
        <v>483</v>
      </c>
      <c r="D493" s="98">
        <v>319</v>
      </c>
    </row>
    <row r="494" spans="2:4" ht="18.75" customHeight="1">
      <c r="B494" s="7">
        <v>484</v>
      </c>
      <c r="C494" s="7">
        <v>484</v>
      </c>
      <c r="D494" s="98">
        <v>320</v>
      </c>
    </row>
    <row r="495" spans="2:4" ht="18.75" customHeight="1">
      <c r="B495" s="5">
        <v>485</v>
      </c>
      <c r="C495" s="7">
        <v>485</v>
      </c>
      <c r="D495" s="98">
        <v>320</v>
      </c>
    </row>
    <row r="496" spans="2:4" ht="18.75" customHeight="1">
      <c r="B496" s="7">
        <v>486</v>
      </c>
      <c r="C496" s="7">
        <v>486</v>
      </c>
      <c r="D496" s="98">
        <v>321</v>
      </c>
    </row>
    <row r="497" spans="2:4" ht="18.75" customHeight="1">
      <c r="B497" s="5">
        <v>487</v>
      </c>
      <c r="C497" s="7">
        <v>487</v>
      </c>
      <c r="D497" s="98">
        <v>321</v>
      </c>
    </row>
    <row r="498" spans="2:4" ht="18.75" customHeight="1">
      <c r="B498" s="7">
        <v>488</v>
      </c>
      <c r="C498" s="7">
        <v>488</v>
      </c>
      <c r="D498" s="98">
        <v>322</v>
      </c>
    </row>
    <row r="499" spans="2:4" ht="18.75" customHeight="1">
      <c r="B499" s="5">
        <v>489</v>
      </c>
      <c r="C499" s="7">
        <v>489</v>
      </c>
      <c r="D499" s="98">
        <v>322</v>
      </c>
    </row>
    <row r="500" spans="2:4" ht="18.75" customHeight="1">
      <c r="B500" s="7">
        <v>490</v>
      </c>
      <c r="C500" s="7">
        <v>490</v>
      </c>
      <c r="D500" s="98">
        <v>323</v>
      </c>
    </row>
    <row r="501" spans="2:4" ht="18.75" customHeight="1">
      <c r="B501" s="5">
        <v>491</v>
      </c>
      <c r="C501" s="7">
        <v>491</v>
      </c>
      <c r="D501" s="98">
        <v>323</v>
      </c>
    </row>
    <row r="502" spans="2:4" ht="18.75" customHeight="1">
      <c r="B502" s="7">
        <v>492</v>
      </c>
      <c r="C502" s="7">
        <v>492</v>
      </c>
      <c r="D502" s="98">
        <v>324</v>
      </c>
    </row>
    <row r="503" spans="2:4" ht="18.75" customHeight="1">
      <c r="B503" s="5">
        <v>493</v>
      </c>
      <c r="C503" s="7">
        <v>493</v>
      </c>
      <c r="D503" s="98">
        <v>324</v>
      </c>
    </row>
    <row r="504" spans="2:4" ht="18.75" customHeight="1">
      <c r="B504" s="7">
        <v>494</v>
      </c>
      <c r="C504" s="7">
        <v>494</v>
      </c>
      <c r="D504" s="98">
        <v>325</v>
      </c>
    </row>
    <row r="505" spans="2:4" ht="18.75" customHeight="1">
      <c r="B505" s="5">
        <v>495</v>
      </c>
      <c r="C505" s="7">
        <v>495</v>
      </c>
      <c r="D505" s="98">
        <v>325</v>
      </c>
    </row>
    <row r="506" spans="2:4" ht="18.75" customHeight="1">
      <c r="B506" s="7">
        <v>496</v>
      </c>
      <c r="C506" s="7">
        <v>496</v>
      </c>
      <c r="D506" s="98">
        <v>326</v>
      </c>
    </row>
    <row r="507" spans="2:4" ht="18.75" customHeight="1">
      <c r="B507" s="5">
        <v>497</v>
      </c>
      <c r="C507" s="7">
        <v>497</v>
      </c>
      <c r="D507" s="98">
        <v>326</v>
      </c>
    </row>
    <row r="508" spans="2:4" ht="18.75" customHeight="1">
      <c r="B508" s="7">
        <v>498</v>
      </c>
      <c r="C508" s="7">
        <v>498</v>
      </c>
      <c r="D508" s="98">
        <v>327</v>
      </c>
    </row>
    <row r="509" spans="2:4" ht="18.75" customHeight="1">
      <c r="B509" s="5">
        <v>499</v>
      </c>
      <c r="C509" s="7">
        <v>499</v>
      </c>
      <c r="D509" s="98">
        <v>327</v>
      </c>
    </row>
    <row r="510" spans="2:4" ht="18.75" customHeight="1">
      <c r="B510" s="7">
        <v>500</v>
      </c>
      <c r="C510" s="7">
        <v>500</v>
      </c>
      <c r="D510" s="98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H10" sqref="H10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15" width="10" style="36" customWidth="1"/>
    <col min="16" max="16" width="17.5" style="36" customWidth="1"/>
    <col min="17" max="18" width="10" style="36" customWidth="1"/>
    <col min="19" max="38" width="12.625" style="36" customWidth="1"/>
    <col min="39" max="16384" width="12.625" style="36"/>
  </cols>
  <sheetData>
    <row r="1" spans="1:240" ht="12" customHeight="1"/>
    <row r="2" spans="1:240" ht="40.5" customHeight="1">
      <c r="A2" s="55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771</v>
      </c>
      <c r="T9" s="6" t="s">
        <v>118</v>
      </c>
      <c r="U9" s="5" t="s">
        <v>32</v>
      </c>
      <c r="V9" s="6" t="s">
        <v>771</v>
      </c>
      <c r="W9" s="6" t="s">
        <v>118</v>
      </c>
      <c r="X9" s="5" t="s">
        <v>32</v>
      </c>
      <c r="Y9" s="6" t="s">
        <v>771</v>
      </c>
      <c r="Z9" s="6" t="s">
        <v>118</v>
      </c>
      <c r="AA9" s="5" t="s">
        <v>32</v>
      </c>
      <c r="AB9" s="6" t="s">
        <v>771</v>
      </c>
      <c r="AC9" s="6" t="s">
        <v>118</v>
      </c>
      <c r="AD9" s="5" t="s">
        <v>32</v>
      </c>
      <c r="AE9" s="6" t="s">
        <v>771</v>
      </c>
      <c r="AF9" s="6" t="s">
        <v>118</v>
      </c>
      <c r="AG9" s="5" t="s">
        <v>32</v>
      </c>
      <c r="AH9" s="6" t="s">
        <v>771</v>
      </c>
      <c r="AI9" s="6" t="s">
        <v>118</v>
      </c>
      <c r="AJ9" s="5" t="s">
        <v>32</v>
      </c>
      <c r="AK9" s="6" t="s">
        <v>772</v>
      </c>
      <c r="AL9" s="6" t="s">
        <v>118</v>
      </c>
      <c r="AM9" s="5" t="s">
        <v>32</v>
      </c>
      <c r="AN9" s="6" t="s">
        <v>772</v>
      </c>
      <c r="AO9" s="6" t="s">
        <v>118</v>
      </c>
      <c r="AP9" s="5" t="s">
        <v>32</v>
      </c>
      <c r="AQ9" s="6" t="s">
        <v>772</v>
      </c>
      <c r="AR9" s="6" t="s">
        <v>118</v>
      </c>
      <c r="AS9" s="5" t="s">
        <v>32</v>
      </c>
      <c r="AT9" s="6" t="s">
        <v>772</v>
      </c>
      <c r="AU9" s="6" t="s">
        <v>118</v>
      </c>
      <c r="AV9" s="5" t="s">
        <v>32</v>
      </c>
      <c r="AW9" s="6" t="s">
        <v>772</v>
      </c>
      <c r="AX9" s="6" t="s">
        <v>118</v>
      </c>
      <c r="AY9" s="5" t="s">
        <v>32</v>
      </c>
      <c r="AZ9" s="6" t="s">
        <v>772</v>
      </c>
      <c r="BA9" s="6" t="s">
        <v>118</v>
      </c>
      <c r="BB9" s="5" t="s">
        <v>32</v>
      </c>
      <c r="BC9" s="6" t="s">
        <v>773</v>
      </c>
      <c r="BD9" s="6" t="s">
        <v>118</v>
      </c>
      <c r="BE9" s="5" t="s">
        <v>32</v>
      </c>
      <c r="BF9" s="6" t="s">
        <v>773</v>
      </c>
      <c r="BG9" s="6" t="s">
        <v>118</v>
      </c>
      <c r="BH9" s="5" t="s">
        <v>32</v>
      </c>
      <c r="BI9" s="6" t="s">
        <v>773</v>
      </c>
      <c r="BJ9" s="6" t="s">
        <v>118</v>
      </c>
      <c r="BK9" s="5" t="s">
        <v>32</v>
      </c>
      <c r="BL9" s="6" t="s">
        <v>773</v>
      </c>
      <c r="BM9" s="6" t="s">
        <v>118</v>
      </c>
      <c r="BN9" s="5" t="s">
        <v>32</v>
      </c>
      <c r="BO9" s="6" t="s">
        <v>773</v>
      </c>
      <c r="BP9" s="6" t="s">
        <v>118</v>
      </c>
      <c r="BQ9" s="5" t="s">
        <v>32</v>
      </c>
      <c r="BR9" s="6" t="s">
        <v>773</v>
      </c>
      <c r="BS9" s="6" t="s">
        <v>118</v>
      </c>
      <c r="BT9" s="5" t="s">
        <v>32</v>
      </c>
      <c r="BU9" s="6" t="s">
        <v>774</v>
      </c>
      <c r="BV9" s="6" t="s">
        <v>118</v>
      </c>
      <c r="BW9" s="5" t="s">
        <v>32</v>
      </c>
      <c r="BX9" s="6" t="s">
        <v>774</v>
      </c>
      <c r="BY9" s="6" t="s">
        <v>118</v>
      </c>
      <c r="BZ9" s="5" t="s">
        <v>32</v>
      </c>
      <c r="CA9" s="6" t="s">
        <v>774</v>
      </c>
      <c r="CB9" s="6" t="s">
        <v>118</v>
      </c>
      <c r="CC9" s="5" t="s">
        <v>32</v>
      </c>
      <c r="CD9" s="6" t="s">
        <v>774</v>
      </c>
      <c r="CE9" s="6" t="s">
        <v>118</v>
      </c>
      <c r="CF9" s="5" t="s">
        <v>32</v>
      </c>
      <c r="CG9" s="6" t="s">
        <v>774</v>
      </c>
      <c r="CH9" s="6" t="s">
        <v>118</v>
      </c>
      <c r="CI9" s="5" t="s">
        <v>32</v>
      </c>
      <c r="CJ9" s="6" t="s">
        <v>774</v>
      </c>
      <c r="CK9" s="6" t="s">
        <v>118</v>
      </c>
      <c r="CL9" s="5" t="s">
        <v>32</v>
      </c>
      <c r="CM9" s="6" t="s">
        <v>775</v>
      </c>
      <c r="CN9" s="6" t="s">
        <v>118</v>
      </c>
      <c r="CO9" s="5" t="s">
        <v>32</v>
      </c>
      <c r="CP9" s="6" t="s">
        <v>775</v>
      </c>
      <c r="CQ9" s="6" t="s">
        <v>118</v>
      </c>
      <c r="CR9" s="5" t="s">
        <v>32</v>
      </c>
      <c r="CS9" s="6" t="s">
        <v>775</v>
      </c>
      <c r="CT9" s="6" t="s">
        <v>118</v>
      </c>
      <c r="CU9" s="5" t="s">
        <v>32</v>
      </c>
      <c r="CV9" s="6" t="s">
        <v>775</v>
      </c>
      <c r="CW9" s="6" t="s">
        <v>118</v>
      </c>
      <c r="CX9" s="5" t="s">
        <v>32</v>
      </c>
      <c r="CY9" s="6" t="s">
        <v>775</v>
      </c>
      <c r="CZ9" s="6" t="s">
        <v>118</v>
      </c>
      <c r="DA9" s="5" t="s">
        <v>32</v>
      </c>
      <c r="DB9" s="6" t="s">
        <v>775</v>
      </c>
      <c r="DC9" s="6" t="s">
        <v>118</v>
      </c>
      <c r="DD9" s="5" t="s">
        <v>32</v>
      </c>
      <c r="DE9" s="6" t="s">
        <v>776</v>
      </c>
      <c r="DF9" s="6" t="s">
        <v>118</v>
      </c>
      <c r="DG9" s="5" t="s">
        <v>32</v>
      </c>
      <c r="DH9" s="6" t="s">
        <v>776</v>
      </c>
      <c r="DI9" s="6" t="s">
        <v>118</v>
      </c>
      <c r="DJ9" s="5" t="s">
        <v>32</v>
      </c>
      <c r="DK9" s="6" t="s">
        <v>776</v>
      </c>
      <c r="DL9" s="6" t="s">
        <v>118</v>
      </c>
      <c r="DM9" s="5" t="s">
        <v>32</v>
      </c>
      <c r="DN9" s="6" t="s">
        <v>776</v>
      </c>
      <c r="DO9" s="6" t="s">
        <v>118</v>
      </c>
      <c r="DP9" s="5" t="s">
        <v>32</v>
      </c>
      <c r="DQ9" s="6" t="s">
        <v>776</v>
      </c>
      <c r="DR9" s="6" t="s">
        <v>118</v>
      </c>
      <c r="DS9" s="5" t="s">
        <v>32</v>
      </c>
      <c r="DT9" s="6" t="s">
        <v>776</v>
      </c>
      <c r="DU9" s="6" t="s">
        <v>118</v>
      </c>
      <c r="DV9" s="5" t="s">
        <v>32</v>
      </c>
      <c r="DW9" s="6" t="s">
        <v>777</v>
      </c>
      <c r="DX9" s="6" t="s">
        <v>118</v>
      </c>
      <c r="DY9" s="5" t="s">
        <v>32</v>
      </c>
      <c r="DZ9" s="6" t="s">
        <v>777</v>
      </c>
      <c r="EA9" s="6" t="s">
        <v>118</v>
      </c>
      <c r="EB9" s="5" t="s">
        <v>32</v>
      </c>
      <c r="EC9" s="6" t="s">
        <v>777</v>
      </c>
      <c r="ED9" s="6" t="s">
        <v>118</v>
      </c>
      <c r="EE9" s="5" t="s">
        <v>32</v>
      </c>
      <c r="EF9" s="6" t="s">
        <v>777</v>
      </c>
      <c r="EG9" s="6" t="s">
        <v>118</v>
      </c>
      <c r="EH9" s="5" t="s">
        <v>32</v>
      </c>
      <c r="EI9" s="6" t="s">
        <v>777</v>
      </c>
      <c r="EJ9" s="6" t="s">
        <v>118</v>
      </c>
      <c r="EK9" s="5" t="s">
        <v>32</v>
      </c>
      <c r="EL9" s="6" t="s">
        <v>777</v>
      </c>
      <c r="EM9" s="6" t="s">
        <v>118</v>
      </c>
      <c r="EN9" s="5" t="s">
        <v>32</v>
      </c>
      <c r="EO9" s="6" t="s">
        <v>778</v>
      </c>
      <c r="EP9" s="6" t="s">
        <v>118</v>
      </c>
      <c r="EQ9" s="5" t="s">
        <v>32</v>
      </c>
      <c r="ER9" s="6" t="s">
        <v>778</v>
      </c>
      <c r="ES9" s="6" t="s">
        <v>118</v>
      </c>
      <c r="ET9" s="5" t="s">
        <v>32</v>
      </c>
      <c r="EU9" s="6" t="s">
        <v>778</v>
      </c>
      <c r="EV9" s="6" t="s">
        <v>118</v>
      </c>
      <c r="EW9" s="5" t="s">
        <v>32</v>
      </c>
      <c r="EX9" s="6" t="s">
        <v>778</v>
      </c>
      <c r="EY9" s="6" t="s">
        <v>118</v>
      </c>
      <c r="EZ9" s="5" t="s">
        <v>32</v>
      </c>
      <c r="FA9" s="6" t="s">
        <v>778</v>
      </c>
      <c r="FB9" s="6" t="s">
        <v>118</v>
      </c>
      <c r="FC9" s="5" t="s">
        <v>32</v>
      </c>
      <c r="FD9" s="6" t="s">
        <v>778</v>
      </c>
      <c r="FE9" s="6" t="s">
        <v>118</v>
      </c>
      <c r="FF9" s="5" t="s">
        <v>32</v>
      </c>
      <c r="FG9" s="6" t="s">
        <v>779</v>
      </c>
      <c r="FH9" s="6" t="s">
        <v>118</v>
      </c>
      <c r="FI9" s="5" t="s">
        <v>32</v>
      </c>
      <c r="FJ9" s="6" t="s">
        <v>779</v>
      </c>
      <c r="FK9" s="6" t="s">
        <v>118</v>
      </c>
      <c r="FL9" s="5" t="s">
        <v>32</v>
      </c>
      <c r="FM9" s="6" t="s">
        <v>779</v>
      </c>
      <c r="FN9" s="6" t="s">
        <v>118</v>
      </c>
      <c r="FO9" s="5" t="s">
        <v>32</v>
      </c>
      <c r="FP9" s="6" t="s">
        <v>779</v>
      </c>
      <c r="FQ9" s="6" t="s">
        <v>118</v>
      </c>
      <c r="FR9" s="5" t="s">
        <v>32</v>
      </c>
      <c r="FS9" s="6" t="s">
        <v>779</v>
      </c>
      <c r="FT9" s="6" t="s">
        <v>118</v>
      </c>
      <c r="FU9" s="5" t="s">
        <v>32</v>
      </c>
      <c r="FV9" s="6" t="s">
        <v>779</v>
      </c>
      <c r="FW9" s="6" t="s">
        <v>118</v>
      </c>
      <c r="FX9" s="5" t="s">
        <v>32</v>
      </c>
      <c r="FY9" s="6" t="s">
        <v>780</v>
      </c>
      <c r="FZ9" s="6" t="s">
        <v>118</v>
      </c>
      <c r="GA9" s="5" t="s">
        <v>32</v>
      </c>
      <c r="GB9" s="6" t="s">
        <v>780</v>
      </c>
      <c r="GC9" s="6" t="s">
        <v>118</v>
      </c>
      <c r="GD9" s="5" t="s">
        <v>32</v>
      </c>
      <c r="GE9" s="6" t="s">
        <v>780</v>
      </c>
      <c r="GF9" s="6" t="s">
        <v>118</v>
      </c>
      <c r="GG9" s="5" t="s">
        <v>32</v>
      </c>
      <c r="GH9" s="6" t="s">
        <v>780</v>
      </c>
      <c r="GI9" s="6" t="s">
        <v>118</v>
      </c>
      <c r="GJ9" s="5" t="s">
        <v>32</v>
      </c>
      <c r="GK9" s="6" t="s">
        <v>780</v>
      </c>
      <c r="GL9" s="6" t="s">
        <v>118</v>
      </c>
      <c r="GM9" s="5" t="s">
        <v>32</v>
      </c>
      <c r="GN9" s="6" t="s">
        <v>780</v>
      </c>
      <c r="GO9" s="6" t="s">
        <v>118</v>
      </c>
      <c r="GP9" s="5" t="s">
        <v>32</v>
      </c>
      <c r="GQ9" s="6" t="s">
        <v>781</v>
      </c>
      <c r="GR9" s="6" t="s">
        <v>118</v>
      </c>
      <c r="GS9" s="5" t="s">
        <v>32</v>
      </c>
      <c r="GT9" s="6" t="s">
        <v>781</v>
      </c>
      <c r="GU9" s="6" t="s">
        <v>118</v>
      </c>
      <c r="GV9" s="5" t="s">
        <v>32</v>
      </c>
      <c r="GW9" s="6" t="s">
        <v>781</v>
      </c>
      <c r="GX9" s="6" t="s">
        <v>118</v>
      </c>
      <c r="GY9" s="5" t="s">
        <v>32</v>
      </c>
      <c r="GZ9" s="6" t="s">
        <v>781</v>
      </c>
      <c r="HA9" s="6" t="s">
        <v>118</v>
      </c>
      <c r="HB9" s="5" t="s">
        <v>32</v>
      </c>
      <c r="HC9" s="6" t="s">
        <v>781</v>
      </c>
      <c r="HD9" s="6" t="s">
        <v>118</v>
      </c>
      <c r="HE9" s="5" t="s">
        <v>32</v>
      </c>
      <c r="HF9" s="6" t="s">
        <v>781</v>
      </c>
      <c r="HG9" s="6" t="s">
        <v>118</v>
      </c>
      <c r="HH9" s="5" t="s">
        <v>32</v>
      </c>
      <c r="HI9" s="6" t="s">
        <v>782</v>
      </c>
      <c r="HJ9" s="6" t="s">
        <v>118</v>
      </c>
      <c r="HK9" s="5" t="s">
        <v>32</v>
      </c>
      <c r="HL9" s="6" t="s">
        <v>782</v>
      </c>
      <c r="HM9" s="6" t="s">
        <v>118</v>
      </c>
      <c r="HN9" s="5" t="s">
        <v>32</v>
      </c>
      <c r="HO9" s="6" t="s">
        <v>782</v>
      </c>
      <c r="HP9" s="6" t="s">
        <v>118</v>
      </c>
      <c r="HQ9" s="5" t="s">
        <v>32</v>
      </c>
      <c r="HR9" s="6" t="s">
        <v>782</v>
      </c>
      <c r="HS9" s="6" t="s">
        <v>118</v>
      </c>
      <c r="HT9" s="5" t="s">
        <v>32</v>
      </c>
      <c r="HU9" s="6" t="s">
        <v>782</v>
      </c>
      <c r="HV9" s="6" t="s">
        <v>118</v>
      </c>
      <c r="HW9" s="5" t="s">
        <v>32</v>
      </c>
      <c r="HX9" s="6" t="s">
        <v>782</v>
      </c>
      <c r="HY9" s="6" t="s">
        <v>118</v>
      </c>
      <c r="HZ9" s="5" t="s">
        <v>32</v>
      </c>
      <c r="IA9" s="6" t="s">
        <v>783</v>
      </c>
      <c r="IB9" s="6" t="s">
        <v>118</v>
      </c>
      <c r="IC9" s="5" t="s">
        <v>32</v>
      </c>
      <c r="ID9" s="6" t="s">
        <v>783</v>
      </c>
      <c r="IE9" s="6" t="s">
        <v>118</v>
      </c>
      <c r="IF9" s="5" t="s">
        <v>32</v>
      </c>
    </row>
    <row r="10" spans="1:240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6" t="s">
        <v>107</v>
      </c>
      <c r="B11" s="37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1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5"/>
    </row>
    <row r="12" spans="1:240" ht="18.75" customHeight="1">
      <c r="A12" s="56"/>
      <c r="B12" s="37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5"/>
    </row>
    <row r="13" spans="1:240" ht="18.75" customHeight="1">
      <c r="A13" s="8"/>
      <c r="B13" s="50">
        <v>1002002</v>
      </c>
      <c r="C13" s="48" t="s">
        <v>168</v>
      </c>
      <c r="D13" s="48">
        <v>1</v>
      </c>
      <c r="E13" s="48">
        <v>2</v>
      </c>
      <c r="F13" s="48">
        <v>100</v>
      </c>
      <c r="G13" s="48">
        <v>2</v>
      </c>
      <c r="H13" s="48">
        <v>1</v>
      </c>
      <c r="I13" s="49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5"/>
    </row>
    <row r="14" spans="1:240" ht="18.75" customHeight="1">
      <c r="A14" s="8"/>
      <c r="B14" s="37">
        <v>1000300010001</v>
      </c>
      <c r="C14" s="6" t="s">
        <v>1778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5"/>
    </row>
    <row r="15" spans="1:240" ht="18.75" customHeight="1">
      <c r="A15" s="8"/>
      <c r="B15" s="37">
        <v>1000300010002</v>
      </c>
      <c r="C15" s="6" t="s">
        <v>1779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5"/>
    </row>
    <row r="16" spans="1:240" ht="18.75" customHeight="1">
      <c r="A16" s="8"/>
      <c r="B16" s="37">
        <v>1000300010003</v>
      </c>
      <c r="C16" s="6" t="s">
        <v>1780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5"/>
    </row>
    <row r="17" spans="1:64" ht="18.75" customHeight="1">
      <c r="A17" s="8"/>
      <c r="B17" s="37">
        <v>1000300010004</v>
      </c>
      <c r="C17" s="6" t="s">
        <v>1781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4" ht="18.75" customHeight="1">
      <c r="A18" s="8"/>
      <c r="B18" s="37">
        <v>1000300010005</v>
      </c>
      <c r="C18" s="6" t="s">
        <v>1782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5"/>
    </row>
    <row r="19" spans="1:64" ht="18.75" customHeight="1">
      <c r="A19" s="8"/>
      <c r="B19" s="37">
        <v>1000300020001</v>
      </c>
      <c r="C19" s="6" t="s">
        <v>1824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5"/>
    </row>
    <row r="20" spans="1:64" ht="18.75" customHeight="1">
      <c r="A20" s="8"/>
      <c r="B20" s="37">
        <v>1000300020002</v>
      </c>
      <c r="C20" s="6" t="s">
        <v>1825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4" ht="18.75" customHeight="1">
      <c r="A21" s="8"/>
      <c r="B21" s="37">
        <v>1000300020003</v>
      </c>
      <c r="C21" s="6" t="s">
        <v>1826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5"/>
    </row>
    <row r="22" spans="1:64" ht="18.75" customHeight="1">
      <c r="A22" s="8"/>
      <c r="B22" s="37">
        <v>1000300020004</v>
      </c>
      <c r="C22" s="6" t="s">
        <v>1827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5"/>
    </row>
    <row r="23" spans="1:64" ht="18.75" customHeight="1">
      <c r="A23" s="8"/>
      <c r="B23" s="37">
        <v>1000300020005</v>
      </c>
      <c r="C23" s="6" t="s">
        <v>1828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5"/>
    </row>
    <row r="24" spans="1:64" ht="18.75" customHeight="1">
      <c r="A24" s="8"/>
      <c r="B24" s="37">
        <v>1000300030001</v>
      </c>
      <c r="C24" s="6" t="s">
        <v>1829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5"/>
    </row>
    <row r="25" spans="1:64" ht="18.75" customHeight="1">
      <c r="A25" s="8"/>
      <c r="B25" s="37">
        <v>1000300030002</v>
      </c>
      <c r="C25" s="6" t="s">
        <v>1830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5"/>
    </row>
    <row r="26" spans="1:64" ht="18.75" customHeight="1">
      <c r="A26" s="8"/>
      <c r="B26" s="37">
        <v>1000300030003</v>
      </c>
      <c r="C26" s="6" t="s">
        <v>1831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5"/>
    </row>
    <row r="27" spans="1:64" ht="18.75" customHeight="1">
      <c r="A27" s="8"/>
      <c r="B27" s="37">
        <v>1000300030004</v>
      </c>
      <c r="C27" s="6" t="s">
        <v>1832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5"/>
    </row>
    <row r="28" spans="1:64" ht="18.75" customHeight="1">
      <c r="A28" s="8"/>
      <c r="B28" s="37">
        <v>1000300030005</v>
      </c>
      <c r="C28" s="6" t="s">
        <v>1833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5"/>
    </row>
    <row r="29" spans="1:64" ht="18.75" customHeight="1">
      <c r="A29" s="8"/>
      <c r="B29" s="37">
        <v>1000300040001</v>
      </c>
      <c r="C29" s="6" t="s">
        <v>1834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5"/>
    </row>
    <row r="30" spans="1:64" ht="18.75" customHeight="1">
      <c r="A30" s="8"/>
      <c r="B30" s="37">
        <v>1000300040002</v>
      </c>
      <c r="C30" s="6" t="s">
        <v>1835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5"/>
    </row>
    <row r="31" spans="1:64" ht="18.75" customHeight="1">
      <c r="A31" s="8"/>
      <c r="B31" s="37">
        <v>1000300040003</v>
      </c>
      <c r="C31" s="6" t="s">
        <v>1836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5"/>
    </row>
    <row r="32" spans="1:64" ht="18.75" customHeight="1">
      <c r="A32" s="8"/>
      <c r="B32" s="37">
        <v>1000300040004</v>
      </c>
      <c r="C32" s="6" t="s">
        <v>1837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5"/>
    </row>
    <row r="33" spans="1:64" ht="18.75" customHeight="1">
      <c r="A33" s="8"/>
      <c r="B33" s="37">
        <v>1000300040005</v>
      </c>
      <c r="C33" s="6" t="s">
        <v>1838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5"/>
    </row>
    <row r="34" spans="1:64" ht="18.75" customHeight="1">
      <c r="A34" s="8"/>
      <c r="B34" s="37">
        <v>1000300050001</v>
      </c>
      <c r="C34" s="6" t="s">
        <v>1839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5"/>
    </row>
    <row r="35" spans="1:64" ht="18.75" customHeight="1">
      <c r="A35" s="8"/>
      <c r="B35" s="37">
        <v>1000300050002</v>
      </c>
      <c r="C35" s="6" t="s">
        <v>1840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5"/>
    </row>
    <row r="36" spans="1:64" ht="18.75" customHeight="1">
      <c r="A36" s="8"/>
      <c r="B36" s="37">
        <v>1000300050003</v>
      </c>
      <c r="C36" s="6" t="s">
        <v>1841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5"/>
    </row>
    <row r="37" spans="1:64" ht="18.75" customHeight="1">
      <c r="A37" s="8"/>
      <c r="B37" s="37">
        <v>1000300050004</v>
      </c>
      <c r="C37" s="6" t="s">
        <v>1842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5"/>
    </row>
    <row r="38" spans="1:64" ht="18.75" customHeight="1">
      <c r="A38" s="8"/>
      <c r="B38" s="37">
        <v>1000300050005</v>
      </c>
      <c r="C38" s="6" t="s">
        <v>1843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5"/>
    </row>
    <row r="39" spans="1:64" ht="18.75" customHeight="1">
      <c r="A39" s="8"/>
      <c r="B39" s="37">
        <v>1000300060001</v>
      </c>
      <c r="C39" s="6" t="s">
        <v>1844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5"/>
    </row>
    <row r="40" spans="1:64" ht="18.75" customHeight="1">
      <c r="A40" s="8"/>
      <c r="B40" s="37">
        <v>1000300060002</v>
      </c>
      <c r="C40" s="6" t="s">
        <v>1845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5"/>
    </row>
    <row r="41" spans="1:64" ht="18.75" customHeight="1">
      <c r="A41" s="8"/>
      <c r="B41" s="37">
        <v>1000300060003</v>
      </c>
      <c r="C41" s="6" t="s">
        <v>1846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5"/>
    </row>
    <row r="42" spans="1:64" ht="18.75" customHeight="1">
      <c r="A42" s="8"/>
      <c r="B42" s="37">
        <v>1000300060004</v>
      </c>
      <c r="C42" s="6" t="s">
        <v>1847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5"/>
    </row>
    <row r="43" spans="1:64" ht="18.75" customHeight="1">
      <c r="A43" s="8"/>
      <c r="B43" s="37">
        <v>1000300060005</v>
      </c>
      <c r="C43" s="6" t="s">
        <v>1848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5"/>
    </row>
    <row r="44" spans="1:64" ht="18.75" customHeight="1">
      <c r="A44" s="8"/>
      <c r="B44" s="37">
        <v>1000300070001</v>
      </c>
      <c r="C44" s="6" t="s">
        <v>1849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5"/>
    </row>
    <row r="45" spans="1:64" ht="18.75" customHeight="1">
      <c r="A45" s="8"/>
      <c r="B45" s="37">
        <v>1000300070002</v>
      </c>
      <c r="C45" s="6" t="s">
        <v>1850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5"/>
    </row>
    <row r="46" spans="1:64" ht="18.75" customHeight="1">
      <c r="A46" s="8"/>
      <c r="B46" s="37">
        <v>1000300070003</v>
      </c>
      <c r="C46" s="6" t="s">
        <v>1851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5"/>
    </row>
    <row r="47" spans="1:64" ht="18.75" customHeight="1">
      <c r="A47" s="8"/>
      <c r="B47" s="37">
        <v>1000300070004</v>
      </c>
      <c r="C47" s="6" t="s">
        <v>1852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5"/>
    </row>
    <row r="48" spans="1:64" ht="18.75" customHeight="1">
      <c r="A48" s="8"/>
      <c r="B48" s="37">
        <v>1000300070005</v>
      </c>
      <c r="C48" s="6" t="s">
        <v>1853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5"/>
    </row>
    <row r="49" spans="1:64" ht="18.75" customHeight="1">
      <c r="A49" s="8"/>
      <c r="B49" s="37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5"/>
    </row>
    <row r="50" spans="1:64" ht="18.75" customHeight="1">
      <c r="A50" s="8"/>
      <c r="B50" s="37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5"/>
    </row>
    <row r="51" spans="1:64" ht="18.75" customHeight="1">
      <c r="A51" s="8"/>
      <c r="B51" s="37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5"/>
    </row>
    <row r="52" spans="1:64" ht="18.75" customHeight="1">
      <c r="A52" s="8"/>
      <c r="B52" s="37">
        <v>2000300010001</v>
      </c>
      <c r="C52" s="6" t="s">
        <v>1773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5"/>
    </row>
    <row r="53" spans="1:64" ht="18.75" customHeight="1">
      <c r="A53" s="8"/>
      <c r="B53" s="37">
        <v>2000300010002</v>
      </c>
      <c r="C53" s="6" t="s">
        <v>1774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5"/>
    </row>
    <row r="54" spans="1:64" ht="18.75" customHeight="1">
      <c r="A54" s="8"/>
      <c r="B54" s="37">
        <v>2000300010003</v>
      </c>
      <c r="C54" s="6" t="s">
        <v>1775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5"/>
    </row>
    <row r="55" spans="1:64" ht="18.75" customHeight="1">
      <c r="A55" s="8"/>
      <c r="B55" s="37">
        <v>2000300010004</v>
      </c>
      <c r="C55" s="6" t="s">
        <v>1776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5"/>
    </row>
    <row r="56" spans="1:64" ht="18.75" customHeight="1">
      <c r="A56" s="8"/>
      <c r="B56" s="37">
        <v>2000300010005</v>
      </c>
      <c r="C56" s="6" t="s">
        <v>1777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5"/>
    </row>
    <row r="57" spans="1:64" ht="18.75" customHeight="1">
      <c r="A57" s="8"/>
      <c r="B57" s="37">
        <v>2000300020001</v>
      </c>
      <c r="C57" s="6" t="s">
        <v>1794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5"/>
    </row>
    <row r="58" spans="1:64" ht="18.75" customHeight="1">
      <c r="A58" s="8"/>
      <c r="B58" s="37">
        <v>2000300020002</v>
      </c>
      <c r="C58" s="6" t="s">
        <v>1795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5"/>
    </row>
    <row r="59" spans="1:64" ht="18.75" customHeight="1">
      <c r="A59" s="8"/>
      <c r="B59" s="37">
        <v>2000300020003</v>
      </c>
      <c r="C59" s="6" t="s">
        <v>1796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5"/>
    </row>
    <row r="60" spans="1:64" ht="18.75" customHeight="1">
      <c r="A60" s="8"/>
      <c r="B60" s="37">
        <v>2000300020004</v>
      </c>
      <c r="C60" s="6" t="s">
        <v>1797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5"/>
    </row>
    <row r="61" spans="1:64" ht="18.75" customHeight="1">
      <c r="A61" s="8"/>
      <c r="B61" s="37">
        <v>2000300020005</v>
      </c>
      <c r="C61" s="6" t="s">
        <v>1798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5"/>
    </row>
    <row r="62" spans="1:64" ht="18.75" customHeight="1">
      <c r="A62" s="8"/>
      <c r="B62" s="37">
        <v>2000300030001</v>
      </c>
      <c r="C62" s="6" t="s">
        <v>1799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5"/>
    </row>
    <row r="63" spans="1:64" ht="18.75" customHeight="1">
      <c r="A63" s="8"/>
      <c r="B63" s="37">
        <v>2000300030002</v>
      </c>
      <c r="C63" s="6" t="s">
        <v>1800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5"/>
    </row>
    <row r="64" spans="1:64" ht="18.75" customHeight="1">
      <c r="A64" s="8"/>
      <c r="B64" s="37">
        <v>2000300030003</v>
      </c>
      <c r="C64" s="6" t="s">
        <v>1801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5"/>
    </row>
    <row r="65" spans="1:64" ht="18.75" customHeight="1">
      <c r="A65" s="8"/>
      <c r="B65" s="37">
        <v>2000300030004</v>
      </c>
      <c r="C65" s="6" t="s">
        <v>1802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5"/>
    </row>
    <row r="66" spans="1:64" ht="18.75" customHeight="1">
      <c r="A66" s="8"/>
      <c r="B66" s="37">
        <v>2000300030005</v>
      </c>
      <c r="C66" s="6" t="s">
        <v>1803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5"/>
    </row>
    <row r="67" spans="1:64" ht="18.75" customHeight="1">
      <c r="A67" s="8"/>
      <c r="B67" s="37">
        <v>2000300040001</v>
      </c>
      <c r="C67" s="6" t="s">
        <v>1804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5"/>
    </row>
    <row r="68" spans="1:64" ht="18.75" customHeight="1">
      <c r="A68" s="8"/>
      <c r="B68" s="37">
        <v>2000300040002</v>
      </c>
      <c r="C68" s="6" t="s">
        <v>1805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5"/>
    </row>
    <row r="69" spans="1:64" ht="18.75" customHeight="1">
      <c r="A69" s="8"/>
      <c r="B69" s="37">
        <v>2000300040003</v>
      </c>
      <c r="C69" s="6" t="s">
        <v>1806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5"/>
    </row>
    <row r="70" spans="1:64" ht="18.75" customHeight="1">
      <c r="A70" s="8"/>
      <c r="B70" s="37">
        <v>2000300040004</v>
      </c>
      <c r="C70" s="6" t="s">
        <v>1807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5"/>
    </row>
    <row r="71" spans="1:64" ht="18.75" customHeight="1">
      <c r="A71" s="8"/>
      <c r="B71" s="37">
        <v>2000300040005</v>
      </c>
      <c r="C71" s="6" t="s">
        <v>1808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5"/>
    </row>
    <row r="72" spans="1:64" ht="18.75" customHeight="1">
      <c r="A72" s="8"/>
      <c r="B72" s="37">
        <v>2000300050001</v>
      </c>
      <c r="C72" s="6" t="s">
        <v>1809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5"/>
    </row>
    <row r="73" spans="1:64" ht="18.75" customHeight="1">
      <c r="A73" s="8"/>
      <c r="B73" s="37">
        <v>2000300050002</v>
      </c>
      <c r="C73" s="6" t="s">
        <v>1810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5"/>
    </row>
    <row r="74" spans="1:64" ht="18.75" customHeight="1">
      <c r="A74" s="8"/>
      <c r="B74" s="37">
        <v>2000300050003</v>
      </c>
      <c r="C74" s="6" t="s">
        <v>1811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5"/>
    </row>
    <row r="75" spans="1:64" ht="18.75" customHeight="1">
      <c r="A75" s="8"/>
      <c r="B75" s="37">
        <v>2000300050004</v>
      </c>
      <c r="C75" s="6" t="s">
        <v>1812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5"/>
    </row>
    <row r="76" spans="1:64" ht="18.75" customHeight="1">
      <c r="A76" s="8"/>
      <c r="B76" s="37">
        <v>2000300050005</v>
      </c>
      <c r="C76" s="6" t="s">
        <v>1813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5"/>
    </row>
    <row r="77" spans="1:64" ht="18.75" customHeight="1">
      <c r="A77" s="8"/>
      <c r="B77" s="37">
        <v>2000300060001</v>
      </c>
      <c r="C77" s="6" t="s">
        <v>1814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5"/>
    </row>
    <row r="78" spans="1:64" ht="18.75" customHeight="1">
      <c r="A78" s="8"/>
      <c r="B78" s="37">
        <v>2000300060002</v>
      </c>
      <c r="C78" s="6" t="s">
        <v>1815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5"/>
    </row>
    <row r="79" spans="1:64" ht="18.75" customHeight="1">
      <c r="A79" s="8"/>
      <c r="B79" s="37">
        <v>2000300060003</v>
      </c>
      <c r="C79" s="6" t="s">
        <v>1816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5"/>
    </row>
    <row r="80" spans="1:64" ht="18.75" customHeight="1">
      <c r="A80" s="8"/>
      <c r="B80" s="37">
        <v>2000300060004</v>
      </c>
      <c r="C80" s="6" t="s">
        <v>1817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5"/>
    </row>
    <row r="81" spans="1:213" ht="18.75" customHeight="1">
      <c r="A81" s="8"/>
      <c r="B81" s="37">
        <v>2000300060005</v>
      </c>
      <c r="C81" s="6" t="s">
        <v>1818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5"/>
    </row>
    <row r="82" spans="1:213" ht="18.75" customHeight="1">
      <c r="A82" s="8"/>
      <c r="B82" s="37">
        <v>2000300070001</v>
      </c>
      <c r="C82" s="6" t="s">
        <v>1819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5"/>
    </row>
    <row r="83" spans="1:213" ht="18.75" customHeight="1">
      <c r="A83" s="8"/>
      <c r="B83" s="37">
        <v>2000300070002</v>
      </c>
      <c r="C83" s="6" t="s">
        <v>1820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5"/>
    </row>
    <row r="84" spans="1:213" ht="18.75" customHeight="1">
      <c r="A84" s="8"/>
      <c r="B84" s="37">
        <v>2000300070003</v>
      </c>
      <c r="C84" s="6" t="s">
        <v>1821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5"/>
    </row>
    <row r="85" spans="1:213" ht="18.75" customHeight="1">
      <c r="A85" s="8"/>
      <c r="B85" s="37">
        <v>2000300070004</v>
      </c>
      <c r="C85" s="6" t="s">
        <v>1822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5"/>
    </row>
    <row r="86" spans="1:213" ht="18.75" customHeight="1">
      <c r="A86" s="8"/>
      <c r="B86" s="37">
        <v>2000300070005</v>
      </c>
      <c r="C86" s="6" t="s">
        <v>1823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5"/>
    </row>
    <row r="87" spans="1:213" ht="18.75" customHeight="1">
      <c r="A87" s="8"/>
      <c r="B87" s="37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5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5"/>
    </row>
    <row r="89" spans="1:213" ht="18.75" customHeight="1">
      <c r="A89" s="8"/>
      <c r="B89" s="37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5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5"/>
    </row>
    <row r="91" spans="1:213" ht="18.75" customHeight="1">
      <c r="A91" s="8"/>
      <c r="B91" s="37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5"/>
    </row>
    <row r="92" spans="1:213" ht="18.75" customHeight="1">
      <c r="A92" s="8"/>
      <c r="B92" s="37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5"/>
    </row>
    <row r="93" spans="1:213" ht="18.75" customHeight="1">
      <c r="A93" s="8"/>
      <c r="B93" s="37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5"/>
    </row>
    <row r="94" spans="1:213" ht="18.75" customHeight="1">
      <c r="A94" s="8"/>
      <c r="B94" s="37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5"/>
    </row>
    <row r="95" spans="1:213" ht="18.75" customHeight="1">
      <c r="A95" s="8"/>
      <c r="B95" s="37">
        <v>9001005</v>
      </c>
      <c r="C95" s="7" t="s">
        <v>1737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7">
        <v>9001006</v>
      </c>
      <c r="C96" s="7" t="s">
        <v>1738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7">
        <v>9001007</v>
      </c>
      <c r="C97" s="7" t="s">
        <v>1739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7">
        <v>9001008</v>
      </c>
      <c r="C98" s="7" t="s">
        <v>1740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7">
        <v>4001001</v>
      </c>
      <c r="C99" s="7" t="s">
        <v>234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5"/>
    </row>
    <row r="100" spans="1:213" ht="18.75" customHeight="1">
      <c r="A100" s="8"/>
      <c r="B100" s="15">
        <v>4001002</v>
      </c>
      <c r="C100" s="7" t="s">
        <v>235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5"/>
    </row>
    <row r="101" spans="1:213" ht="18.75" customHeight="1">
      <c r="A101" s="8"/>
      <c r="B101" s="37">
        <v>4001003</v>
      </c>
      <c r="C101" s="7" t="s">
        <v>236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5"/>
    </row>
    <row r="102" spans="1:213" ht="18.75" customHeight="1">
      <c r="A102" s="8"/>
      <c r="B102" s="15">
        <v>5001001</v>
      </c>
      <c r="C102" s="7" t="s">
        <v>241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5"/>
    </row>
    <row r="103" spans="1:213" ht="18.75" customHeight="1">
      <c r="A103" s="8"/>
      <c r="B103" s="37">
        <v>5001002</v>
      </c>
      <c r="C103" s="7" t="s">
        <v>242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5"/>
    </row>
    <row r="104" spans="1:213" ht="18.75" customHeight="1">
      <c r="A104" s="8"/>
      <c r="B104" s="15">
        <v>5001003</v>
      </c>
      <c r="C104" s="7" t="s">
        <v>243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5"/>
    </row>
    <row r="105" spans="1:213" ht="18.75" customHeight="1">
      <c r="A105" s="8"/>
      <c r="B105" s="37">
        <v>6001001</v>
      </c>
      <c r="C105" s="7" t="s">
        <v>244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5"/>
    </row>
    <row r="106" spans="1:213" ht="18.75" customHeight="1">
      <c r="A106" s="8"/>
      <c r="B106" s="15">
        <v>6001002</v>
      </c>
      <c r="C106" s="7" t="s">
        <v>245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5"/>
    </row>
    <row r="107" spans="1:213" ht="18.75" customHeight="1">
      <c r="A107" s="8"/>
      <c r="B107" s="37">
        <v>6001003</v>
      </c>
      <c r="C107" s="7" t="s">
        <v>246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5"/>
    </row>
    <row r="108" spans="1:213" ht="18.75" customHeight="1">
      <c r="A108" s="8"/>
      <c r="B108" s="15">
        <v>6001004</v>
      </c>
      <c r="C108" s="7" t="s">
        <v>247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5"/>
    </row>
    <row r="109" spans="1:213" ht="18.75" customHeight="1">
      <c r="A109" s="8"/>
      <c r="B109" s="37">
        <v>6001005</v>
      </c>
      <c r="C109" s="7" t="s">
        <v>248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5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5"/>
    </row>
    <row r="111" spans="1:213" ht="18.75" customHeight="1">
      <c r="A111" s="8"/>
      <c r="B111" s="3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5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5"/>
    </row>
    <row r="113" spans="1:64" ht="18.75" customHeight="1">
      <c r="A113" s="8"/>
      <c r="B113" s="37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5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5"/>
    </row>
    <row r="115" spans="1:64" ht="18.75" customHeight="1">
      <c r="A115" s="8"/>
      <c r="B115" s="3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5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5"/>
    </row>
    <row r="117" spans="1:64" ht="18.75" customHeight="1">
      <c r="A117" s="8"/>
      <c r="B117" s="37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5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5"/>
    </row>
    <row r="119" spans="1:64" ht="18.75" customHeight="1">
      <c r="A119" s="8"/>
      <c r="B119" s="3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5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5"/>
    </row>
    <row r="121" spans="1:64" ht="18.75" customHeight="1">
      <c r="A121" s="8"/>
      <c r="B121" s="3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5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5"/>
    </row>
    <row r="123" spans="1:64" ht="18.75" customHeight="1">
      <c r="A123" s="8"/>
      <c r="B123" s="3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5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5"/>
    </row>
    <row r="125" spans="1:64" ht="18.75" customHeight="1">
      <c r="B125" s="37"/>
      <c r="C125" s="7"/>
      <c r="D125" s="7"/>
      <c r="E125" s="7"/>
      <c r="AL125" s="35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5"/>
    </row>
    <row r="126" spans="1:64" ht="18.75" customHeight="1">
      <c r="B126" s="15"/>
      <c r="C126" s="7"/>
      <c r="D126" s="7"/>
      <c r="E126" s="7"/>
      <c r="AL126" s="35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5"/>
    </row>
    <row r="127" spans="1:64" ht="18.75" customHeight="1">
      <c r="B127" s="37"/>
      <c r="C127" s="7"/>
      <c r="D127" s="6"/>
      <c r="E127" s="7"/>
      <c r="AL127" s="35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5"/>
    </row>
    <row r="128" spans="1:64" ht="18.75" customHeight="1">
      <c r="B128" s="15"/>
      <c r="C128" s="7"/>
      <c r="D128" s="7"/>
      <c r="E128" s="7"/>
      <c r="AL128" s="35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5"/>
    </row>
    <row r="129" spans="2:64" ht="18.75" customHeight="1">
      <c r="B129" s="37"/>
      <c r="C129" s="7"/>
      <c r="D129" s="7"/>
      <c r="E129" s="7"/>
      <c r="AL129" s="35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5"/>
    </row>
    <row r="130" spans="2:64" ht="18.75" customHeight="1">
      <c r="B130" s="15"/>
      <c r="C130" s="7"/>
      <c r="D130" s="7"/>
      <c r="E130" s="7"/>
      <c r="AL130" s="35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5"/>
    </row>
    <row r="131" spans="2:64" ht="18.75" customHeight="1">
      <c r="B131" s="37"/>
      <c r="C131" s="7"/>
      <c r="D131" s="6"/>
      <c r="E131" s="7"/>
      <c r="AL131" s="35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5"/>
    </row>
    <row r="132" spans="2:64" ht="18.75" customHeight="1">
      <c r="B132" s="15"/>
      <c r="C132" s="7"/>
      <c r="D132" s="7"/>
      <c r="E132" s="7"/>
      <c r="AL132" s="35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5"/>
    </row>
    <row r="133" spans="2:64" ht="18.75" customHeight="1">
      <c r="B133" s="37"/>
      <c r="C133" s="7"/>
      <c r="D133" s="7"/>
      <c r="E133" s="7"/>
      <c r="AL133" s="35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5"/>
    </row>
    <row r="134" spans="2:64" ht="18.75" customHeight="1">
      <c r="B134" s="15"/>
      <c r="C134" s="7"/>
      <c r="D134" s="6"/>
      <c r="E134" s="7"/>
      <c r="AL134" s="35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5"/>
    </row>
    <row r="135" spans="2:64" ht="18.75" customHeight="1">
      <c r="B135" s="37"/>
      <c r="C135" s="7"/>
      <c r="D135" s="7"/>
      <c r="E135" s="7"/>
      <c r="AL135" s="35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5"/>
    </row>
    <row r="136" spans="2:64" ht="18.75" customHeight="1">
      <c r="B136" s="15"/>
      <c r="C136" s="7"/>
      <c r="D136" s="7"/>
      <c r="E136" s="7"/>
      <c r="AL136" s="35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5"/>
    </row>
    <row r="137" spans="2:64" ht="18.75" customHeight="1">
      <c r="B137" s="37"/>
      <c r="C137" s="7"/>
      <c r="D137" s="7"/>
      <c r="E137" s="7"/>
      <c r="AL137" s="35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5"/>
    </row>
    <row r="138" spans="2:64" ht="18.75" customHeight="1">
      <c r="B138" s="15"/>
      <c r="C138" s="7"/>
      <c r="D138" s="6"/>
      <c r="E138" s="7"/>
      <c r="AL138" s="35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5"/>
    </row>
    <row r="139" spans="2:64" ht="18.75" customHeight="1">
      <c r="B139" s="37"/>
      <c r="C139" s="7"/>
      <c r="D139" s="7"/>
      <c r="E139" s="7"/>
      <c r="AL139" s="35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5"/>
    </row>
    <row r="140" spans="2:64" ht="18.75" customHeight="1">
      <c r="B140" s="15"/>
      <c r="C140" s="7"/>
      <c r="D140" s="7"/>
      <c r="E140" s="7"/>
      <c r="AL140" s="35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5"/>
    </row>
    <row r="141" spans="2:64" ht="18.75" customHeight="1">
      <c r="B141" s="37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7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7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7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7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7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7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7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7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7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7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7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7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7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7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7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7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7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7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7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7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7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4"/>
    </row>
    <row r="186" spans="2:5" ht="18.75" customHeight="1">
      <c r="B186" s="44"/>
    </row>
    <row r="187" spans="2:5" ht="18.75" customHeight="1">
      <c r="B187" s="44"/>
    </row>
    <row r="188" spans="2:5" ht="18.75" customHeight="1">
      <c r="B188" s="44"/>
    </row>
    <row r="189" spans="2:5" ht="18.75" customHeight="1">
      <c r="B189" s="44"/>
    </row>
    <row r="190" spans="2:5" ht="18.75" customHeight="1">
      <c r="B190" s="44"/>
    </row>
    <row r="191" spans="2:5" ht="18.75" customHeight="1">
      <c r="B191" s="44"/>
    </row>
    <row r="192" spans="2:5" ht="18.75" customHeight="1">
      <c r="B192" s="44"/>
    </row>
    <row r="193" spans="2:2" ht="18.75" customHeight="1">
      <c r="B193" s="44"/>
    </row>
    <row r="194" spans="2:2" ht="18.75" customHeight="1">
      <c r="B194" s="44"/>
    </row>
    <row r="195" spans="2:2" ht="18.75" customHeight="1">
      <c r="B195" s="44"/>
    </row>
    <row r="196" spans="2:2" ht="18.75" customHeight="1">
      <c r="B196" s="44"/>
    </row>
    <row r="197" spans="2:2" ht="18.75" customHeight="1">
      <c r="B197" s="44"/>
    </row>
    <row r="198" spans="2:2" ht="18.75" customHeight="1">
      <c r="B198" s="44"/>
    </row>
    <row r="199" spans="2:2" ht="18.75" customHeight="1">
      <c r="B199" s="44"/>
    </row>
    <row r="200" spans="2:2" ht="18.75" customHeight="1">
      <c r="B200" s="44"/>
    </row>
    <row r="201" spans="2:2" ht="18.75" customHeight="1">
      <c r="B201" s="44"/>
    </row>
    <row r="202" spans="2:2" ht="18.75" customHeight="1">
      <c r="B202" s="44"/>
    </row>
    <row r="203" spans="2:2" ht="18.75" customHeight="1">
      <c r="B203" s="44"/>
    </row>
    <row r="204" spans="2:2" ht="18.75" customHeight="1">
      <c r="B204" s="44"/>
    </row>
    <row r="205" spans="2:2" ht="18.75" customHeight="1">
      <c r="B205" s="44"/>
    </row>
    <row r="206" spans="2:2" ht="18.75" customHeight="1">
      <c r="B206" s="44"/>
    </row>
    <row r="207" spans="2:2" ht="18.75" customHeight="1">
      <c r="B207" s="44"/>
    </row>
    <row r="208" spans="2:2" ht="18.75" customHeight="1">
      <c r="B208" s="44"/>
    </row>
    <row r="209" spans="2:2" ht="18.75" customHeight="1">
      <c r="B209" s="44"/>
    </row>
    <row r="210" spans="2:2" ht="18.75" customHeight="1">
      <c r="B210" s="44"/>
    </row>
    <row r="211" spans="2:2" ht="18.75" customHeight="1">
      <c r="B211" s="44"/>
    </row>
    <row r="212" spans="2:2" ht="18.75" customHeight="1">
      <c r="B212" s="44"/>
    </row>
    <row r="213" spans="2:2" ht="18.75" customHeight="1">
      <c r="B213" s="44"/>
    </row>
    <row r="214" spans="2:2" ht="18.75" customHeight="1">
      <c r="B214" s="44"/>
    </row>
    <row r="215" spans="2:2" ht="18.75" customHeight="1">
      <c r="B215" s="44"/>
    </row>
    <row r="216" spans="2:2" ht="18.75" customHeight="1">
      <c r="B216" s="44"/>
    </row>
    <row r="217" spans="2:2" ht="18.75" customHeight="1">
      <c r="B217" s="44"/>
    </row>
    <row r="218" spans="2:2" ht="18.75" customHeight="1">
      <c r="B218" s="44"/>
    </row>
    <row r="219" spans="2:2" ht="18.75" customHeight="1">
      <c r="B219" s="44"/>
    </row>
    <row r="220" spans="2:2" ht="18.75" customHeight="1">
      <c r="B220" s="44"/>
    </row>
    <row r="221" spans="2:2" ht="18.75" customHeight="1">
      <c r="B221" s="44"/>
    </row>
    <row r="222" spans="2:2" ht="18.75" customHeight="1">
      <c r="B222" s="44"/>
    </row>
    <row r="223" spans="2:2" ht="18.75" customHeight="1">
      <c r="B223" s="44"/>
    </row>
    <row r="224" spans="2:2" ht="18.75" customHeight="1">
      <c r="B224" s="44"/>
    </row>
    <row r="225" spans="2:2" ht="18.75" customHeight="1">
      <c r="B225" s="44"/>
    </row>
    <row r="226" spans="2:2" ht="18.75" customHeight="1">
      <c r="B226" s="44"/>
    </row>
    <row r="227" spans="2:2" ht="18.75" customHeight="1">
      <c r="B227" s="44"/>
    </row>
    <row r="228" spans="2:2" ht="18.75" customHeight="1">
      <c r="B228" s="44"/>
    </row>
    <row r="229" spans="2:2" ht="18.75" customHeight="1">
      <c r="B229" s="44"/>
    </row>
    <row r="230" spans="2:2" ht="18.75" customHeight="1">
      <c r="B230" s="44"/>
    </row>
    <row r="231" spans="2:2" ht="18.75" customHeight="1">
      <c r="B231" s="44"/>
    </row>
    <row r="232" spans="2:2" ht="18.75" customHeight="1">
      <c r="B232" s="44"/>
    </row>
    <row r="233" spans="2:2" ht="18.75" customHeight="1">
      <c r="B233" s="44"/>
    </row>
    <row r="234" spans="2:2" ht="18.75" customHeight="1">
      <c r="B234" s="44"/>
    </row>
    <row r="235" spans="2:2" ht="18.75" customHeight="1">
      <c r="B235" s="44"/>
    </row>
    <row r="236" spans="2:2" ht="18.75" customHeight="1">
      <c r="B236" s="44"/>
    </row>
    <row r="237" spans="2:2" ht="18.75" customHeight="1">
      <c r="B237" s="44"/>
    </row>
    <row r="238" spans="2:2" ht="18.75" customHeight="1">
      <c r="B238" s="44"/>
    </row>
    <row r="239" spans="2:2" ht="18.75" customHeight="1">
      <c r="B239" s="44"/>
    </row>
    <row r="240" spans="2:2" ht="18.75" customHeight="1">
      <c r="B240" s="44"/>
    </row>
    <row r="241" spans="2:2" ht="18.75" customHeight="1">
      <c r="B241" s="44"/>
    </row>
    <row r="242" spans="2:2" ht="18.75" customHeight="1">
      <c r="B242" s="44"/>
    </row>
    <row r="243" spans="2:2" ht="18.75" customHeight="1">
      <c r="B243" s="44"/>
    </row>
    <row r="244" spans="2:2" ht="18.75" customHeight="1">
      <c r="B244" s="44"/>
    </row>
    <row r="245" spans="2:2" ht="18.75" customHeight="1">
      <c r="B245" s="44"/>
    </row>
    <row r="246" spans="2:2" ht="18.75" customHeight="1">
      <c r="B246" s="44"/>
    </row>
    <row r="247" spans="2:2" ht="18.75" customHeight="1">
      <c r="B247" s="44"/>
    </row>
    <row r="248" spans="2:2" ht="18.75" customHeight="1">
      <c r="B248" s="44"/>
    </row>
    <row r="249" spans="2:2" ht="18.75" customHeight="1">
      <c r="B249" s="44"/>
    </row>
    <row r="250" spans="2:2" ht="18.75" customHeight="1">
      <c r="B250" s="44"/>
    </row>
    <row r="251" spans="2:2" ht="18.75" customHeight="1">
      <c r="B251" s="44"/>
    </row>
    <row r="252" spans="2:2" ht="18.75" customHeight="1">
      <c r="B252" s="44"/>
    </row>
    <row r="253" spans="2:2" ht="18.75" customHeight="1">
      <c r="B253" s="44"/>
    </row>
    <row r="254" spans="2:2" ht="18.75" customHeight="1">
      <c r="B254" s="44"/>
    </row>
    <row r="255" spans="2:2" ht="18.75" customHeight="1">
      <c r="B255" s="44"/>
    </row>
    <row r="256" spans="2:2" ht="18.75" customHeight="1">
      <c r="B256" s="44"/>
    </row>
    <row r="257" spans="2:2" ht="18.75" customHeight="1">
      <c r="B257" s="44"/>
    </row>
    <row r="258" spans="2:2" ht="18.75" customHeight="1">
      <c r="B258" s="44"/>
    </row>
    <row r="259" spans="2:2" ht="18.75" customHeight="1">
      <c r="B259" s="44"/>
    </row>
    <row r="260" spans="2:2" ht="18.75" customHeight="1">
      <c r="B260" s="44"/>
    </row>
    <row r="261" spans="2:2" ht="18.75" customHeight="1">
      <c r="B261" s="44"/>
    </row>
    <row r="262" spans="2:2" ht="18.75" customHeight="1">
      <c r="B262" s="44"/>
    </row>
    <row r="263" spans="2:2" ht="18.75" customHeight="1">
      <c r="B263" s="44"/>
    </row>
    <row r="264" spans="2:2" ht="18.75" customHeight="1">
      <c r="B264" s="44"/>
    </row>
    <row r="265" spans="2:2" ht="18.75" customHeight="1">
      <c r="B265" s="44"/>
    </row>
    <row r="266" spans="2:2" ht="18.75" customHeight="1">
      <c r="B266" s="44"/>
    </row>
    <row r="267" spans="2:2" ht="18.75" customHeight="1">
      <c r="B267" s="44"/>
    </row>
    <row r="268" spans="2:2" ht="18.75" customHeight="1">
      <c r="B268" s="44"/>
    </row>
    <row r="269" spans="2:2" ht="18.75" customHeight="1">
      <c r="B269" s="44"/>
    </row>
    <row r="270" spans="2:2" ht="18.75" customHeight="1">
      <c r="B270" s="44"/>
    </row>
    <row r="271" spans="2:2" ht="18.75" customHeight="1">
      <c r="B271" s="44"/>
    </row>
    <row r="272" spans="2:2" ht="18.75" customHeight="1">
      <c r="B272" s="44"/>
    </row>
    <row r="273" spans="2:2" ht="18.75" customHeight="1">
      <c r="B273" s="44"/>
    </row>
    <row r="274" spans="2:2" ht="18.75" customHeight="1">
      <c r="B274" s="44"/>
    </row>
    <row r="275" spans="2:2" ht="18.75" customHeight="1">
      <c r="B275" s="44"/>
    </row>
    <row r="276" spans="2:2" ht="18.75" customHeight="1">
      <c r="B276" s="44"/>
    </row>
    <row r="277" spans="2:2" ht="18.75" customHeight="1">
      <c r="B277" s="44"/>
    </row>
    <row r="278" spans="2:2" ht="18.75" customHeight="1">
      <c r="B278" s="44"/>
    </row>
    <row r="279" spans="2:2" ht="18.75" customHeight="1">
      <c r="B279" s="44"/>
    </row>
    <row r="280" spans="2:2" ht="18.75" customHeight="1">
      <c r="B280" s="44"/>
    </row>
    <row r="281" spans="2:2" ht="18.75" customHeight="1">
      <c r="B281" s="44"/>
    </row>
    <row r="282" spans="2:2" ht="18.75" customHeight="1">
      <c r="B282" s="44"/>
    </row>
    <row r="283" spans="2:2" ht="18.75" customHeight="1">
      <c r="B283" s="44"/>
    </row>
    <row r="284" spans="2:2" ht="18.75" customHeight="1">
      <c r="B284" s="44"/>
    </row>
    <row r="285" spans="2:2" ht="18.75" customHeight="1">
      <c r="B285" s="44"/>
    </row>
    <row r="286" spans="2:2" ht="18.75" customHeight="1">
      <c r="B286" s="44"/>
    </row>
    <row r="287" spans="2:2" ht="18.75" customHeight="1">
      <c r="B287" s="44"/>
    </row>
    <row r="288" spans="2:2" ht="18.75" customHeight="1">
      <c r="B288" s="44"/>
    </row>
    <row r="289" spans="2:2" ht="18.75" customHeight="1">
      <c r="B289" s="44"/>
    </row>
    <row r="290" spans="2:2" ht="18.75" customHeight="1">
      <c r="B290" s="44"/>
    </row>
    <row r="291" spans="2:2" ht="18.75" customHeight="1">
      <c r="B291" s="44"/>
    </row>
    <row r="292" spans="2:2" ht="18.75" customHeight="1">
      <c r="B292" s="44"/>
    </row>
    <row r="293" spans="2:2" ht="18.75" customHeight="1">
      <c r="B293" s="44"/>
    </row>
    <row r="294" spans="2:2" ht="18.75" customHeight="1">
      <c r="B294" s="44"/>
    </row>
    <row r="295" spans="2:2" ht="18.75" customHeight="1">
      <c r="B295" s="44"/>
    </row>
    <row r="296" spans="2:2" ht="18.75" customHeight="1">
      <c r="B296" s="44"/>
    </row>
    <row r="297" spans="2:2" ht="18.75" customHeight="1">
      <c r="B297" s="44"/>
    </row>
    <row r="298" spans="2:2" ht="18.75" customHeight="1">
      <c r="B298" s="44"/>
    </row>
    <row r="299" spans="2:2" ht="18.75" customHeight="1">
      <c r="B299" s="44"/>
    </row>
    <row r="300" spans="2:2" ht="18.75" customHeight="1">
      <c r="B300" s="44"/>
    </row>
    <row r="301" spans="2:2" ht="18.75" customHeight="1">
      <c r="B301" s="44"/>
    </row>
    <row r="302" spans="2:2" ht="18.75" customHeight="1">
      <c r="B302" s="44"/>
    </row>
    <row r="303" spans="2:2" ht="18.75" customHeight="1">
      <c r="B303" s="44"/>
    </row>
    <row r="304" spans="2:2" ht="18.75" customHeight="1">
      <c r="B304" s="44"/>
    </row>
    <row r="305" spans="2:2" ht="18.75" customHeight="1">
      <c r="B305" s="44"/>
    </row>
    <row r="306" spans="2:2" ht="18.75" customHeight="1">
      <c r="B306" s="44"/>
    </row>
    <row r="307" spans="2:2" ht="18.75" customHeight="1">
      <c r="B307" s="44"/>
    </row>
    <row r="308" spans="2:2" ht="18.75" customHeight="1">
      <c r="B308" s="44"/>
    </row>
    <row r="309" spans="2:2" ht="18.75" customHeight="1">
      <c r="B309" s="44"/>
    </row>
    <row r="310" spans="2:2" ht="18.75" customHeight="1">
      <c r="B310" s="44"/>
    </row>
    <row r="311" spans="2:2" ht="18.75" customHeight="1">
      <c r="B311" s="44"/>
    </row>
    <row r="312" spans="2:2" ht="18.75" customHeight="1">
      <c r="B312" s="44"/>
    </row>
    <row r="313" spans="2:2" ht="18.75" customHeight="1">
      <c r="B313" s="44"/>
    </row>
    <row r="314" spans="2:2" ht="18.75" customHeight="1">
      <c r="B314" s="44"/>
    </row>
    <row r="315" spans="2:2" ht="18.75" customHeight="1">
      <c r="B315" s="44"/>
    </row>
    <row r="316" spans="2:2" ht="18.75" customHeight="1">
      <c r="B316" s="44"/>
    </row>
    <row r="317" spans="2:2" ht="18.75" customHeight="1">
      <c r="B317" s="44"/>
    </row>
    <row r="318" spans="2:2" ht="18.75" customHeight="1">
      <c r="B318" s="44"/>
    </row>
    <row r="319" spans="2:2" ht="18.75" customHeight="1">
      <c r="B319" s="44"/>
    </row>
    <row r="320" spans="2:2" ht="18.75" customHeight="1">
      <c r="B320" s="44"/>
    </row>
    <row r="321" spans="2:2" ht="18.75" customHeight="1">
      <c r="B321" s="44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22" width="10" style="36" customWidth="1"/>
    <col min="23" max="42" width="12.625" style="36" customWidth="1"/>
    <col min="43" max="16384" width="12.625" style="36"/>
  </cols>
  <sheetData>
    <row r="1" spans="1:115" ht="12" customHeight="1"/>
    <row r="2" spans="1:115" ht="40.5" customHeight="1">
      <c r="A2" s="55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5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55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6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6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7">
        <v>1002002</v>
      </c>
      <c r="C13" s="48" t="s">
        <v>154</v>
      </c>
      <c r="D13" s="48">
        <v>2</v>
      </c>
      <c r="E13" s="48">
        <v>1</v>
      </c>
      <c r="F13" s="48">
        <v>1</v>
      </c>
      <c r="G13" s="48">
        <v>1</v>
      </c>
      <c r="H13" s="48">
        <v>2</v>
      </c>
      <c r="I13" s="48">
        <v>2</v>
      </c>
      <c r="J13" s="49">
        <v>1</v>
      </c>
      <c r="K13" s="48">
        <v>1</v>
      </c>
      <c r="L13" s="7">
        <v>2</v>
      </c>
      <c r="M13" s="7">
        <v>3</v>
      </c>
      <c r="N13" s="7">
        <v>1</v>
      </c>
      <c r="O13" s="48">
        <v>1</v>
      </c>
      <c r="P13" s="7"/>
      <c r="Q13" s="7"/>
      <c r="R13" s="7"/>
      <c r="S13" s="7"/>
      <c r="T13" s="7"/>
      <c r="U13" s="7"/>
      <c r="V13" s="48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H8" sqref="H8"/>
    </sheetView>
  </sheetViews>
  <sheetFormatPr defaultColWidth="12.625" defaultRowHeight="15" customHeight="1"/>
  <cols>
    <col min="1" max="1" width="7.625" style="36" customWidth="1"/>
    <col min="2" max="2" width="17.875" style="44" customWidth="1"/>
    <col min="3" max="3" width="61.125" style="36" customWidth="1"/>
    <col min="4" max="4" width="15.875" style="36" customWidth="1"/>
    <col min="5" max="6" width="30.75" style="82" customWidth="1"/>
    <col min="7" max="16384" width="12.625" style="36"/>
  </cols>
  <sheetData>
    <row r="1" spans="1:6" ht="12" customHeight="1"/>
    <row r="2" spans="1:6" ht="40.5" customHeight="1">
      <c r="A2" s="55" t="s">
        <v>0</v>
      </c>
      <c r="B2" s="15" t="s">
        <v>2018</v>
      </c>
      <c r="C2" s="13"/>
    </row>
    <row r="3" spans="1:6" ht="18.75" customHeight="1">
      <c r="A3" s="1"/>
      <c r="B3" s="45" t="s">
        <v>2006</v>
      </c>
      <c r="C3" s="1"/>
      <c r="D3" s="1"/>
      <c r="E3" s="83"/>
      <c r="F3" s="83"/>
    </row>
    <row r="4" spans="1:6" ht="18.75" customHeight="1">
      <c r="A4" s="55" t="s">
        <v>2</v>
      </c>
      <c r="B4" s="39" t="s">
        <v>3</v>
      </c>
      <c r="C4" s="3" t="s">
        <v>193</v>
      </c>
      <c r="D4" s="3" t="s">
        <v>46</v>
      </c>
      <c r="E4" s="84" t="s">
        <v>2007</v>
      </c>
      <c r="F4" s="84" t="s">
        <v>2008</v>
      </c>
    </row>
    <row r="5" spans="1:6" ht="18.75" customHeight="1">
      <c r="A5" s="55" t="s">
        <v>4</v>
      </c>
      <c r="B5" s="39"/>
      <c r="C5" s="3"/>
      <c r="D5" s="3"/>
      <c r="E5" s="84"/>
      <c r="F5" s="84"/>
    </row>
    <row r="6" spans="1:6" ht="18.75" customHeight="1">
      <c r="A6" s="55" t="s">
        <v>5</v>
      </c>
      <c r="B6" s="39"/>
      <c r="C6" s="3"/>
      <c r="D6" s="3"/>
      <c r="E6" s="84"/>
      <c r="F6" s="84"/>
    </row>
    <row r="7" spans="1:6" ht="18.75" customHeight="1">
      <c r="A7" s="55" t="s">
        <v>1921</v>
      </c>
      <c r="B7" s="39"/>
      <c r="C7" s="3"/>
      <c r="D7" s="3"/>
      <c r="E7" s="84"/>
      <c r="F7" s="84"/>
    </row>
    <row r="8" spans="1:6" ht="18.75" customHeight="1">
      <c r="A8" s="55" t="s">
        <v>6</v>
      </c>
      <c r="B8" s="40" t="s">
        <v>7</v>
      </c>
      <c r="C8" s="4" t="s">
        <v>95</v>
      </c>
      <c r="D8" s="4" t="s">
        <v>173</v>
      </c>
      <c r="E8" s="85" t="s">
        <v>254</v>
      </c>
      <c r="F8" s="85" t="s">
        <v>95</v>
      </c>
    </row>
    <row r="9" spans="1:6" ht="42" customHeight="1">
      <c r="A9" s="55" t="s">
        <v>10</v>
      </c>
      <c r="B9" s="37" t="s">
        <v>11</v>
      </c>
      <c r="C9" s="5" t="s">
        <v>201</v>
      </c>
      <c r="D9" s="5" t="s">
        <v>47</v>
      </c>
      <c r="E9" s="86" t="s">
        <v>2009</v>
      </c>
      <c r="F9" s="86" t="s">
        <v>2010</v>
      </c>
    </row>
    <row r="10" spans="1:6" ht="57.75" customHeight="1">
      <c r="A10" s="55" t="s">
        <v>12</v>
      </c>
      <c r="B10" s="46"/>
      <c r="C10" s="18"/>
      <c r="D10" s="19"/>
      <c r="E10" s="87" t="s">
        <v>2011</v>
      </c>
      <c r="F10" s="87" t="s">
        <v>2011</v>
      </c>
    </row>
    <row r="11" spans="1:6" ht="18.75" customHeight="1">
      <c r="A11" s="56" t="s">
        <v>13</v>
      </c>
      <c r="B11" s="20">
        <v>1</v>
      </c>
      <c r="C11" s="7" t="s">
        <v>1953</v>
      </c>
      <c r="D11" s="7">
        <v>20001</v>
      </c>
      <c r="E11" s="23" t="s">
        <v>2012</v>
      </c>
      <c r="F11" s="23" t="s">
        <v>2013</v>
      </c>
    </row>
    <row r="12" spans="1:6" ht="18.75" customHeight="1">
      <c r="A12" s="8"/>
      <c r="B12" s="20">
        <v>2</v>
      </c>
      <c r="C12" s="7" t="s">
        <v>1957</v>
      </c>
      <c r="D12" s="7">
        <v>20002</v>
      </c>
      <c r="E12" s="23" t="s">
        <v>2013</v>
      </c>
      <c r="F12" s="23" t="s">
        <v>2014</v>
      </c>
    </row>
    <row r="13" spans="1:6" ht="18.75" customHeight="1">
      <c r="A13" s="8"/>
      <c r="B13" s="20">
        <v>3</v>
      </c>
      <c r="C13" s="7" t="s">
        <v>1958</v>
      </c>
      <c r="D13" s="7">
        <v>20003</v>
      </c>
      <c r="E13" s="23" t="s">
        <v>2014</v>
      </c>
      <c r="F13" s="23" t="s">
        <v>2015</v>
      </c>
    </row>
    <row r="14" spans="1:6" ht="18.75" customHeight="1">
      <c r="A14" s="8"/>
      <c r="B14" s="20">
        <v>4</v>
      </c>
      <c r="C14" s="7" t="s">
        <v>1959</v>
      </c>
      <c r="D14" s="7">
        <v>20004</v>
      </c>
      <c r="E14" s="23" t="s">
        <v>2015</v>
      </c>
      <c r="F14" s="23" t="s">
        <v>2016</v>
      </c>
    </row>
    <row r="15" spans="1:6" ht="18.75" customHeight="1">
      <c r="A15" s="8"/>
      <c r="B15" s="20">
        <v>5</v>
      </c>
      <c r="C15" s="7" t="s">
        <v>1960</v>
      </c>
      <c r="D15" s="7">
        <v>20005</v>
      </c>
      <c r="E15" s="23" t="s">
        <v>2016</v>
      </c>
      <c r="F15" s="23" t="s">
        <v>2017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43"/>
      <c r="C72" s="34"/>
      <c r="D72" s="34"/>
      <c r="E72" s="23"/>
      <c r="F72" s="23"/>
    </row>
    <row r="73" spans="2:6" ht="18.75" customHeight="1">
      <c r="B73" s="43"/>
      <c r="C73" s="34"/>
      <c r="D73" s="34"/>
      <c r="E73" s="23"/>
      <c r="F73" s="23"/>
    </row>
    <row r="74" spans="2:6" ht="18.75" customHeight="1">
      <c r="B74" s="43"/>
      <c r="C74" s="34"/>
      <c r="D74" s="34"/>
      <c r="E74" s="23"/>
      <c r="F74" s="23"/>
    </row>
    <row r="75" spans="2:6" ht="18.75" customHeight="1">
      <c r="B75" s="43"/>
      <c r="C75" s="34"/>
      <c r="D75" s="34"/>
      <c r="E75" s="23"/>
      <c r="F75" s="23"/>
    </row>
    <row r="76" spans="2:6" ht="18.75" customHeight="1">
      <c r="B76" s="43"/>
      <c r="C76" s="34"/>
      <c r="D76" s="34"/>
      <c r="E76" s="23"/>
      <c r="F76" s="23"/>
    </row>
    <row r="77" spans="2:6" ht="18.75" customHeight="1">
      <c r="B77" s="43"/>
      <c r="C77" s="34"/>
      <c r="D77" s="34"/>
      <c r="E77" s="23"/>
      <c r="F77" s="23"/>
    </row>
    <row r="78" spans="2:6" ht="18.75" customHeight="1">
      <c r="B78" s="43"/>
      <c r="C78" s="34"/>
      <c r="D78" s="34"/>
      <c r="E78" s="23"/>
      <c r="F78" s="23"/>
    </row>
    <row r="79" spans="2:6" ht="18.75" customHeight="1">
      <c r="B79" s="43"/>
      <c r="C79" s="34"/>
      <c r="D79" s="34"/>
      <c r="E79" s="23"/>
      <c r="F79" s="23"/>
    </row>
    <row r="80" spans="2:6" ht="18.75" customHeight="1">
      <c r="B80" s="43"/>
      <c r="C80" s="34"/>
      <c r="D80" s="34"/>
      <c r="E80" s="23"/>
      <c r="F80" s="23"/>
    </row>
    <row r="81" spans="2:6" ht="18.75" customHeight="1">
      <c r="B81" s="43"/>
      <c r="C81" s="34"/>
      <c r="D81" s="34"/>
      <c r="E81" s="23"/>
      <c r="F81" s="23"/>
    </row>
    <row r="82" spans="2:6" ht="18.75" customHeight="1">
      <c r="B82" s="43"/>
      <c r="C82" s="34"/>
      <c r="D82" s="34"/>
      <c r="E82" s="23"/>
      <c r="F82" s="23"/>
    </row>
    <row r="83" spans="2:6" ht="18.75" customHeight="1">
      <c r="B83" s="43"/>
      <c r="C83" s="34"/>
      <c r="D83" s="34"/>
      <c r="E83" s="23"/>
      <c r="F83" s="23"/>
    </row>
    <row r="84" spans="2:6" ht="18.75" customHeight="1">
      <c r="B84" s="43"/>
      <c r="C84" s="34"/>
      <c r="D84" s="34"/>
      <c r="E84" s="23"/>
      <c r="F84" s="23"/>
    </row>
    <row r="85" spans="2:6" ht="18.75" customHeight="1">
      <c r="B85" s="43"/>
      <c r="C85" s="34"/>
      <c r="D85" s="34"/>
      <c r="E85" s="23"/>
      <c r="F85" s="23"/>
    </row>
    <row r="86" spans="2:6" ht="18.75" customHeight="1">
      <c r="B86" s="43"/>
      <c r="C86" s="34"/>
      <c r="D86" s="34"/>
      <c r="E86" s="23"/>
      <c r="F86" s="23"/>
    </row>
    <row r="87" spans="2:6" ht="18.75" customHeight="1">
      <c r="B87" s="43"/>
      <c r="C87" s="34"/>
      <c r="D87" s="34"/>
      <c r="E87" s="23"/>
      <c r="F87" s="23"/>
    </row>
    <row r="88" spans="2:6" ht="18.75" customHeight="1">
      <c r="B88" s="43"/>
      <c r="C88" s="34"/>
      <c r="D88" s="34"/>
      <c r="E88" s="23"/>
      <c r="F88" s="23"/>
    </row>
    <row r="89" spans="2:6" ht="18.75" customHeight="1">
      <c r="B89" s="43"/>
      <c r="C89" s="34"/>
      <c r="D89" s="34"/>
      <c r="E89" s="23"/>
      <c r="F89" s="23"/>
    </row>
    <row r="90" spans="2:6" ht="18.75" customHeight="1">
      <c r="B90" s="43"/>
      <c r="C90" s="34"/>
      <c r="D90" s="34"/>
      <c r="E90" s="23"/>
      <c r="F90" s="23"/>
    </row>
    <row r="91" spans="2:6" ht="18.75" customHeight="1">
      <c r="B91" s="43"/>
      <c r="C91" s="34"/>
      <c r="D91" s="34"/>
      <c r="E91" s="23"/>
      <c r="F91" s="23"/>
    </row>
    <row r="92" spans="2:6" ht="18.75" customHeight="1">
      <c r="B92" s="43"/>
      <c r="C92" s="34"/>
      <c r="D92" s="34"/>
      <c r="E92" s="23"/>
      <c r="F92" s="23"/>
    </row>
    <row r="93" spans="2:6" ht="18.75" customHeight="1">
      <c r="B93" s="43"/>
      <c r="C93" s="34"/>
      <c r="D93" s="34"/>
      <c r="E93" s="88"/>
      <c r="F93" s="88"/>
    </row>
    <row r="94" spans="2:6" ht="18.75" customHeight="1">
      <c r="B94" s="43"/>
      <c r="C94" s="34"/>
      <c r="D94" s="34"/>
      <c r="E94" s="88"/>
      <c r="F94" s="88"/>
    </row>
    <row r="95" spans="2:6" ht="18.75" customHeight="1">
      <c r="B95" s="43"/>
      <c r="C95" s="34"/>
      <c r="D95" s="34"/>
      <c r="E95" s="88"/>
      <c r="F95" s="88"/>
    </row>
    <row r="96" spans="2:6" ht="18.75" customHeight="1">
      <c r="B96" s="43"/>
      <c r="C96" s="34"/>
      <c r="D96" s="34"/>
      <c r="E96" s="88"/>
      <c r="F96" s="88"/>
    </row>
    <row r="97" spans="2:6" ht="18.75" customHeight="1">
      <c r="B97" s="43"/>
      <c r="C97" s="34"/>
      <c r="D97" s="34"/>
      <c r="E97" s="88"/>
      <c r="F97" s="88"/>
    </row>
    <row r="98" spans="2:6" ht="18.75" customHeight="1">
      <c r="B98" s="43"/>
      <c r="C98" s="34"/>
      <c r="D98" s="34"/>
      <c r="E98" s="88"/>
      <c r="F98" s="88"/>
    </row>
    <row r="99" spans="2:6" ht="18.75" customHeight="1">
      <c r="B99" s="43"/>
      <c r="C99" s="34"/>
      <c r="D99" s="34"/>
      <c r="E99" s="88"/>
      <c r="F99" s="88"/>
    </row>
    <row r="100" spans="2:6" ht="18.75" customHeight="1">
      <c r="B100" s="43"/>
      <c r="C100" s="34"/>
      <c r="D100" s="34"/>
      <c r="E100" s="88"/>
      <c r="F100" s="88"/>
    </row>
    <row r="101" spans="2:6" ht="18.75" customHeight="1">
      <c r="B101" s="43"/>
      <c r="C101" s="34"/>
      <c r="D101" s="34"/>
      <c r="E101" s="88"/>
      <c r="F101" s="88"/>
    </row>
    <row r="102" spans="2:6" ht="18.75" customHeight="1">
      <c r="B102" s="43"/>
      <c r="C102" s="34"/>
      <c r="D102" s="34"/>
      <c r="E102" s="88"/>
      <c r="F102" s="88"/>
    </row>
    <row r="103" spans="2:6" ht="18.75" customHeight="1">
      <c r="B103" s="43"/>
      <c r="C103" s="34"/>
      <c r="D103" s="34"/>
      <c r="E103" s="88"/>
      <c r="F103" s="88"/>
    </row>
    <row r="104" spans="2:6" ht="18.75" customHeight="1">
      <c r="B104" s="43"/>
      <c r="C104" s="34"/>
      <c r="D104" s="34"/>
      <c r="E104" s="88"/>
      <c r="F104" s="88"/>
    </row>
    <row r="105" spans="2:6" ht="18.75" customHeight="1">
      <c r="B105" s="43"/>
      <c r="C105" s="34"/>
      <c r="D105" s="34"/>
      <c r="E105" s="88"/>
      <c r="F105" s="88"/>
    </row>
    <row r="106" spans="2:6" ht="18.75" customHeight="1">
      <c r="B106" s="43"/>
      <c r="C106" s="34"/>
      <c r="D106" s="34"/>
      <c r="E106" s="88"/>
      <c r="F106" s="88"/>
    </row>
    <row r="107" spans="2:6" ht="18.75" customHeight="1">
      <c r="B107" s="43"/>
      <c r="C107" s="34"/>
      <c r="D107" s="34"/>
      <c r="E107" s="88"/>
      <c r="F107" s="88"/>
    </row>
    <row r="108" spans="2:6" ht="18.75" customHeight="1">
      <c r="B108" s="43"/>
      <c r="C108" s="34"/>
      <c r="D108" s="34"/>
      <c r="E108" s="88"/>
      <c r="F108" s="88"/>
    </row>
    <row r="109" spans="2:6" ht="18.75" customHeight="1">
      <c r="B109" s="43"/>
      <c r="C109" s="34"/>
      <c r="D109" s="34"/>
      <c r="E109" s="88"/>
      <c r="F109" s="88"/>
    </row>
    <row r="110" spans="2:6" ht="18.75" customHeight="1">
      <c r="B110" s="43"/>
      <c r="C110" s="34"/>
      <c r="D110" s="34"/>
      <c r="E110" s="88"/>
      <c r="F110" s="88"/>
    </row>
    <row r="111" spans="2:6" ht="18.75" customHeight="1">
      <c r="B111" s="43"/>
      <c r="C111" s="34"/>
      <c r="D111" s="34"/>
      <c r="E111" s="88"/>
      <c r="F111" s="88"/>
    </row>
    <row r="112" spans="2:6" ht="18.75" customHeight="1">
      <c r="B112" s="43"/>
      <c r="C112" s="34"/>
      <c r="D112" s="34"/>
      <c r="E112" s="88"/>
      <c r="F112" s="88"/>
    </row>
    <row r="113" spans="2:6" ht="18.75" customHeight="1">
      <c r="B113" s="43"/>
      <c r="C113" s="34"/>
      <c r="D113" s="34"/>
      <c r="E113" s="88"/>
      <c r="F113" s="88"/>
    </row>
    <row r="114" spans="2:6" ht="18.75" customHeight="1">
      <c r="B114" s="43"/>
      <c r="C114" s="34"/>
      <c r="D114" s="34"/>
      <c r="E114" s="88"/>
      <c r="F114" s="88"/>
    </row>
    <row r="115" spans="2:6" ht="18.75" customHeight="1">
      <c r="B115" s="43"/>
      <c r="C115" s="34"/>
      <c r="D115" s="34"/>
      <c r="E115" s="88"/>
      <c r="F115" s="88"/>
    </row>
    <row r="116" spans="2:6" ht="18.75" customHeight="1">
      <c r="B116" s="43"/>
      <c r="C116" s="34"/>
      <c r="D116" s="34"/>
      <c r="E116" s="88"/>
      <c r="F116" s="88"/>
    </row>
    <row r="117" spans="2:6" ht="18.75" customHeight="1">
      <c r="B117" s="43"/>
      <c r="C117" s="34"/>
      <c r="D117" s="34"/>
      <c r="E117" s="88"/>
      <c r="F117" s="88"/>
    </row>
    <row r="118" spans="2:6" ht="18.75" customHeight="1">
      <c r="B118" s="43"/>
      <c r="C118" s="34"/>
      <c r="D118" s="34"/>
      <c r="E118" s="88"/>
      <c r="F118" s="88"/>
    </row>
    <row r="119" spans="2:6" ht="18.75" customHeight="1">
      <c r="B119" s="43"/>
      <c r="C119" s="34"/>
      <c r="D119" s="34"/>
      <c r="E119" s="88"/>
      <c r="F119" s="88"/>
    </row>
    <row r="120" spans="2:6" ht="18.75" customHeight="1">
      <c r="B120" s="43"/>
      <c r="C120" s="34"/>
      <c r="D120" s="34"/>
      <c r="E120" s="88"/>
      <c r="F120" s="88"/>
    </row>
    <row r="121" spans="2:6" ht="18.75" customHeight="1">
      <c r="B121" s="43"/>
      <c r="C121" s="34"/>
      <c r="D121" s="34"/>
      <c r="E121" s="88"/>
      <c r="F121" s="88"/>
    </row>
    <row r="122" spans="2:6" ht="18.75" customHeight="1">
      <c r="B122" s="43"/>
      <c r="C122" s="34"/>
      <c r="D122" s="34"/>
      <c r="E122" s="88"/>
      <c r="F122" s="88"/>
    </row>
    <row r="123" spans="2:6" ht="18.75" customHeight="1">
      <c r="B123" s="43"/>
      <c r="C123" s="34"/>
      <c r="D123" s="34"/>
      <c r="E123" s="88"/>
      <c r="F123" s="88"/>
    </row>
    <row r="124" spans="2:6" ht="18.75" customHeight="1">
      <c r="B124" s="43"/>
      <c r="C124" s="34"/>
      <c r="D124" s="34"/>
      <c r="E124" s="88"/>
      <c r="F124" s="88"/>
    </row>
    <row r="125" spans="2:6" ht="18.75" customHeight="1">
      <c r="B125" s="43"/>
      <c r="C125" s="34"/>
      <c r="D125" s="34"/>
      <c r="E125" s="88"/>
      <c r="F125" s="88"/>
    </row>
    <row r="126" spans="2:6" ht="18.75" customHeight="1">
      <c r="B126" s="43"/>
      <c r="C126" s="34"/>
      <c r="D126" s="34"/>
      <c r="E126" s="88"/>
      <c r="F126" s="88"/>
    </row>
    <row r="127" spans="2:6" ht="18.75" customHeight="1">
      <c r="B127" s="43"/>
      <c r="C127" s="34"/>
      <c r="D127" s="34"/>
      <c r="E127" s="88"/>
      <c r="F127" s="88"/>
    </row>
    <row r="128" spans="2:6" ht="18.75" customHeight="1">
      <c r="B128" s="43"/>
      <c r="C128" s="34"/>
      <c r="D128" s="34"/>
      <c r="E128" s="88"/>
      <c r="F128" s="88"/>
    </row>
    <row r="129" spans="2:6" ht="18.75" customHeight="1">
      <c r="B129" s="43"/>
      <c r="C129" s="34"/>
      <c r="D129" s="34"/>
      <c r="E129" s="88"/>
      <c r="F129" s="88"/>
    </row>
    <row r="130" spans="2:6" ht="18.75" customHeight="1">
      <c r="B130" s="43"/>
      <c r="C130" s="34"/>
      <c r="D130" s="34"/>
      <c r="E130" s="88"/>
      <c r="F130" s="88"/>
    </row>
    <row r="131" spans="2:6" ht="18.75" customHeight="1">
      <c r="B131" s="43"/>
      <c r="C131" s="34"/>
      <c r="D131" s="34"/>
      <c r="E131" s="88"/>
      <c r="F131" s="88"/>
    </row>
    <row r="132" spans="2:6" ht="18.75" customHeight="1">
      <c r="B132" s="43"/>
      <c r="C132" s="34"/>
      <c r="D132" s="34"/>
      <c r="E132" s="88"/>
      <c r="F132" s="88"/>
    </row>
    <row r="133" spans="2:6" ht="18.75" customHeight="1">
      <c r="B133" s="43"/>
      <c r="C133" s="34"/>
      <c r="D133" s="34"/>
      <c r="E133" s="88"/>
      <c r="F133" s="88"/>
    </row>
    <row r="134" spans="2:6" ht="18.75" customHeight="1">
      <c r="B134" s="43"/>
      <c r="C134" s="34"/>
      <c r="D134" s="34"/>
      <c r="E134" s="88"/>
      <c r="F134" s="88"/>
    </row>
    <row r="135" spans="2:6" ht="18.75" customHeight="1">
      <c r="B135" s="43"/>
      <c r="C135" s="34"/>
      <c r="D135" s="34"/>
      <c r="E135" s="88"/>
      <c r="F135" s="88"/>
    </row>
    <row r="136" spans="2:6" ht="18.75" customHeight="1">
      <c r="B136" s="43"/>
      <c r="C136" s="34"/>
      <c r="D136" s="34"/>
      <c r="E136" s="88"/>
      <c r="F136" s="88"/>
    </row>
    <row r="137" spans="2:6" ht="18.75" customHeight="1">
      <c r="B137" s="43"/>
      <c r="C137" s="34"/>
      <c r="D137" s="34"/>
      <c r="E137" s="88"/>
      <c r="F137" s="88"/>
    </row>
    <row r="138" spans="2:6" ht="18.75" customHeight="1">
      <c r="B138" s="43"/>
      <c r="C138" s="34"/>
      <c r="D138" s="34"/>
      <c r="E138" s="88"/>
      <c r="F138" s="88"/>
    </row>
    <row r="139" spans="2:6" ht="18.75" customHeight="1">
      <c r="B139" s="43"/>
      <c r="C139" s="34"/>
      <c r="D139" s="34"/>
      <c r="E139" s="88"/>
      <c r="F139" s="88"/>
    </row>
    <row r="140" spans="2:6" ht="18.75" customHeight="1">
      <c r="B140" s="43"/>
      <c r="C140" s="34"/>
      <c r="D140" s="34"/>
      <c r="E140" s="88"/>
      <c r="F140" s="88"/>
    </row>
    <row r="141" spans="2:6" ht="18.75" customHeight="1">
      <c r="B141" s="43"/>
      <c r="C141" s="34"/>
      <c r="D141" s="34"/>
      <c r="E141" s="88"/>
      <c r="F141" s="88"/>
    </row>
    <row r="142" spans="2:6" ht="18.75" customHeight="1">
      <c r="B142" s="43"/>
      <c r="C142" s="34"/>
      <c r="D142" s="34"/>
      <c r="E142" s="88"/>
      <c r="F142" s="88"/>
    </row>
    <row r="143" spans="2:6" ht="18.75" customHeight="1">
      <c r="B143" s="43"/>
      <c r="C143" s="34"/>
      <c r="D143" s="34"/>
      <c r="E143" s="88"/>
      <c r="F143" s="88"/>
    </row>
    <row r="144" spans="2:6" ht="18.75" customHeight="1">
      <c r="B144" s="43"/>
      <c r="C144" s="34"/>
      <c r="D144" s="34"/>
      <c r="E144" s="88"/>
      <c r="F144" s="88"/>
    </row>
    <row r="145" spans="2:6" ht="18.75" customHeight="1">
      <c r="B145" s="43"/>
      <c r="C145" s="34"/>
      <c r="D145" s="34"/>
      <c r="E145" s="88"/>
      <c r="F145" s="88"/>
    </row>
    <row r="146" spans="2:6" ht="18.75" customHeight="1">
      <c r="B146" s="43"/>
      <c r="C146" s="34"/>
      <c r="D146" s="34"/>
      <c r="E146" s="88"/>
      <c r="F146" s="88"/>
    </row>
    <row r="147" spans="2:6" ht="18.75" customHeight="1">
      <c r="B147" s="43"/>
      <c r="C147" s="34"/>
      <c r="D147" s="34"/>
      <c r="E147" s="88"/>
      <c r="F147" s="88"/>
    </row>
    <row r="148" spans="2:6" ht="18.75" customHeight="1">
      <c r="B148" s="43"/>
      <c r="C148" s="34"/>
      <c r="D148" s="34"/>
      <c r="E148" s="88"/>
      <c r="F148" s="88"/>
    </row>
    <row r="149" spans="2:6" ht="18.75" customHeight="1">
      <c r="B149" s="43"/>
      <c r="C149" s="34"/>
      <c r="D149" s="34"/>
      <c r="E149" s="88"/>
      <c r="F149" s="88"/>
    </row>
    <row r="150" spans="2:6" ht="18.75" customHeight="1">
      <c r="B150" s="43"/>
      <c r="C150" s="34"/>
      <c r="D150" s="34"/>
      <c r="E150" s="88"/>
      <c r="F150" s="88"/>
    </row>
    <row r="151" spans="2:6" ht="18.75" customHeight="1">
      <c r="B151" s="43"/>
      <c r="C151" s="34"/>
      <c r="D151" s="34"/>
      <c r="E151" s="88"/>
      <c r="F151" s="88"/>
    </row>
    <row r="152" spans="2:6" ht="18.75" customHeight="1">
      <c r="B152" s="43"/>
      <c r="C152" s="34"/>
      <c r="D152" s="34"/>
      <c r="E152" s="88"/>
      <c r="F152" s="88"/>
    </row>
    <row r="153" spans="2:6" ht="18.75" customHeight="1">
      <c r="B153" s="43"/>
      <c r="C153" s="34"/>
      <c r="D153" s="34"/>
      <c r="E153" s="88"/>
      <c r="F153" s="88"/>
    </row>
    <row r="154" spans="2:6" ht="18.75" customHeight="1">
      <c r="B154" s="43"/>
      <c r="C154" s="34"/>
      <c r="D154" s="34"/>
      <c r="E154" s="88"/>
      <c r="F154" s="88"/>
    </row>
    <row r="155" spans="2:6" ht="18.75" customHeight="1">
      <c r="B155" s="43"/>
      <c r="C155" s="34"/>
      <c r="D155" s="34"/>
      <c r="E155" s="88"/>
      <c r="F155" s="88"/>
    </row>
    <row r="156" spans="2:6" ht="18.75" customHeight="1">
      <c r="B156" s="43"/>
      <c r="C156" s="34"/>
      <c r="D156" s="34"/>
      <c r="E156" s="88"/>
      <c r="F156" s="88"/>
    </row>
    <row r="157" spans="2:6" ht="18.75" customHeight="1">
      <c r="B157" s="43"/>
      <c r="C157" s="34"/>
      <c r="D157" s="34"/>
      <c r="E157" s="88"/>
      <c r="F157" s="88"/>
    </row>
    <row r="158" spans="2:6" ht="18.75" customHeight="1">
      <c r="B158" s="43"/>
      <c r="C158" s="34"/>
      <c r="D158" s="34"/>
      <c r="E158" s="88"/>
      <c r="F158" s="88"/>
    </row>
    <row r="159" spans="2:6" ht="18.75" customHeight="1">
      <c r="B159" s="43"/>
      <c r="C159" s="34"/>
      <c r="D159" s="34"/>
      <c r="E159" s="88"/>
      <c r="F159" s="88"/>
    </row>
    <row r="160" spans="2:6" ht="18.75" customHeight="1">
      <c r="B160" s="43"/>
      <c r="C160" s="34"/>
      <c r="D160" s="34"/>
      <c r="E160" s="88"/>
      <c r="F160" s="88"/>
    </row>
    <row r="161" spans="2:6" ht="18.75" customHeight="1">
      <c r="B161" s="43"/>
      <c r="C161" s="34"/>
      <c r="D161" s="34"/>
      <c r="E161" s="88"/>
      <c r="F161" s="88"/>
    </row>
    <row r="162" spans="2:6" ht="18.75" customHeight="1">
      <c r="B162" s="43"/>
      <c r="C162" s="34"/>
      <c r="D162" s="34"/>
      <c r="E162" s="88"/>
      <c r="F162" s="88"/>
    </row>
    <row r="163" spans="2:6" ht="18.75" customHeight="1">
      <c r="B163" s="43"/>
      <c r="C163" s="34"/>
      <c r="D163" s="34"/>
      <c r="E163" s="88"/>
      <c r="F163" s="88"/>
    </row>
    <row r="164" spans="2:6" ht="18.75" customHeight="1">
      <c r="B164" s="43"/>
      <c r="C164" s="34"/>
      <c r="D164" s="34"/>
      <c r="E164" s="88"/>
      <c r="F164" s="88"/>
    </row>
    <row r="165" spans="2:6" ht="18.75" customHeight="1">
      <c r="B165" s="43"/>
      <c r="C165" s="34"/>
      <c r="D165" s="34"/>
      <c r="E165" s="88"/>
      <c r="F165" s="88"/>
    </row>
    <row r="166" spans="2:6" ht="18.75" customHeight="1">
      <c r="B166" s="43"/>
      <c r="C166" s="34"/>
      <c r="D166" s="34"/>
      <c r="E166" s="88"/>
      <c r="F166" s="88"/>
    </row>
    <row r="167" spans="2:6" ht="18.75" customHeight="1">
      <c r="B167" s="43"/>
      <c r="C167" s="34"/>
      <c r="D167" s="34"/>
      <c r="E167" s="88"/>
      <c r="F167" s="88"/>
    </row>
    <row r="168" spans="2:6" ht="18.75" customHeight="1">
      <c r="B168" s="43"/>
      <c r="C168" s="34"/>
      <c r="D168" s="34"/>
      <c r="E168" s="88"/>
      <c r="F168" s="88"/>
    </row>
    <row r="169" spans="2:6" ht="18.75" customHeight="1">
      <c r="B169" s="43"/>
      <c r="C169" s="34"/>
      <c r="D169" s="34"/>
      <c r="E169" s="88"/>
      <c r="F169" s="88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09"/>
  <sheetViews>
    <sheetView topLeftCell="A10" workbookViewId="0">
      <selection activeCell="B21" sqref="B21:B2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7.25" style="36" customWidth="1"/>
    <col min="4" max="4" width="14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42</v>
      </c>
      <c r="D9" s="6" t="s">
        <v>1769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1937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1938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1939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1940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1941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1942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1943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1944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1945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1953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1957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1958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1959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1960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1770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1771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1857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1861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1865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1869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1873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993"/>
  <sheetViews>
    <sheetView tabSelected="1" topLeftCell="B4" workbookViewId="0">
      <pane xSplit="3" ySplit="7" topLeftCell="E11" activePane="bottomRight" state="frozen"/>
      <selection activeCell="B4" sqref="B4"/>
      <selection pane="topRight" activeCell="E4" sqref="E4"/>
      <selection pane="bottomLeft" activeCell="B11" sqref="B11"/>
      <selection pane="bottomRight" activeCell="M16" sqref="M16"/>
    </sheetView>
  </sheetViews>
  <sheetFormatPr defaultColWidth="12.625" defaultRowHeight="15" customHeight="1"/>
  <cols>
    <col min="1" max="1" width="7.625" style="36" customWidth="1"/>
    <col min="2" max="2" width="10.25" style="44" customWidth="1"/>
    <col min="3" max="3" width="10.25" style="36" customWidth="1"/>
    <col min="4" max="4" width="29.875" style="36" customWidth="1"/>
    <col min="5" max="6" width="15.375" style="36" customWidth="1"/>
    <col min="7" max="9" width="15.125" style="36" customWidth="1"/>
    <col min="10" max="59" width="10.375" style="44" customWidth="1"/>
    <col min="60" max="60" width="33.875" style="36" customWidth="1"/>
    <col min="61" max="62" width="18.625" style="36" customWidth="1"/>
    <col min="63" max="63" width="31.75" style="36" customWidth="1"/>
    <col min="64" max="64" width="18.375" style="36" customWidth="1"/>
    <col min="65" max="65" width="18.625" style="36" customWidth="1"/>
    <col min="66" max="66" width="32" style="36" customWidth="1"/>
    <col min="67" max="67" width="18.375" style="36" customWidth="1"/>
    <col min="68" max="68" width="18.625" style="36" customWidth="1"/>
    <col min="69" max="69" width="34.625" style="36" customWidth="1"/>
    <col min="70" max="70" width="18.375" style="36" customWidth="1"/>
    <col min="71" max="71" width="18.625" style="36" customWidth="1"/>
    <col min="72" max="72" width="31.5" style="36" customWidth="1"/>
    <col min="73" max="74" width="12.625" style="36" customWidth="1"/>
    <col min="75" max="77" width="15.375" style="44" customWidth="1"/>
    <col min="78" max="78" width="15.5" style="44" customWidth="1"/>
    <col min="79" max="82" width="12.625" style="36" customWidth="1"/>
    <col min="83" max="83" width="15.5" style="44" customWidth="1"/>
    <col min="84" max="97" width="12.625" style="36" customWidth="1"/>
    <col min="98" max="16384" width="12.625" style="36"/>
  </cols>
  <sheetData>
    <row r="1" spans="1:118" ht="12" customHeight="1"/>
    <row r="2" spans="1:118" ht="40.5" customHeight="1">
      <c r="A2" s="55" t="s">
        <v>0</v>
      </c>
      <c r="B2" s="15" t="s">
        <v>45</v>
      </c>
      <c r="C2" s="13"/>
    </row>
    <row r="3" spans="1:118" ht="18.75" customHeight="1">
      <c r="A3" s="1"/>
      <c r="B3" s="45" t="s">
        <v>1</v>
      </c>
      <c r="C3" s="1"/>
      <c r="D3" s="1"/>
      <c r="E3" s="1"/>
      <c r="F3" s="1"/>
      <c r="G3" s="2"/>
      <c r="H3" s="2"/>
      <c r="I3" s="2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8"/>
      <c r="BX3" s="38"/>
      <c r="BY3" s="38"/>
      <c r="BZ3" s="38"/>
      <c r="CA3" s="2"/>
      <c r="CB3" s="2"/>
      <c r="CC3" s="2"/>
      <c r="CD3" s="2"/>
      <c r="CE3" s="38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55" t="s">
        <v>2</v>
      </c>
      <c r="B4" s="39" t="s">
        <v>3</v>
      </c>
      <c r="C4" s="3" t="s">
        <v>46</v>
      </c>
      <c r="D4" s="3" t="s">
        <v>15</v>
      </c>
      <c r="E4" s="3" t="s">
        <v>1947</v>
      </c>
      <c r="F4" s="3" t="s">
        <v>1950</v>
      </c>
      <c r="G4" s="3" t="s">
        <v>223</v>
      </c>
      <c r="H4" s="3" t="s">
        <v>1272</v>
      </c>
      <c r="I4" s="3" t="s">
        <v>2003</v>
      </c>
      <c r="J4" s="39" t="s">
        <v>1927</v>
      </c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9" t="s">
        <v>1928</v>
      </c>
      <c r="BX4" s="39"/>
      <c r="BY4" s="39"/>
      <c r="BZ4" s="39" t="s">
        <v>1929</v>
      </c>
      <c r="CA4" s="3"/>
      <c r="CB4" s="3"/>
      <c r="CC4" s="3"/>
      <c r="CD4" s="3"/>
      <c r="CE4" s="39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55" t="s">
        <v>4</v>
      </c>
      <c r="B5" s="39"/>
      <c r="C5" s="3"/>
      <c r="D5" s="3"/>
      <c r="E5" s="3"/>
      <c r="F5" s="3"/>
      <c r="G5" s="3"/>
      <c r="H5" s="3"/>
      <c r="I5" s="3"/>
      <c r="J5" s="39">
        <v>1</v>
      </c>
      <c r="K5" s="39"/>
      <c r="L5" s="39"/>
      <c r="M5" s="39"/>
      <c r="N5" s="39"/>
      <c r="O5" s="39"/>
      <c r="P5" s="39"/>
      <c r="Q5" s="39"/>
      <c r="R5" s="39"/>
      <c r="S5" s="39"/>
      <c r="T5" s="39">
        <v>2</v>
      </c>
      <c r="U5" s="39"/>
      <c r="V5" s="39"/>
      <c r="W5" s="39"/>
      <c r="X5" s="39"/>
      <c r="Y5" s="39"/>
      <c r="Z5" s="39"/>
      <c r="AA5" s="39"/>
      <c r="AB5" s="39"/>
      <c r="AC5" s="39"/>
      <c r="AD5" s="39">
        <v>3</v>
      </c>
      <c r="AE5" s="39"/>
      <c r="AF5" s="39"/>
      <c r="AG5" s="39"/>
      <c r="AH5" s="39"/>
      <c r="AI5" s="39"/>
      <c r="AJ5" s="39"/>
      <c r="AK5" s="39"/>
      <c r="AL5" s="39"/>
      <c r="AM5" s="39"/>
      <c r="AN5" s="39">
        <v>4</v>
      </c>
      <c r="AO5" s="39"/>
      <c r="AP5" s="39"/>
      <c r="AQ5" s="39"/>
      <c r="AR5" s="39"/>
      <c r="AS5" s="39"/>
      <c r="AT5" s="39"/>
      <c r="AU5" s="39"/>
      <c r="AV5" s="39"/>
      <c r="AW5" s="39"/>
      <c r="AX5" s="39">
        <v>5</v>
      </c>
      <c r="AY5" s="39"/>
      <c r="AZ5" s="39"/>
      <c r="BA5" s="39"/>
      <c r="BB5" s="39"/>
      <c r="BC5" s="39"/>
      <c r="BD5" s="39"/>
      <c r="BE5" s="39"/>
      <c r="BF5" s="39"/>
      <c r="BG5" s="39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9">
        <v>1</v>
      </c>
      <c r="BX5" s="39"/>
      <c r="BY5" s="39"/>
      <c r="BZ5" s="39">
        <v>1</v>
      </c>
      <c r="CA5" s="3"/>
      <c r="CB5" s="3"/>
      <c r="CC5" s="3"/>
      <c r="CD5" s="3"/>
      <c r="CE5" s="39">
        <v>2</v>
      </c>
      <c r="CF5" s="3"/>
      <c r="CG5" s="3"/>
      <c r="CH5" s="3"/>
      <c r="CI5" s="3"/>
      <c r="CJ5" s="39">
        <v>3</v>
      </c>
      <c r="CK5" s="3"/>
      <c r="CL5" s="3"/>
      <c r="CM5" s="3"/>
      <c r="CN5" s="3"/>
      <c r="CO5" s="39">
        <v>4</v>
      </c>
      <c r="CP5" s="3"/>
      <c r="CQ5" s="3"/>
      <c r="CR5" s="3"/>
      <c r="CS5" s="3"/>
      <c r="CT5" s="39">
        <v>4</v>
      </c>
      <c r="CU5" s="3"/>
      <c r="CV5" s="3"/>
      <c r="CW5" s="3"/>
      <c r="CX5" s="3"/>
      <c r="CY5" s="39">
        <v>5</v>
      </c>
      <c r="CZ5" s="3"/>
      <c r="DA5" s="3"/>
      <c r="DB5" s="3"/>
      <c r="DC5" s="3"/>
      <c r="DD5" s="39">
        <v>6</v>
      </c>
      <c r="DE5" s="3"/>
      <c r="DF5" s="3"/>
      <c r="DG5" s="3"/>
      <c r="DH5" s="3"/>
      <c r="DI5" s="39">
        <v>7</v>
      </c>
      <c r="DJ5" s="3"/>
      <c r="DK5" s="3"/>
      <c r="DL5" s="3"/>
      <c r="DM5" s="3"/>
      <c r="DN5" s="3"/>
    </row>
    <row r="6" spans="1:118" ht="18.75" customHeight="1">
      <c r="A6" s="55" t="s">
        <v>5</v>
      </c>
      <c r="B6" s="39"/>
      <c r="C6" s="3"/>
      <c r="D6" s="3"/>
      <c r="E6" s="3"/>
      <c r="F6" s="3"/>
      <c r="G6" s="3"/>
      <c r="H6" s="3"/>
      <c r="I6" s="3"/>
      <c r="J6" s="39">
        <v>1</v>
      </c>
      <c r="K6" s="39"/>
      <c r="L6" s="39">
        <v>2</v>
      </c>
      <c r="M6" s="39"/>
      <c r="N6" s="39">
        <v>3</v>
      </c>
      <c r="O6" s="39"/>
      <c r="P6" s="39">
        <v>4</v>
      </c>
      <c r="Q6" s="39"/>
      <c r="R6" s="39">
        <v>5</v>
      </c>
      <c r="S6" s="39"/>
      <c r="T6" s="39">
        <v>1</v>
      </c>
      <c r="U6" s="39"/>
      <c r="V6" s="39">
        <v>2</v>
      </c>
      <c r="W6" s="39"/>
      <c r="X6" s="39">
        <v>3</v>
      </c>
      <c r="Y6" s="39"/>
      <c r="Z6" s="39">
        <v>4</v>
      </c>
      <c r="AA6" s="39"/>
      <c r="AB6" s="39">
        <v>5</v>
      </c>
      <c r="AC6" s="39"/>
      <c r="AD6" s="39">
        <v>1</v>
      </c>
      <c r="AE6" s="39"/>
      <c r="AF6" s="39">
        <v>2</v>
      </c>
      <c r="AG6" s="39"/>
      <c r="AH6" s="39">
        <v>3</v>
      </c>
      <c r="AI6" s="39"/>
      <c r="AJ6" s="39">
        <v>4</v>
      </c>
      <c r="AK6" s="39"/>
      <c r="AL6" s="39">
        <v>5</v>
      </c>
      <c r="AM6" s="39"/>
      <c r="AN6" s="39">
        <v>1</v>
      </c>
      <c r="AO6" s="39"/>
      <c r="AP6" s="39">
        <v>2</v>
      </c>
      <c r="AQ6" s="39"/>
      <c r="AR6" s="39">
        <v>3</v>
      </c>
      <c r="AS6" s="39"/>
      <c r="AT6" s="39">
        <v>4</v>
      </c>
      <c r="AU6" s="39"/>
      <c r="AV6" s="39">
        <v>5</v>
      </c>
      <c r="AW6" s="39"/>
      <c r="AX6" s="39">
        <v>1</v>
      </c>
      <c r="AY6" s="39"/>
      <c r="AZ6" s="39">
        <v>2</v>
      </c>
      <c r="BA6" s="39"/>
      <c r="BB6" s="39">
        <v>3</v>
      </c>
      <c r="BC6" s="39"/>
      <c r="BD6" s="39">
        <v>4</v>
      </c>
      <c r="BE6" s="39"/>
      <c r="BF6" s="39">
        <v>5</v>
      </c>
      <c r="BG6" s="39"/>
      <c r="BH6" s="3" t="s">
        <v>179</v>
      </c>
      <c r="BI6" s="3" t="s">
        <v>180</v>
      </c>
      <c r="BJ6" s="3" t="s">
        <v>220</v>
      </c>
      <c r="BK6" s="3" t="s">
        <v>179</v>
      </c>
      <c r="BL6" s="3" t="s">
        <v>180</v>
      </c>
      <c r="BM6" s="3" t="s">
        <v>220</v>
      </c>
      <c r="BN6" s="3" t="s">
        <v>179</v>
      </c>
      <c r="BO6" s="3" t="s">
        <v>180</v>
      </c>
      <c r="BP6" s="3" t="s">
        <v>220</v>
      </c>
      <c r="BQ6" s="3" t="s">
        <v>179</v>
      </c>
      <c r="BR6" s="3" t="s">
        <v>180</v>
      </c>
      <c r="BS6" s="3" t="s">
        <v>220</v>
      </c>
      <c r="BT6" s="3" t="s">
        <v>179</v>
      </c>
      <c r="BU6" s="3" t="s">
        <v>180</v>
      </c>
      <c r="BV6" s="3" t="s">
        <v>220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1931</v>
      </c>
      <c r="CD6" s="3" t="s">
        <v>1935</v>
      </c>
      <c r="CE6" s="3" t="s">
        <v>28</v>
      </c>
      <c r="CF6" s="3" t="s">
        <v>29</v>
      </c>
      <c r="CG6" s="3" t="s">
        <v>31</v>
      </c>
      <c r="CH6" s="3" t="s">
        <v>1931</v>
      </c>
      <c r="CI6" s="3" t="s">
        <v>1935</v>
      </c>
      <c r="CJ6" s="3" t="s">
        <v>28</v>
      </c>
      <c r="CK6" s="3" t="s">
        <v>29</v>
      </c>
      <c r="CL6" s="3" t="s">
        <v>31</v>
      </c>
      <c r="CM6" s="3" t="s">
        <v>1931</v>
      </c>
      <c r="CN6" s="3" t="s">
        <v>1935</v>
      </c>
      <c r="CO6" s="3" t="s">
        <v>28</v>
      </c>
      <c r="CP6" s="3" t="s">
        <v>29</v>
      </c>
      <c r="CQ6" s="3" t="s">
        <v>31</v>
      </c>
      <c r="CR6" s="3" t="s">
        <v>1931</v>
      </c>
      <c r="CS6" s="3" t="s">
        <v>1935</v>
      </c>
      <c r="CT6" s="3" t="s">
        <v>28</v>
      </c>
      <c r="CU6" s="3" t="s">
        <v>29</v>
      </c>
      <c r="CV6" s="3" t="s">
        <v>31</v>
      </c>
      <c r="CW6" s="3" t="s">
        <v>1931</v>
      </c>
      <c r="CX6" s="3" t="s">
        <v>1935</v>
      </c>
      <c r="CY6" s="3" t="s">
        <v>28</v>
      </c>
      <c r="CZ6" s="3" t="s">
        <v>29</v>
      </c>
      <c r="DA6" s="3" t="s">
        <v>31</v>
      </c>
      <c r="DB6" s="3" t="s">
        <v>1931</v>
      </c>
      <c r="DC6" s="3" t="s">
        <v>1935</v>
      </c>
      <c r="DD6" s="3" t="s">
        <v>28</v>
      </c>
      <c r="DE6" s="3" t="s">
        <v>29</v>
      </c>
      <c r="DF6" s="3" t="s">
        <v>31</v>
      </c>
      <c r="DG6" s="3" t="s">
        <v>1931</v>
      </c>
      <c r="DH6" s="3" t="s">
        <v>1935</v>
      </c>
      <c r="DI6" s="3" t="s">
        <v>28</v>
      </c>
      <c r="DJ6" s="3" t="s">
        <v>29</v>
      </c>
      <c r="DK6" s="3" t="s">
        <v>31</v>
      </c>
      <c r="DL6" s="3" t="s">
        <v>1931</v>
      </c>
      <c r="DM6" s="3" t="s">
        <v>1935</v>
      </c>
      <c r="DN6" s="3"/>
    </row>
    <row r="7" spans="1:118" ht="18.75" customHeight="1">
      <c r="A7" s="55" t="s">
        <v>1921</v>
      </c>
      <c r="B7" s="39"/>
      <c r="C7" s="3"/>
      <c r="D7" s="3"/>
      <c r="E7" s="3"/>
      <c r="F7" s="3"/>
      <c r="G7" s="3"/>
      <c r="H7" s="3"/>
      <c r="I7" s="3"/>
      <c r="J7" s="39" t="s">
        <v>1922</v>
      </c>
      <c r="K7" s="39" t="s">
        <v>1923</v>
      </c>
      <c r="L7" s="39" t="s">
        <v>1922</v>
      </c>
      <c r="M7" s="39" t="s">
        <v>1923</v>
      </c>
      <c r="N7" s="39" t="s">
        <v>1922</v>
      </c>
      <c r="O7" s="39" t="s">
        <v>1923</v>
      </c>
      <c r="P7" s="39" t="s">
        <v>1922</v>
      </c>
      <c r="Q7" s="39" t="s">
        <v>1923</v>
      </c>
      <c r="R7" s="39" t="s">
        <v>1922</v>
      </c>
      <c r="S7" s="39" t="s">
        <v>1923</v>
      </c>
      <c r="T7" s="39" t="s">
        <v>1922</v>
      </c>
      <c r="U7" s="39" t="s">
        <v>1923</v>
      </c>
      <c r="V7" s="39" t="s">
        <v>1922</v>
      </c>
      <c r="W7" s="39" t="s">
        <v>1923</v>
      </c>
      <c r="X7" s="39" t="s">
        <v>1922</v>
      </c>
      <c r="Y7" s="39" t="s">
        <v>1923</v>
      </c>
      <c r="Z7" s="39" t="s">
        <v>1922</v>
      </c>
      <c r="AA7" s="39" t="s">
        <v>1923</v>
      </c>
      <c r="AB7" s="39" t="s">
        <v>1922</v>
      </c>
      <c r="AC7" s="39" t="s">
        <v>1923</v>
      </c>
      <c r="AD7" s="39" t="s">
        <v>1922</v>
      </c>
      <c r="AE7" s="39" t="s">
        <v>1923</v>
      </c>
      <c r="AF7" s="39" t="s">
        <v>1922</v>
      </c>
      <c r="AG7" s="39" t="s">
        <v>1923</v>
      </c>
      <c r="AH7" s="39" t="s">
        <v>1922</v>
      </c>
      <c r="AI7" s="39" t="s">
        <v>1923</v>
      </c>
      <c r="AJ7" s="39" t="s">
        <v>1922</v>
      </c>
      <c r="AK7" s="39" t="s">
        <v>1923</v>
      </c>
      <c r="AL7" s="39" t="s">
        <v>1922</v>
      </c>
      <c r="AM7" s="39" t="s">
        <v>1923</v>
      </c>
      <c r="AN7" s="39" t="s">
        <v>125</v>
      </c>
      <c r="AO7" s="39" t="s">
        <v>97</v>
      </c>
      <c r="AP7" s="39" t="s">
        <v>125</v>
      </c>
      <c r="AQ7" s="39" t="s">
        <v>97</v>
      </c>
      <c r="AR7" s="39" t="s">
        <v>125</v>
      </c>
      <c r="AS7" s="39" t="s">
        <v>97</v>
      </c>
      <c r="AT7" s="39" t="s">
        <v>125</v>
      </c>
      <c r="AU7" s="39" t="s">
        <v>97</v>
      </c>
      <c r="AV7" s="39" t="s">
        <v>125</v>
      </c>
      <c r="AW7" s="39" t="s">
        <v>97</v>
      </c>
      <c r="AX7" s="39" t="s">
        <v>125</v>
      </c>
      <c r="AY7" s="39" t="s">
        <v>97</v>
      </c>
      <c r="AZ7" s="39" t="s">
        <v>125</v>
      </c>
      <c r="BA7" s="39" t="s">
        <v>97</v>
      </c>
      <c r="BB7" s="39" t="s">
        <v>125</v>
      </c>
      <c r="BC7" s="39" t="s">
        <v>97</v>
      </c>
      <c r="BD7" s="39" t="s">
        <v>125</v>
      </c>
      <c r="BE7" s="39" t="s">
        <v>97</v>
      </c>
      <c r="BF7" s="39" t="s">
        <v>125</v>
      </c>
      <c r="BG7" s="39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9"/>
      <c r="CA7" s="3"/>
      <c r="CB7" s="3"/>
      <c r="CC7" s="3"/>
      <c r="CD7" s="3"/>
      <c r="CE7" s="39"/>
      <c r="CF7" s="3"/>
      <c r="CG7" s="3"/>
      <c r="CH7" s="3"/>
      <c r="CI7" s="3"/>
      <c r="CJ7" s="39"/>
      <c r="CK7" s="3"/>
      <c r="CL7" s="3"/>
      <c r="CM7" s="3"/>
      <c r="CN7" s="3"/>
      <c r="CO7" s="39"/>
      <c r="CP7" s="3"/>
      <c r="CQ7" s="3"/>
      <c r="CR7" s="3"/>
      <c r="CS7" s="3"/>
      <c r="CT7" s="39"/>
      <c r="CU7" s="3"/>
      <c r="CV7" s="3"/>
      <c r="CW7" s="3"/>
      <c r="CX7" s="3"/>
      <c r="CY7" s="39"/>
      <c r="CZ7" s="3"/>
      <c r="DA7" s="3"/>
      <c r="DB7" s="3"/>
      <c r="DC7" s="3"/>
      <c r="DD7" s="39"/>
      <c r="DE7" s="3"/>
      <c r="DF7" s="3"/>
      <c r="DG7" s="3"/>
      <c r="DH7" s="3"/>
      <c r="DI7" s="39"/>
      <c r="DJ7" s="3"/>
      <c r="DK7" s="3"/>
      <c r="DL7" s="3"/>
      <c r="DM7" s="3"/>
      <c r="DN7" s="3"/>
    </row>
    <row r="8" spans="1:118" ht="18.75" customHeight="1">
      <c r="A8" s="55" t="s">
        <v>6</v>
      </c>
      <c r="B8" s="40" t="s">
        <v>7</v>
      </c>
      <c r="C8" s="4" t="s">
        <v>20</v>
      </c>
      <c r="D8" s="4" t="s">
        <v>8</v>
      </c>
      <c r="E8" s="4" t="s">
        <v>1934</v>
      </c>
      <c r="F8" s="4" t="s">
        <v>1951</v>
      </c>
      <c r="G8" s="4" t="s">
        <v>20</v>
      </c>
      <c r="H8" s="4" t="s">
        <v>20</v>
      </c>
      <c r="I8" s="4" t="s">
        <v>2004</v>
      </c>
      <c r="J8" s="40" t="s">
        <v>20</v>
      </c>
      <c r="K8" s="40" t="s">
        <v>7</v>
      </c>
      <c r="L8" s="40" t="s">
        <v>7</v>
      </c>
      <c r="M8" s="40" t="s">
        <v>7</v>
      </c>
      <c r="N8" s="40" t="s">
        <v>7</v>
      </c>
      <c r="O8" s="40" t="s">
        <v>7</v>
      </c>
      <c r="P8" s="40" t="s">
        <v>7</v>
      </c>
      <c r="Q8" s="40" t="s">
        <v>7</v>
      </c>
      <c r="R8" s="40" t="s">
        <v>7</v>
      </c>
      <c r="S8" s="40" t="s">
        <v>7</v>
      </c>
      <c r="T8" s="40" t="s">
        <v>20</v>
      </c>
      <c r="U8" s="40" t="s">
        <v>7</v>
      </c>
      <c r="V8" s="40" t="s">
        <v>7</v>
      </c>
      <c r="W8" s="40" t="s">
        <v>7</v>
      </c>
      <c r="X8" s="40" t="s">
        <v>7</v>
      </c>
      <c r="Y8" s="40" t="s">
        <v>7</v>
      </c>
      <c r="Z8" s="40" t="s">
        <v>7</v>
      </c>
      <c r="AA8" s="40" t="s">
        <v>7</v>
      </c>
      <c r="AB8" s="40" t="s">
        <v>7</v>
      </c>
      <c r="AC8" s="40" t="s">
        <v>7</v>
      </c>
      <c r="AD8" s="40" t="s">
        <v>20</v>
      </c>
      <c r="AE8" s="40" t="s">
        <v>7</v>
      </c>
      <c r="AF8" s="40" t="s">
        <v>7</v>
      </c>
      <c r="AG8" s="40" t="s">
        <v>7</v>
      </c>
      <c r="AH8" s="40" t="s">
        <v>7</v>
      </c>
      <c r="AI8" s="40" t="s">
        <v>7</v>
      </c>
      <c r="AJ8" s="40" t="s">
        <v>7</v>
      </c>
      <c r="AK8" s="40" t="s">
        <v>7</v>
      </c>
      <c r="AL8" s="40" t="s">
        <v>7</v>
      </c>
      <c r="AM8" s="40" t="s">
        <v>7</v>
      </c>
      <c r="AN8" s="40" t="s">
        <v>20</v>
      </c>
      <c r="AO8" s="40" t="s">
        <v>7</v>
      </c>
      <c r="AP8" s="40" t="s">
        <v>7</v>
      </c>
      <c r="AQ8" s="40" t="s">
        <v>7</v>
      </c>
      <c r="AR8" s="40" t="s">
        <v>7</v>
      </c>
      <c r="AS8" s="40" t="s">
        <v>7</v>
      </c>
      <c r="AT8" s="40" t="s">
        <v>7</v>
      </c>
      <c r="AU8" s="40" t="s">
        <v>7</v>
      </c>
      <c r="AV8" s="40" t="s">
        <v>7</v>
      </c>
      <c r="AW8" s="40" t="s">
        <v>7</v>
      </c>
      <c r="AX8" s="40" t="s">
        <v>20</v>
      </c>
      <c r="AY8" s="40" t="s">
        <v>7</v>
      </c>
      <c r="AZ8" s="40" t="s">
        <v>7</v>
      </c>
      <c r="BA8" s="40" t="s">
        <v>7</v>
      </c>
      <c r="BB8" s="40" t="s">
        <v>7</v>
      </c>
      <c r="BC8" s="40" t="s">
        <v>7</v>
      </c>
      <c r="BD8" s="40" t="s">
        <v>7</v>
      </c>
      <c r="BE8" s="40" t="s">
        <v>7</v>
      </c>
      <c r="BF8" s="40" t="s">
        <v>7</v>
      </c>
      <c r="BG8" s="40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1934</v>
      </c>
      <c r="CD8" s="4" t="s">
        <v>1932</v>
      </c>
      <c r="CE8" s="4" t="s">
        <v>20</v>
      </c>
      <c r="CF8" s="4" t="s">
        <v>7</v>
      </c>
      <c r="CG8" s="4" t="s">
        <v>7</v>
      </c>
      <c r="CH8" s="4" t="s">
        <v>1934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1934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1934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1934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1934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1934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1934</v>
      </c>
      <c r="DM8" s="4" t="s">
        <v>20</v>
      </c>
      <c r="DN8" s="4"/>
    </row>
    <row r="9" spans="1:118" ht="42" customHeight="1">
      <c r="A9" s="55" t="s">
        <v>10</v>
      </c>
      <c r="B9" s="37" t="s">
        <v>11</v>
      </c>
      <c r="C9" s="5" t="s">
        <v>47</v>
      </c>
      <c r="D9" s="5" t="s">
        <v>48</v>
      </c>
      <c r="E9" s="6" t="s">
        <v>1946</v>
      </c>
      <c r="F9" s="6" t="s">
        <v>1948</v>
      </c>
      <c r="G9" s="5" t="s">
        <v>224</v>
      </c>
      <c r="H9" s="5" t="s">
        <v>1273</v>
      </c>
      <c r="I9" s="5" t="s">
        <v>2005</v>
      </c>
      <c r="J9" s="41" t="s">
        <v>126</v>
      </c>
      <c r="K9" s="41" t="s">
        <v>1924</v>
      </c>
      <c r="L9" s="41" t="s">
        <v>1925</v>
      </c>
      <c r="M9" s="41" t="s">
        <v>1924</v>
      </c>
      <c r="N9" s="41" t="s">
        <v>1925</v>
      </c>
      <c r="O9" s="41" t="s">
        <v>1924</v>
      </c>
      <c r="P9" s="41" t="s">
        <v>1925</v>
      </c>
      <c r="Q9" s="41" t="s">
        <v>1924</v>
      </c>
      <c r="R9" s="41" t="s">
        <v>1925</v>
      </c>
      <c r="S9" s="41" t="s">
        <v>1924</v>
      </c>
      <c r="T9" s="41" t="s">
        <v>126</v>
      </c>
      <c r="U9" s="41" t="s">
        <v>1924</v>
      </c>
      <c r="V9" s="41" t="s">
        <v>1925</v>
      </c>
      <c r="W9" s="41" t="s">
        <v>1924</v>
      </c>
      <c r="X9" s="41" t="s">
        <v>1925</v>
      </c>
      <c r="Y9" s="41" t="s">
        <v>1924</v>
      </c>
      <c r="Z9" s="41" t="s">
        <v>1925</v>
      </c>
      <c r="AA9" s="41" t="s">
        <v>1924</v>
      </c>
      <c r="AB9" s="41" t="s">
        <v>1925</v>
      </c>
      <c r="AC9" s="41" t="s">
        <v>1924</v>
      </c>
      <c r="AD9" s="41" t="s">
        <v>126</v>
      </c>
      <c r="AE9" s="41" t="s">
        <v>1924</v>
      </c>
      <c r="AF9" s="41" t="s">
        <v>1925</v>
      </c>
      <c r="AG9" s="41" t="s">
        <v>1924</v>
      </c>
      <c r="AH9" s="41" t="s">
        <v>1925</v>
      </c>
      <c r="AI9" s="41" t="s">
        <v>1924</v>
      </c>
      <c r="AJ9" s="41" t="s">
        <v>1925</v>
      </c>
      <c r="AK9" s="41" t="s">
        <v>1924</v>
      </c>
      <c r="AL9" s="41" t="s">
        <v>1925</v>
      </c>
      <c r="AM9" s="41" t="s">
        <v>1924</v>
      </c>
      <c r="AN9" s="41" t="s">
        <v>126</v>
      </c>
      <c r="AO9" s="41" t="s">
        <v>98</v>
      </c>
      <c r="AP9" s="41" t="s">
        <v>126</v>
      </c>
      <c r="AQ9" s="41" t="s">
        <v>98</v>
      </c>
      <c r="AR9" s="41" t="s">
        <v>126</v>
      </c>
      <c r="AS9" s="41" t="s">
        <v>98</v>
      </c>
      <c r="AT9" s="41" t="s">
        <v>126</v>
      </c>
      <c r="AU9" s="41" t="s">
        <v>98</v>
      </c>
      <c r="AV9" s="41" t="s">
        <v>126</v>
      </c>
      <c r="AW9" s="41" t="s">
        <v>98</v>
      </c>
      <c r="AX9" s="41" t="s">
        <v>126</v>
      </c>
      <c r="AY9" s="41" t="s">
        <v>98</v>
      </c>
      <c r="AZ9" s="41" t="s">
        <v>126</v>
      </c>
      <c r="BA9" s="41" t="s">
        <v>98</v>
      </c>
      <c r="BB9" s="41" t="s">
        <v>126</v>
      </c>
      <c r="BC9" s="41" t="s">
        <v>98</v>
      </c>
      <c r="BD9" s="41" t="s">
        <v>126</v>
      </c>
      <c r="BE9" s="41" t="s">
        <v>98</v>
      </c>
      <c r="BF9" s="41" t="s">
        <v>126</v>
      </c>
      <c r="BG9" s="41" t="s">
        <v>98</v>
      </c>
      <c r="BH9" s="6" t="s">
        <v>182</v>
      </c>
      <c r="BI9" s="6" t="s">
        <v>183</v>
      </c>
      <c r="BJ9" s="6" t="s">
        <v>221</v>
      </c>
      <c r="BK9" s="6" t="s">
        <v>182</v>
      </c>
      <c r="BL9" s="6" t="s">
        <v>183</v>
      </c>
      <c r="BM9" s="6" t="s">
        <v>221</v>
      </c>
      <c r="BN9" s="6" t="s">
        <v>182</v>
      </c>
      <c r="BO9" s="6" t="s">
        <v>183</v>
      </c>
      <c r="BP9" s="6" t="s">
        <v>221</v>
      </c>
      <c r="BQ9" s="6" t="s">
        <v>182</v>
      </c>
      <c r="BR9" s="6" t="s">
        <v>183</v>
      </c>
      <c r="BS9" s="6" t="s">
        <v>221</v>
      </c>
      <c r="BT9" s="6" t="s">
        <v>182</v>
      </c>
      <c r="BU9" s="6" t="s">
        <v>183</v>
      </c>
      <c r="BV9" s="6" t="s">
        <v>221</v>
      </c>
      <c r="BW9" s="6" t="s">
        <v>1930</v>
      </c>
      <c r="BX9" s="6" t="s">
        <v>118</v>
      </c>
      <c r="BY9" s="5" t="s">
        <v>32</v>
      </c>
      <c r="BZ9" s="6" t="s">
        <v>1930</v>
      </c>
      <c r="CA9" s="6" t="s">
        <v>118</v>
      </c>
      <c r="CB9" s="5" t="s">
        <v>32</v>
      </c>
      <c r="CC9" s="5" t="s">
        <v>1933</v>
      </c>
      <c r="CD9" s="5" t="s">
        <v>1936</v>
      </c>
      <c r="CE9" s="6" t="s">
        <v>1930</v>
      </c>
      <c r="CF9" s="6" t="s">
        <v>118</v>
      </c>
      <c r="CG9" s="5" t="s">
        <v>32</v>
      </c>
      <c r="CH9" s="5" t="s">
        <v>1933</v>
      </c>
      <c r="CI9" s="5" t="s">
        <v>1936</v>
      </c>
      <c r="CJ9" s="6" t="s">
        <v>1930</v>
      </c>
      <c r="CK9" s="6" t="s">
        <v>118</v>
      </c>
      <c r="CL9" s="5" t="s">
        <v>32</v>
      </c>
      <c r="CM9" s="5" t="s">
        <v>1933</v>
      </c>
      <c r="CN9" s="5" t="s">
        <v>1936</v>
      </c>
      <c r="CO9" s="6" t="s">
        <v>1930</v>
      </c>
      <c r="CP9" s="6" t="s">
        <v>118</v>
      </c>
      <c r="CQ9" s="5" t="s">
        <v>32</v>
      </c>
      <c r="CR9" s="5" t="s">
        <v>1933</v>
      </c>
      <c r="CS9" s="5" t="s">
        <v>1936</v>
      </c>
      <c r="CT9" s="6" t="s">
        <v>1930</v>
      </c>
      <c r="CU9" s="6" t="s">
        <v>118</v>
      </c>
      <c r="CV9" s="5" t="s">
        <v>32</v>
      </c>
      <c r="CW9" s="5" t="s">
        <v>1933</v>
      </c>
      <c r="CX9" s="5" t="s">
        <v>1936</v>
      </c>
      <c r="CY9" s="6" t="s">
        <v>1930</v>
      </c>
      <c r="CZ9" s="6" t="s">
        <v>118</v>
      </c>
      <c r="DA9" s="5" t="s">
        <v>32</v>
      </c>
      <c r="DB9" s="5" t="s">
        <v>1933</v>
      </c>
      <c r="DC9" s="5" t="s">
        <v>1936</v>
      </c>
      <c r="DD9" s="6" t="s">
        <v>1930</v>
      </c>
      <c r="DE9" s="6" t="s">
        <v>118</v>
      </c>
      <c r="DF9" s="5" t="s">
        <v>32</v>
      </c>
      <c r="DG9" s="5" t="s">
        <v>1933</v>
      </c>
      <c r="DH9" s="5" t="s">
        <v>1936</v>
      </c>
      <c r="DI9" s="6" t="s">
        <v>1930</v>
      </c>
      <c r="DJ9" s="6" t="s">
        <v>118</v>
      </c>
      <c r="DK9" s="5" t="s">
        <v>32</v>
      </c>
      <c r="DL9" s="5" t="s">
        <v>1933</v>
      </c>
      <c r="DM9" s="5" t="s">
        <v>1936</v>
      </c>
      <c r="DN9" s="5"/>
    </row>
    <row r="10" spans="1:118" ht="57.75" customHeight="1">
      <c r="A10" s="55" t="s">
        <v>12</v>
      </c>
      <c r="B10" s="46"/>
      <c r="C10" s="18"/>
      <c r="D10" s="19"/>
      <c r="E10" s="19" t="s">
        <v>1949</v>
      </c>
      <c r="F10" s="19" t="s">
        <v>1949</v>
      </c>
      <c r="G10" s="19"/>
      <c r="H10" s="19"/>
      <c r="I10" s="19"/>
      <c r="J10" s="42" t="s">
        <v>1926</v>
      </c>
      <c r="K10" s="42"/>
      <c r="L10" s="42" t="s">
        <v>1926</v>
      </c>
      <c r="M10" s="42"/>
      <c r="N10" s="42" t="s">
        <v>1926</v>
      </c>
      <c r="O10" s="42"/>
      <c r="P10" s="42" t="s">
        <v>1926</v>
      </c>
      <c r="Q10" s="42"/>
      <c r="R10" s="42" t="s">
        <v>1926</v>
      </c>
      <c r="S10" s="42"/>
      <c r="T10" s="42" t="s">
        <v>1926</v>
      </c>
      <c r="U10" s="42"/>
      <c r="V10" s="42" t="s">
        <v>1926</v>
      </c>
      <c r="W10" s="42"/>
      <c r="X10" s="42" t="s">
        <v>1926</v>
      </c>
      <c r="Y10" s="42"/>
      <c r="Z10" s="42" t="s">
        <v>1926</v>
      </c>
      <c r="AA10" s="42"/>
      <c r="AB10" s="42" t="s">
        <v>1926</v>
      </c>
      <c r="AC10" s="42"/>
      <c r="AD10" s="42" t="s">
        <v>1926</v>
      </c>
      <c r="AE10" s="42"/>
      <c r="AF10" s="42" t="s">
        <v>1926</v>
      </c>
      <c r="AG10" s="42"/>
      <c r="AH10" s="42" t="s">
        <v>1926</v>
      </c>
      <c r="AI10" s="42"/>
      <c r="AJ10" s="42" t="s">
        <v>1926</v>
      </c>
      <c r="AK10" s="42"/>
      <c r="AL10" s="42" t="s">
        <v>1926</v>
      </c>
      <c r="AM10" s="42"/>
      <c r="AN10" s="42" t="s">
        <v>1926</v>
      </c>
      <c r="AO10" s="42"/>
      <c r="AP10" s="42" t="s">
        <v>1926</v>
      </c>
      <c r="AQ10" s="42"/>
      <c r="AR10" s="42" t="s">
        <v>1926</v>
      </c>
      <c r="AS10" s="42"/>
      <c r="AT10" s="42" t="s">
        <v>1926</v>
      </c>
      <c r="AU10" s="42"/>
      <c r="AV10" s="42" t="s">
        <v>1926</v>
      </c>
      <c r="AW10" s="42"/>
      <c r="AX10" s="42" t="s">
        <v>1926</v>
      </c>
      <c r="AY10" s="42"/>
      <c r="AZ10" s="42" t="s">
        <v>1926</v>
      </c>
      <c r="BA10" s="42"/>
      <c r="BB10" s="42" t="s">
        <v>1926</v>
      </c>
      <c r="BC10" s="42"/>
      <c r="BD10" s="42" t="s">
        <v>1926</v>
      </c>
      <c r="BE10" s="42"/>
      <c r="BF10" s="42" t="s">
        <v>1926</v>
      </c>
      <c r="BG10" s="42"/>
      <c r="BH10" s="19" t="s">
        <v>1788</v>
      </c>
      <c r="BI10" s="19"/>
      <c r="BJ10" s="19"/>
      <c r="BK10" s="19" t="s">
        <v>1788</v>
      </c>
      <c r="BL10" s="19"/>
      <c r="BM10" s="19"/>
      <c r="BN10" s="19" t="s">
        <v>1788</v>
      </c>
      <c r="BO10" s="18"/>
      <c r="BP10" s="19"/>
      <c r="BQ10" s="19" t="s">
        <v>1788</v>
      </c>
      <c r="BR10" s="19"/>
      <c r="BS10" s="19"/>
      <c r="BT10" s="19" t="s">
        <v>1788</v>
      </c>
      <c r="BU10" s="19"/>
      <c r="BV10" s="19"/>
      <c r="BW10" s="6" t="s">
        <v>123</v>
      </c>
      <c r="BX10" s="42"/>
      <c r="BY10" s="42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56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34"/>
      <c r="BL50" s="34"/>
      <c r="BM50" s="14"/>
      <c r="BN50" s="14">
        <v>1</v>
      </c>
      <c r="BO50" s="20">
        <v>100090003</v>
      </c>
      <c r="BP50" s="14"/>
      <c r="BQ50" s="34"/>
      <c r="BR50" s="34"/>
      <c r="BS50" s="14"/>
      <c r="BT50" s="34"/>
      <c r="BU50" s="34"/>
      <c r="BV50" s="34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34"/>
      <c r="CE50" s="20">
        <v>3</v>
      </c>
      <c r="CF50" s="14">
        <v>24</v>
      </c>
      <c r="CG50" s="14">
        <f t="shared" si="1"/>
        <v>185</v>
      </c>
      <c r="CH50" s="14">
        <v>100</v>
      </c>
      <c r="CI50" s="34"/>
      <c r="CJ50" s="34"/>
      <c r="CK50" s="34"/>
      <c r="CL50" s="34"/>
      <c r="CM50" s="52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34"/>
      <c r="BL51" s="34"/>
      <c r="BM51" s="14"/>
      <c r="BN51" s="14">
        <v>1</v>
      </c>
      <c r="BO51" s="20">
        <v>100090004</v>
      </c>
      <c r="BP51" s="14"/>
      <c r="BQ51" s="34"/>
      <c r="BR51" s="34"/>
      <c r="BS51" s="14"/>
      <c r="BT51" s="34"/>
      <c r="BU51" s="34"/>
      <c r="BV51" s="34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34"/>
      <c r="CE51" s="20">
        <v>3</v>
      </c>
      <c r="CF51" s="14">
        <v>24</v>
      </c>
      <c r="CG51" s="14">
        <f t="shared" si="1"/>
        <v>189</v>
      </c>
      <c r="CH51" s="14">
        <v>100</v>
      </c>
      <c r="CI51" s="34"/>
      <c r="CJ51" s="34"/>
      <c r="CK51" s="34"/>
      <c r="CL51" s="34"/>
      <c r="CM51" s="52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34"/>
      <c r="BL52" s="34"/>
      <c r="BM52" s="14"/>
      <c r="BN52" s="14">
        <v>1</v>
      </c>
      <c r="BO52" s="20">
        <v>100090005</v>
      </c>
      <c r="BP52" s="14"/>
      <c r="BQ52" s="34"/>
      <c r="BR52" s="34"/>
      <c r="BS52" s="14"/>
      <c r="BT52" s="34"/>
      <c r="BU52" s="34"/>
      <c r="BV52" s="34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34"/>
      <c r="CE52" s="20">
        <v>3</v>
      </c>
      <c r="CF52" s="14">
        <v>24</v>
      </c>
      <c r="CG52" s="14">
        <f t="shared" si="1"/>
        <v>202</v>
      </c>
      <c r="CH52" s="14">
        <v>100</v>
      </c>
      <c r="CI52" s="34"/>
      <c r="CJ52" s="34"/>
      <c r="CK52" s="34"/>
      <c r="CL52" s="34"/>
      <c r="CM52" s="52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34"/>
      <c r="BL53" s="34"/>
      <c r="BM53" s="14"/>
      <c r="BN53" s="14">
        <v>1</v>
      </c>
      <c r="BO53" s="20">
        <v>100100001</v>
      </c>
      <c r="BP53" s="14"/>
      <c r="BQ53" s="34"/>
      <c r="BR53" s="34"/>
      <c r="BS53" s="14"/>
      <c r="BT53" s="34"/>
      <c r="BU53" s="34"/>
      <c r="BV53" s="34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34"/>
      <c r="CE53" s="20">
        <v>3</v>
      </c>
      <c r="CF53" s="14">
        <v>24</v>
      </c>
      <c r="CG53" s="14">
        <f t="shared" si="1"/>
        <v>207</v>
      </c>
      <c r="CH53" s="14">
        <v>100</v>
      </c>
      <c r="CI53" s="34"/>
      <c r="CJ53" s="34"/>
      <c r="CK53" s="34"/>
      <c r="CL53" s="34"/>
      <c r="CM53" s="52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34"/>
      <c r="BL54" s="34"/>
      <c r="BM54" s="14"/>
      <c r="BN54" s="14">
        <v>1</v>
      </c>
      <c r="BO54" s="20">
        <v>100100002</v>
      </c>
      <c r="BP54" s="14"/>
      <c r="BQ54" s="34"/>
      <c r="BR54" s="34"/>
      <c r="BS54" s="14"/>
      <c r="BT54" s="34"/>
      <c r="BU54" s="34"/>
      <c r="BV54" s="34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34"/>
      <c r="CE54" s="20">
        <v>3</v>
      </c>
      <c r="CF54" s="14">
        <v>24</v>
      </c>
      <c r="CG54" s="14">
        <f t="shared" si="1"/>
        <v>211</v>
      </c>
      <c r="CH54" s="14">
        <v>100</v>
      </c>
      <c r="CI54" s="34"/>
      <c r="CJ54" s="34"/>
      <c r="CK54" s="34"/>
      <c r="CL54" s="34"/>
      <c r="CM54" s="52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34"/>
      <c r="BL55" s="34"/>
      <c r="BM55" s="14"/>
      <c r="BN55" s="14">
        <v>1</v>
      </c>
      <c r="BO55" s="20">
        <v>100100003</v>
      </c>
      <c r="BP55" s="14"/>
      <c r="BQ55" s="34"/>
      <c r="BR55" s="34"/>
      <c r="BS55" s="14"/>
      <c r="BT55" s="34"/>
      <c r="BU55" s="34"/>
      <c r="BV55" s="34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34"/>
      <c r="CE55" s="20">
        <v>3</v>
      </c>
      <c r="CF55" s="14">
        <v>24</v>
      </c>
      <c r="CG55" s="14">
        <f t="shared" si="1"/>
        <v>225</v>
      </c>
      <c r="CH55" s="14">
        <v>100</v>
      </c>
      <c r="CI55" s="34"/>
      <c r="CJ55" s="34"/>
      <c r="CK55" s="34"/>
      <c r="CL55" s="34"/>
      <c r="CM55" s="52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34"/>
      <c r="BL56" s="34"/>
      <c r="BM56" s="14"/>
      <c r="BN56" s="14">
        <v>1</v>
      </c>
      <c r="BO56" s="20">
        <v>100100004</v>
      </c>
      <c r="BP56" s="14"/>
      <c r="BQ56" s="34"/>
      <c r="BR56" s="34"/>
      <c r="BS56" s="14"/>
      <c r="BT56" s="34"/>
      <c r="BU56" s="34"/>
      <c r="BV56" s="34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34"/>
      <c r="CE56" s="20">
        <v>3</v>
      </c>
      <c r="CF56" s="14">
        <v>24</v>
      </c>
      <c r="CG56" s="14">
        <f t="shared" si="1"/>
        <v>230</v>
      </c>
      <c r="CH56" s="14">
        <v>100</v>
      </c>
      <c r="CI56" s="34"/>
      <c r="CJ56" s="34"/>
      <c r="CK56" s="34"/>
      <c r="CL56" s="34"/>
      <c r="CM56" s="52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</row>
    <row r="57" spans="1:118" ht="18.75" customHeight="1">
      <c r="B57" s="20">
        <v>200010001</v>
      </c>
      <c r="C57" s="14">
        <v>20001</v>
      </c>
      <c r="D57" s="14" t="s">
        <v>1961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34"/>
      <c r="BM57" s="23"/>
      <c r="BN57" s="14"/>
      <c r="BO57" s="14"/>
      <c r="BP57" s="14"/>
      <c r="BQ57" s="34"/>
      <c r="BR57" s="34"/>
      <c r="BS57" s="14"/>
      <c r="BT57" s="34"/>
      <c r="BU57" s="34"/>
      <c r="BV57" s="34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34"/>
      <c r="CE57" s="20">
        <v>3</v>
      </c>
      <c r="CF57" s="14">
        <v>24</v>
      </c>
      <c r="CG57" s="14">
        <f t="shared" si="1"/>
        <v>43</v>
      </c>
      <c r="CH57" s="14">
        <v>100</v>
      </c>
      <c r="CI57" s="34"/>
      <c r="CJ57" s="34">
        <v>2</v>
      </c>
      <c r="CK57" s="34">
        <v>31</v>
      </c>
      <c r="CL57" s="34">
        <v>1</v>
      </c>
      <c r="CM57" s="52">
        <v>5</v>
      </c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</row>
    <row r="58" spans="1:118" ht="18.75" customHeight="1">
      <c r="B58" s="20">
        <v>200010002</v>
      </c>
      <c r="C58" s="14">
        <v>20001</v>
      </c>
      <c r="D58" s="14" t="s">
        <v>1962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34"/>
      <c r="BM58" s="23"/>
      <c r="BN58" s="14">
        <v>1</v>
      </c>
      <c r="BO58" s="14">
        <v>200010001</v>
      </c>
      <c r="BP58" s="14"/>
      <c r="BQ58" s="34"/>
      <c r="BR58" s="34"/>
      <c r="BS58" s="14"/>
      <c r="BT58" s="34"/>
      <c r="BU58" s="34"/>
      <c r="BV58" s="34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34"/>
      <c r="CE58" s="20">
        <v>3</v>
      </c>
      <c r="CF58" s="14">
        <v>24</v>
      </c>
      <c r="CG58" s="14">
        <f t="shared" si="1"/>
        <v>90</v>
      </c>
      <c r="CH58" s="14">
        <v>100</v>
      </c>
      <c r="CI58" s="34"/>
      <c r="CJ58" s="34">
        <v>2</v>
      </c>
      <c r="CK58" s="34">
        <v>31</v>
      </c>
      <c r="CL58" s="34">
        <v>1</v>
      </c>
      <c r="CM58" s="52">
        <v>15</v>
      </c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</row>
    <row r="59" spans="1:118" ht="18.75" customHeight="1">
      <c r="B59" s="20">
        <v>200010003</v>
      </c>
      <c r="C59" s="14">
        <v>20001</v>
      </c>
      <c r="D59" s="14" t="s">
        <v>1963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34"/>
      <c r="BM59" s="23"/>
      <c r="BN59" s="14">
        <v>1</v>
      </c>
      <c r="BO59" s="14">
        <v>200010002</v>
      </c>
      <c r="BP59" s="14"/>
      <c r="BQ59" s="34"/>
      <c r="BR59" s="34"/>
      <c r="BS59" s="14"/>
      <c r="BT59" s="34"/>
      <c r="BU59" s="34"/>
      <c r="BV59" s="34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34"/>
      <c r="CE59" s="20">
        <v>3</v>
      </c>
      <c r="CF59" s="14">
        <v>24</v>
      </c>
      <c r="CG59" s="14">
        <f t="shared" si="1"/>
        <v>141</v>
      </c>
      <c r="CH59" s="14">
        <v>100</v>
      </c>
      <c r="CI59" s="34"/>
      <c r="CJ59" s="34">
        <v>2</v>
      </c>
      <c r="CK59" s="34">
        <v>31</v>
      </c>
      <c r="CL59" s="34">
        <v>1</v>
      </c>
      <c r="CM59" s="52">
        <v>100</v>
      </c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</row>
    <row r="60" spans="1:118" ht="18.75" customHeight="1">
      <c r="B60" s="20">
        <v>200020001</v>
      </c>
      <c r="C60" s="14">
        <v>20002</v>
      </c>
      <c r="D60" s="14" t="s">
        <v>1964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34"/>
      <c r="BM60" s="23"/>
      <c r="BN60" s="14"/>
      <c r="BO60" s="14"/>
      <c r="BP60" s="14"/>
      <c r="BQ60" s="34"/>
      <c r="BR60" s="34"/>
      <c r="BS60" s="14"/>
      <c r="BT60" s="34"/>
      <c r="BU60" s="34"/>
      <c r="BV60" s="34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34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34"/>
      <c r="CJ60" s="34">
        <v>2</v>
      </c>
      <c r="CK60" s="34">
        <v>32</v>
      </c>
      <c r="CL60" s="34">
        <v>1</v>
      </c>
      <c r="CM60" s="52">
        <v>5</v>
      </c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</row>
    <row r="61" spans="1:118" ht="18.75" customHeight="1">
      <c r="B61" s="20">
        <v>200020002</v>
      </c>
      <c r="C61" s="14">
        <v>20002</v>
      </c>
      <c r="D61" s="14" t="s">
        <v>1965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34"/>
      <c r="BM61" s="23"/>
      <c r="BN61" s="14">
        <v>1</v>
      </c>
      <c r="BO61" s="14">
        <v>200010001</v>
      </c>
      <c r="BP61" s="14"/>
      <c r="BQ61" s="34"/>
      <c r="BR61" s="34"/>
      <c r="BS61" s="14"/>
      <c r="BT61" s="34"/>
      <c r="BU61" s="34"/>
      <c r="BV61" s="34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34"/>
      <c r="CE61" s="20">
        <v>3</v>
      </c>
      <c r="CF61" s="14">
        <v>24</v>
      </c>
      <c r="CG61" s="14">
        <f t="shared" si="3"/>
        <v>90</v>
      </c>
      <c r="CH61" s="14">
        <v>100</v>
      </c>
      <c r="CI61" s="34"/>
      <c r="CJ61" s="34">
        <v>2</v>
      </c>
      <c r="CK61" s="34">
        <v>32</v>
      </c>
      <c r="CL61" s="34">
        <v>1</v>
      </c>
      <c r="CM61" s="52">
        <v>15</v>
      </c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</row>
    <row r="62" spans="1:118" ht="18.75" customHeight="1">
      <c r="B62" s="20">
        <v>200020003</v>
      </c>
      <c r="C62" s="14">
        <v>20002</v>
      </c>
      <c r="D62" s="14" t="s">
        <v>1966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34"/>
      <c r="BM62" s="23"/>
      <c r="BN62" s="14">
        <v>1</v>
      </c>
      <c r="BO62" s="14">
        <v>200010002</v>
      </c>
      <c r="BP62" s="14"/>
      <c r="BQ62" s="34"/>
      <c r="BR62" s="34"/>
      <c r="BS62" s="14"/>
      <c r="BT62" s="34"/>
      <c r="BU62" s="34"/>
      <c r="BV62" s="34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34"/>
      <c r="CE62" s="20">
        <v>3</v>
      </c>
      <c r="CF62" s="14">
        <v>24</v>
      </c>
      <c r="CG62" s="14">
        <f t="shared" si="3"/>
        <v>141</v>
      </c>
      <c r="CH62" s="14">
        <v>100</v>
      </c>
      <c r="CI62" s="34"/>
      <c r="CJ62" s="34">
        <v>2</v>
      </c>
      <c r="CK62" s="34">
        <v>32</v>
      </c>
      <c r="CL62" s="34">
        <v>1</v>
      </c>
      <c r="CM62" s="52">
        <v>100</v>
      </c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</row>
    <row r="63" spans="1:118" ht="18.75" customHeight="1">
      <c r="B63" s="20">
        <v>200030001</v>
      </c>
      <c r="C63" s="14">
        <v>20003</v>
      </c>
      <c r="D63" s="14" t="s">
        <v>1967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34"/>
      <c r="BM63" s="23"/>
      <c r="BN63" s="14"/>
      <c r="BO63" s="14"/>
      <c r="BP63" s="14"/>
      <c r="BQ63" s="34"/>
      <c r="BR63" s="34"/>
      <c r="BS63" s="14"/>
      <c r="BT63" s="34"/>
      <c r="BU63" s="34"/>
      <c r="BV63" s="34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34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34"/>
      <c r="CJ63" s="34">
        <v>2</v>
      </c>
      <c r="CK63" s="34">
        <v>33</v>
      </c>
      <c r="CL63" s="34">
        <v>1</v>
      </c>
      <c r="CM63" s="52">
        <v>5</v>
      </c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</row>
    <row r="64" spans="1:118" ht="18.75" customHeight="1">
      <c r="B64" s="20">
        <v>200030002</v>
      </c>
      <c r="C64" s="14">
        <v>20003</v>
      </c>
      <c r="D64" s="14" t="s">
        <v>1968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34"/>
      <c r="BM64" s="23"/>
      <c r="BN64" s="14">
        <v>1</v>
      </c>
      <c r="BO64" s="14">
        <v>200010001</v>
      </c>
      <c r="BP64" s="14"/>
      <c r="BQ64" s="34"/>
      <c r="BR64" s="34"/>
      <c r="BS64" s="14"/>
      <c r="BT64" s="34"/>
      <c r="BU64" s="34"/>
      <c r="BV64" s="34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34"/>
      <c r="CE64" s="20">
        <v>3</v>
      </c>
      <c r="CF64" s="14">
        <v>24</v>
      </c>
      <c r="CG64" s="14">
        <f t="shared" si="5"/>
        <v>90</v>
      </c>
      <c r="CH64" s="14">
        <v>100</v>
      </c>
      <c r="CI64" s="34"/>
      <c r="CJ64" s="34">
        <v>2</v>
      </c>
      <c r="CK64" s="34">
        <v>33</v>
      </c>
      <c r="CL64" s="34">
        <v>1</v>
      </c>
      <c r="CM64" s="52">
        <v>15</v>
      </c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</row>
    <row r="65" spans="2:118" ht="18.75" customHeight="1">
      <c r="B65" s="20">
        <v>200030003</v>
      </c>
      <c r="C65" s="14">
        <v>20003</v>
      </c>
      <c r="D65" s="14" t="s">
        <v>1969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34"/>
      <c r="BM65" s="23"/>
      <c r="BN65" s="14">
        <v>1</v>
      </c>
      <c r="BO65" s="14">
        <v>200010002</v>
      </c>
      <c r="BP65" s="14"/>
      <c r="BQ65" s="34"/>
      <c r="BR65" s="34"/>
      <c r="BS65" s="14"/>
      <c r="BT65" s="34"/>
      <c r="BU65" s="34"/>
      <c r="BV65" s="34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34"/>
      <c r="CE65" s="20">
        <v>3</v>
      </c>
      <c r="CF65" s="14">
        <v>24</v>
      </c>
      <c r="CG65" s="14">
        <f t="shared" si="5"/>
        <v>141</v>
      </c>
      <c r="CH65" s="14">
        <v>100</v>
      </c>
      <c r="CI65" s="34"/>
      <c r="CJ65" s="34">
        <v>2</v>
      </c>
      <c r="CK65" s="34">
        <v>33</v>
      </c>
      <c r="CL65" s="34">
        <v>1</v>
      </c>
      <c r="CM65" s="52">
        <v>100</v>
      </c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</row>
    <row r="66" spans="2:118" ht="18.75" customHeight="1">
      <c r="B66" s="20">
        <v>200040001</v>
      </c>
      <c r="C66" s="14">
        <v>20004</v>
      </c>
      <c r="D66" s="14" t="s">
        <v>1970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34"/>
      <c r="BM66" s="23"/>
      <c r="BN66" s="14"/>
      <c r="BO66" s="14"/>
      <c r="BP66" s="14"/>
      <c r="BQ66" s="34"/>
      <c r="BR66" s="34"/>
      <c r="BS66" s="14"/>
      <c r="BT66" s="34"/>
      <c r="BU66" s="34"/>
      <c r="BV66" s="34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34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34"/>
      <c r="CJ66" s="34">
        <v>2</v>
      </c>
      <c r="CK66" s="34">
        <v>34</v>
      </c>
      <c r="CL66" s="34">
        <v>1</v>
      </c>
      <c r="CM66" s="52">
        <v>5</v>
      </c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</row>
    <row r="67" spans="2:118" ht="18.75" customHeight="1">
      <c r="B67" s="20">
        <v>200040002</v>
      </c>
      <c r="C67" s="14">
        <v>20004</v>
      </c>
      <c r="D67" s="14" t="s">
        <v>1971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34"/>
      <c r="BM67" s="23"/>
      <c r="BN67" s="14">
        <v>1</v>
      </c>
      <c r="BO67" s="14">
        <v>200010001</v>
      </c>
      <c r="BP67" s="14"/>
      <c r="BQ67" s="34"/>
      <c r="BR67" s="34"/>
      <c r="BS67" s="14"/>
      <c r="BT67" s="34"/>
      <c r="BU67" s="34"/>
      <c r="BV67" s="34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34"/>
      <c r="CE67" s="20">
        <v>3</v>
      </c>
      <c r="CF67" s="14">
        <v>24</v>
      </c>
      <c r="CG67" s="14">
        <f t="shared" si="7"/>
        <v>90</v>
      </c>
      <c r="CH67" s="14">
        <v>100</v>
      </c>
      <c r="CI67" s="34"/>
      <c r="CJ67" s="34">
        <v>2</v>
      </c>
      <c r="CK67" s="34">
        <v>34</v>
      </c>
      <c r="CL67" s="34">
        <v>1</v>
      </c>
      <c r="CM67" s="52">
        <v>15</v>
      </c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</row>
    <row r="68" spans="2:118" ht="18.75" customHeight="1">
      <c r="B68" s="20">
        <v>200040003</v>
      </c>
      <c r="C68" s="14">
        <v>20004</v>
      </c>
      <c r="D68" s="14" t="s">
        <v>1972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34"/>
      <c r="BM68" s="23"/>
      <c r="BN68" s="14">
        <v>1</v>
      </c>
      <c r="BO68" s="14">
        <v>200010002</v>
      </c>
      <c r="BP68" s="14"/>
      <c r="BQ68" s="34"/>
      <c r="BR68" s="34"/>
      <c r="BS68" s="14"/>
      <c r="BT68" s="34"/>
      <c r="BU68" s="34"/>
      <c r="BV68" s="34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34"/>
      <c r="CE68" s="20">
        <v>3</v>
      </c>
      <c r="CF68" s="14">
        <v>24</v>
      </c>
      <c r="CG68" s="14">
        <f t="shared" si="7"/>
        <v>141</v>
      </c>
      <c r="CH68" s="14">
        <v>100</v>
      </c>
      <c r="CI68" s="34"/>
      <c r="CJ68" s="34">
        <v>2</v>
      </c>
      <c r="CK68" s="34">
        <v>34</v>
      </c>
      <c r="CL68" s="34">
        <v>1</v>
      </c>
      <c r="CM68" s="52">
        <v>100</v>
      </c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</row>
    <row r="69" spans="2:118" ht="18.75" customHeight="1">
      <c r="B69" s="20">
        <v>200050001</v>
      </c>
      <c r="C69" s="14">
        <v>20005</v>
      </c>
      <c r="D69" s="14" t="s">
        <v>1973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34"/>
      <c r="BM69" s="23"/>
      <c r="BN69" s="14"/>
      <c r="BO69" s="14"/>
      <c r="BP69" s="14"/>
      <c r="BQ69" s="34"/>
      <c r="BR69" s="34"/>
      <c r="BS69" s="14"/>
      <c r="BT69" s="34"/>
      <c r="BU69" s="34"/>
      <c r="BV69" s="34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34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34"/>
      <c r="CJ69" s="34">
        <v>2</v>
      </c>
      <c r="CK69" s="34">
        <v>35</v>
      </c>
      <c r="CL69" s="34">
        <v>1</v>
      </c>
      <c r="CM69" s="52">
        <v>5</v>
      </c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</row>
    <row r="70" spans="2:118" ht="18.75" customHeight="1">
      <c r="B70" s="20">
        <v>200050002</v>
      </c>
      <c r="C70" s="14">
        <v>20005</v>
      </c>
      <c r="D70" s="14" t="s">
        <v>1974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34"/>
      <c r="BM70" s="23"/>
      <c r="BN70" s="14">
        <v>1</v>
      </c>
      <c r="BO70" s="14">
        <v>200010001</v>
      </c>
      <c r="BP70" s="14"/>
      <c r="BQ70" s="34"/>
      <c r="BR70" s="34"/>
      <c r="BS70" s="14"/>
      <c r="BT70" s="34"/>
      <c r="BU70" s="34"/>
      <c r="BV70" s="34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34"/>
      <c r="CE70" s="20">
        <v>3</v>
      </c>
      <c r="CF70" s="14">
        <v>24</v>
      </c>
      <c r="CG70" s="14">
        <f t="shared" si="9"/>
        <v>90</v>
      </c>
      <c r="CH70" s="14">
        <v>100</v>
      </c>
      <c r="CI70" s="34"/>
      <c r="CJ70" s="34">
        <v>2</v>
      </c>
      <c r="CK70" s="34">
        <v>35</v>
      </c>
      <c r="CL70" s="34">
        <v>1</v>
      </c>
      <c r="CM70" s="52">
        <v>15</v>
      </c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</row>
    <row r="71" spans="2:118" ht="18.75" customHeight="1">
      <c r="B71" s="20">
        <v>200050003</v>
      </c>
      <c r="C71" s="14">
        <v>20005</v>
      </c>
      <c r="D71" s="14" t="s">
        <v>1975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34"/>
      <c r="BM71" s="23"/>
      <c r="BN71" s="14">
        <v>1</v>
      </c>
      <c r="BO71" s="14">
        <v>200010002</v>
      </c>
      <c r="BP71" s="14"/>
      <c r="BQ71" s="34"/>
      <c r="BR71" s="34"/>
      <c r="BS71" s="14"/>
      <c r="BT71" s="34"/>
      <c r="BU71" s="34"/>
      <c r="BV71" s="34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34"/>
      <c r="CE71" s="20">
        <v>3</v>
      </c>
      <c r="CF71" s="14">
        <v>24</v>
      </c>
      <c r="CG71" s="14">
        <f t="shared" si="9"/>
        <v>141</v>
      </c>
      <c r="CH71" s="14">
        <v>100</v>
      </c>
      <c r="CI71" s="34"/>
      <c r="CJ71" s="34">
        <v>2</v>
      </c>
      <c r="CK71" s="34">
        <v>35</v>
      </c>
      <c r="CL71" s="34">
        <v>1</v>
      </c>
      <c r="CM71" s="52">
        <v>100</v>
      </c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</row>
    <row r="72" spans="2:118" ht="18.75" customHeight="1">
      <c r="B72" s="43">
        <v>300010001</v>
      </c>
      <c r="C72" s="34">
        <v>30001</v>
      </c>
      <c r="D72" s="34" t="s">
        <v>1772</v>
      </c>
      <c r="E72" s="14">
        <v>8.6</v>
      </c>
      <c r="F72" s="14">
        <v>4.3</v>
      </c>
      <c r="G72" s="14">
        <v>10</v>
      </c>
      <c r="H72" s="34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34"/>
      <c r="CE72" s="20">
        <v>3</v>
      </c>
      <c r="CF72" s="14">
        <v>24</v>
      </c>
      <c r="CG72" s="14">
        <f t="shared" si="1"/>
        <v>43</v>
      </c>
      <c r="CH72" s="14">
        <v>100</v>
      </c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</row>
    <row r="73" spans="2:118" ht="18.75" customHeight="1">
      <c r="B73" s="43">
        <v>300010002</v>
      </c>
      <c r="C73" s="34">
        <v>30001</v>
      </c>
      <c r="D73" s="34" t="s">
        <v>1783</v>
      </c>
      <c r="E73" s="14">
        <v>12.4</v>
      </c>
      <c r="F73" s="14">
        <v>4.5</v>
      </c>
      <c r="G73" s="14">
        <v>20</v>
      </c>
      <c r="H73" s="34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34"/>
      <c r="BI73" s="34"/>
      <c r="BJ73" s="34"/>
      <c r="BK73" s="34"/>
      <c r="BL73" s="34"/>
      <c r="BM73" s="34"/>
      <c r="BN73" s="34">
        <v>1</v>
      </c>
      <c r="BO73" s="34">
        <v>300010001</v>
      </c>
      <c r="BP73" s="34"/>
      <c r="BQ73" s="34"/>
      <c r="BR73" s="34"/>
      <c r="BS73" s="34"/>
      <c r="BT73" s="34"/>
      <c r="BU73" s="34"/>
      <c r="BV73" s="34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34"/>
      <c r="CE73" s="20">
        <v>3</v>
      </c>
      <c r="CF73" s="14">
        <v>24</v>
      </c>
      <c r="CG73" s="14">
        <f t="shared" si="1"/>
        <v>90</v>
      </c>
      <c r="CH73" s="14">
        <v>100</v>
      </c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</row>
    <row r="74" spans="2:118" ht="18.75" customHeight="1">
      <c r="B74" s="43">
        <v>300010003</v>
      </c>
      <c r="C74" s="34">
        <v>30001</v>
      </c>
      <c r="D74" s="34" t="s">
        <v>1784</v>
      </c>
      <c r="E74" s="14">
        <v>20.100000000000001</v>
      </c>
      <c r="F74" s="14">
        <v>4.7</v>
      </c>
      <c r="G74" s="14">
        <v>30</v>
      </c>
      <c r="H74" s="34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34"/>
      <c r="BI74" s="34"/>
      <c r="BJ74" s="34"/>
      <c r="BK74" s="34"/>
      <c r="BL74" s="34"/>
      <c r="BM74" s="34"/>
      <c r="BN74" s="34">
        <v>1</v>
      </c>
      <c r="BO74" s="34">
        <v>300010002</v>
      </c>
      <c r="BP74" s="34"/>
      <c r="BQ74" s="34"/>
      <c r="BR74" s="34"/>
      <c r="BS74" s="34"/>
      <c r="BT74" s="34"/>
      <c r="BU74" s="34"/>
      <c r="BV74" s="34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34"/>
      <c r="CE74" s="20">
        <v>3</v>
      </c>
      <c r="CF74" s="14">
        <v>24</v>
      </c>
      <c r="CG74" s="14">
        <f t="shared" si="1"/>
        <v>141</v>
      </c>
      <c r="CH74" s="14">
        <v>100</v>
      </c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</row>
    <row r="75" spans="2:118" ht="18.75" customHeight="1">
      <c r="B75" s="43">
        <v>300020001</v>
      </c>
      <c r="C75" s="34">
        <v>30002</v>
      </c>
      <c r="D75" s="34" t="s">
        <v>1785</v>
      </c>
      <c r="E75" s="14">
        <v>4.3</v>
      </c>
      <c r="F75" s="14">
        <v>8.6</v>
      </c>
      <c r="G75" s="14">
        <v>10</v>
      </c>
      <c r="H75" s="34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34"/>
      <c r="CE75" s="20">
        <v>3</v>
      </c>
      <c r="CF75" s="14">
        <v>24</v>
      </c>
      <c r="CG75" s="14">
        <f t="shared" si="1"/>
        <v>86</v>
      </c>
      <c r="CH75" s="14">
        <v>100</v>
      </c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</row>
    <row r="76" spans="2:118" ht="18.75" customHeight="1">
      <c r="B76" s="43">
        <v>300020002</v>
      </c>
      <c r="C76" s="34">
        <v>30002</v>
      </c>
      <c r="D76" s="34" t="s">
        <v>1786</v>
      </c>
      <c r="E76" s="14">
        <v>4.5</v>
      </c>
      <c r="F76" s="14">
        <v>12.4</v>
      </c>
      <c r="G76" s="14">
        <v>20</v>
      </c>
      <c r="H76" s="34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34"/>
      <c r="BI76" s="34"/>
      <c r="BJ76" s="34"/>
      <c r="BK76" s="34"/>
      <c r="BL76" s="34"/>
      <c r="BM76" s="34"/>
      <c r="BN76" s="34">
        <v>1</v>
      </c>
      <c r="BO76" s="34">
        <v>300020001</v>
      </c>
      <c r="BP76" s="34"/>
      <c r="BQ76" s="34"/>
      <c r="BR76" s="34"/>
      <c r="BS76" s="34"/>
      <c r="BT76" s="34"/>
      <c r="BU76" s="34"/>
      <c r="BV76" s="34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34"/>
      <c r="CE76" s="20">
        <v>3</v>
      </c>
      <c r="CF76" s="14">
        <v>24</v>
      </c>
      <c r="CG76" s="14">
        <f t="shared" si="1"/>
        <v>248</v>
      </c>
      <c r="CH76" s="14">
        <v>100</v>
      </c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</row>
    <row r="77" spans="2:118" ht="18.75" customHeight="1">
      <c r="B77" s="43">
        <v>300020003</v>
      </c>
      <c r="C77" s="34">
        <v>30002</v>
      </c>
      <c r="D77" s="34" t="s">
        <v>1787</v>
      </c>
      <c r="E77" s="14">
        <v>4.7</v>
      </c>
      <c r="F77" s="14">
        <v>20.100000000000001</v>
      </c>
      <c r="G77" s="14">
        <v>30</v>
      </c>
      <c r="H77" s="34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34"/>
      <c r="BI77" s="34"/>
      <c r="BJ77" s="34"/>
      <c r="BK77" s="34"/>
      <c r="BL77" s="34"/>
      <c r="BM77" s="34"/>
      <c r="BN77" s="34">
        <v>1</v>
      </c>
      <c r="BO77" s="34">
        <v>300020002</v>
      </c>
      <c r="BP77" s="34"/>
      <c r="BQ77" s="34"/>
      <c r="BR77" s="34"/>
      <c r="BS77" s="34"/>
      <c r="BT77" s="34"/>
      <c r="BU77" s="34"/>
      <c r="BV77" s="34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34"/>
      <c r="CE77" s="20">
        <v>3</v>
      </c>
      <c r="CF77" s="14">
        <v>24</v>
      </c>
      <c r="CG77" s="14">
        <f t="shared" si="1"/>
        <v>603</v>
      </c>
      <c r="CH77" s="14">
        <v>100</v>
      </c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</row>
    <row r="78" spans="2:118" ht="18.75" customHeight="1">
      <c r="B78" s="43">
        <v>300030001</v>
      </c>
      <c r="C78" s="34">
        <v>30003</v>
      </c>
      <c r="D78" s="34" t="s">
        <v>1854</v>
      </c>
      <c r="E78" s="14">
        <v>4.3</v>
      </c>
      <c r="F78" s="14">
        <v>4.3</v>
      </c>
      <c r="G78" s="14">
        <v>10</v>
      </c>
      <c r="H78" s="34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34"/>
      <c r="BI78" s="34"/>
      <c r="BJ78" s="34"/>
      <c r="BK78" s="34"/>
      <c r="BL78" s="34"/>
      <c r="BM78" s="34"/>
      <c r="BN78" s="34">
        <v>14</v>
      </c>
      <c r="BO78" s="34"/>
      <c r="BP78" s="34" t="s">
        <v>1789</v>
      </c>
      <c r="BQ78" s="34"/>
      <c r="BR78" s="34"/>
      <c r="BS78" s="34"/>
      <c r="BT78" s="34"/>
      <c r="BU78" s="34"/>
      <c r="BV78" s="34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34"/>
      <c r="CE78" s="20">
        <v>3</v>
      </c>
      <c r="CF78" s="14">
        <v>24</v>
      </c>
      <c r="CG78" s="14">
        <f t="shared" si="1"/>
        <v>43</v>
      </c>
      <c r="CH78" s="14">
        <v>100</v>
      </c>
      <c r="CI78" s="34"/>
      <c r="CJ78" s="34">
        <v>3</v>
      </c>
      <c r="CK78" s="34">
        <v>1</v>
      </c>
      <c r="CL78" s="34">
        <v>5</v>
      </c>
      <c r="CM78" s="34">
        <v>100</v>
      </c>
      <c r="CN78" s="34"/>
      <c r="CO78" s="34">
        <v>3</v>
      </c>
      <c r="CP78" s="34">
        <v>6</v>
      </c>
      <c r="CQ78" s="34">
        <v>2</v>
      </c>
      <c r="CR78" s="34">
        <v>100</v>
      </c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</row>
    <row r="79" spans="2:118" ht="18.75" customHeight="1">
      <c r="B79" s="43">
        <v>300030002</v>
      </c>
      <c r="C79" s="34">
        <v>30003</v>
      </c>
      <c r="D79" s="34" t="s">
        <v>1855</v>
      </c>
      <c r="E79" s="14">
        <v>4.5</v>
      </c>
      <c r="F79" s="14">
        <v>4.5</v>
      </c>
      <c r="G79" s="14">
        <v>20</v>
      </c>
      <c r="H79" s="34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34"/>
      <c r="BI79" s="34"/>
      <c r="BJ79" s="34"/>
      <c r="BK79" s="34"/>
      <c r="BL79" s="34"/>
      <c r="BM79" s="34"/>
      <c r="BN79" s="34">
        <v>14</v>
      </c>
      <c r="BO79" s="34"/>
      <c r="BP79" s="34" t="s">
        <v>1789</v>
      </c>
      <c r="BQ79" s="34">
        <v>1</v>
      </c>
      <c r="BR79" s="34">
        <v>300030001</v>
      </c>
      <c r="BS79" s="34"/>
      <c r="BT79" s="34"/>
      <c r="BU79" s="34"/>
      <c r="BV79" s="34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34"/>
      <c r="CE79" s="20">
        <v>3</v>
      </c>
      <c r="CF79" s="14">
        <v>24</v>
      </c>
      <c r="CG79" s="14">
        <f t="shared" si="1"/>
        <v>90</v>
      </c>
      <c r="CH79" s="14">
        <v>100</v>
      </c>
      <c r="CI79" s="34"/>
      <c r="CJ79" s="34">
        <v>3</v>
      </c>
      <c r="CK79" s="34">
        <v>1</v>
      </c>
      <c r="CL79" s="34">
        <v>15</v>
      </c>
      <c r="CM79" s="34">
        <v>100</v>
      </c>
      <c r="CN79" s="34"/>
      <c r="CO79" s="34">
        <v>3</v>
      </c>
      <c r="CP79" s="34">
        <v>6</v>
      </c>
      <c r="CQ79" s="34">
        <v>10</v>
      </c>
      <c r="CR79" s="34">
        <v>100</v>
      </c>
      <c r="CS79" s="34"/>
      <c r="CT79" s="34">
        <v>3</v>
      </c>
      <c r="CU79" s="34">
        <v>11</v>
      </c>
      <c r="CV79" s="34">
        <v>5</v>
      </c>
      <c r="CW79" s="34">
        <v>100</v>
      </c>
      <c r="CX79" s="34"/>
      <c r="CY79" s="34">
        <v>3</v>
      </c>
      <c r="CZ79" s="34">
        <v>16</v>
      </c>
      <c r="DA79" s="34">
        <v>2</v>
      </c>
      <c r="DB79" s="34">
        <v>100</v>
      </c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</row>
    <row r="80" spans="2:118" ht="18.75" customHeight="1">
      <c r="B80" s="43">
        <v>300030003</v>
      </c>
      <c r="C80" s="34">
        <v>30003</v>
      </c>
      <c r="D80" s="34" t="s">
        <v>1856</v>
      </c>
      <c r="E80" s="14">
        <v>4.7</v>
      </c>
      <c r="F80" s="14">
        <v>4.7</v>
      </c>
      <c r="G80" s="14">
        <v>30</v>
      </c>
      <c r="H80" s="34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34"/>
      <c r="BI80" s="34"/>
      <c r="BJ80" s="34"/>
      <c r="BK80" s="34"/>
      <c r="BL80" s="34"/>
      <c r="BM80" s="34"/>
      <c r="BN80" s="34">
        <v>14</v>
      </c>
      <c r="BO80" s="34"/>
      <c r="BP80" s="34" t="s">
        <v>1789</v>
      </c>
      <c r="BQ80" s="34">
        <v>1</v>
      </c>
      <c r="BR80" s="34">
        <v>300030002</v>
      </c>
      <c r="BS80" s="34"/>
      <c r="BT80" s="34"/>
      <c r="BU80" s="34"/>
      <c r="BV80" s="34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34"/>
      <c r="CE80" s="20">
        <v>3</v>
      </c>
      <c r="CF80" s="14">
        <v>24</v>
      </c>
      <c r="CG80" s="14">
        <f t="shared" si="1"/>
        <v>141</v>
      </c>
      <c r="CH80" s="14">
        <v>100</v>
      </c>
      <c r="CI80" s="34"/>
      <c r="CJ80" s="34">
        <v>3</v>
      </c>
      <c r="CK80" s="34">
        <v>1</v>
      </c>
      <c r="CL80" s="34">
        <v>25</v>
      </c>
      <c r="CM80" s="34">
        <v>100</v>
      </c>
      <c r="CN80" s="34"/>
      <c r="CO80" s="34">
        <v>3</v>
      </c>
      <c r="CP80" s="34">
        <v>6</v>
      </c>
      <c r="CQ80" s="34">
        <v>20</v>
      </c>
      <c r="CR80" s="34">
        <v>100</v>
      </c>
      <c r="CS80" s="34"/>
      <c r="CT80" s="34">
        <v>3</v>
      </c>
      <c r="CU80" s="34">
        <v>11</v>
      </c>
      <c r="CV80" s="34">
        <v>10</v>
      </c>
      <c r="CW80" s="34">
        <v>100</v>
      </c>
      <c r="CX80" s="34"/>
      <c r="CY80" s="34">
        <v>3</v>
      </c>
      <c r="CZ80" s="34">
        <v>16</v>
      </c>
      <c r="DA80" s="34">
        <v>5</v>
      </c>
      <c r="DB80" s="34">
        <v>100</v>
      </c>
      <c r="DC80" s="34"/>
      <c r="DD80" s="34">
        <v>3</v>
      </c>
      <c r="DE80" s="34">
        <v>21</v>
      </c>
      <c r="DF80" s="34">
        <v>1</v>
      </c>
      <c r="DG80" s="34">
        <v>10</v>
      </c>
      <c r="DH80" s="34"/>
      <c r="DI80" s="34"/>
      <c r="DJ80" s="34"/>
      <c r="DK80" s="34"/>
      <c r="DL80" s="34"/>
      <c r="DM80" s="34"/>
      <c r="DN80" s="34"/>
    </row>
    <row r="81" spans="2:118" ht="18.75" customHeight="1">
      <c r="B81" s="43">
        <v>300040001</v>
      </c>
      <c r="C81" s="34">
        <v>30004</v>
      </c>
      <c r="D81" s="34" t="s">
        <v>1858</v>
      </c>
      <c r="E81" s="14">
        <v>4.3</v>
      </c>
      <c r="F81" s="14">
        <v>4.3</v>
      </c>
      <c r="G81" s="14">
        <v>10</v>
      </c>
      <c r="H81" s="34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34"/>
      <c r="BI81" s="34"/>
      <c r="BJ81" s="34"/>
      <c r="BK81" s="34"/>
      <c r="BL81" s="34"/>
      <c r="BM81" s="34"/>
      <c r="BN81" s="34">
        <v>14</v>
      </c>
      <c r="BO81" s="34"/>
      <c r="BP81" s="34" t="s">
        <v>1790</v>
      </c>
      <c r="BQ81" s="34"/>
      <c r="BR81" s="34"/>
      <c r="BS81" s="34"/>
      <c r="BT81" s="34"/>
      <c r="BU81" s="34"/>
      <c r="BV81" s="34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2" si="10">ROUND(E81*G81,0)</f>
        <v>43</v>
      </c>
      <c r="CC81" s="14">
        <v>100</v>
      </c>
      <c r="CD81" s="34"/>
      <c r="CE81" s="20">
        <v>3</v>
      </c>
      <c r="CF81" s="14">
        <v>24</v>
      </c>
      <c r="CG81" s="14">
        <f t="shared" ref="CG81:CG92" si="11">ROUND(F81*G81,0)</f>
        <v>43</v>
      </c>
      <c r="CH81" s="14">
        <v>100</v>
      </c>
      <c r="CI81" s="34"/>
      <c r="CJ81" s="34">
        <v>3</v>
      </c>
      <c r="CK81" s="34">
        <v>2</v>
      </c>
      <c r="CL81" s="34">
        <v>5</v>
      </c>
      <c r="CM81" s="34">
        <v>100</v>
      </c>
      <c r="CN81" s="34"/>
      <c r="CO81" s="34">
        <v>3</v>
      </c>
      <c r="CP81" s="34">
        <v>7</v>
      </c>
      <c r="CQ81" s="34">
        <v>2</v>
      </c>
      <c r="CR81" s="34">
        <v>100</v>
      </c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</row>
    <row r="82" spans="2:118" ht="18.75" customHeight="1">
      <c r="B82" s="43">
        <v>300040002</v>
      </c>
      <c r="C82" s="34">
        <v>30004</v>
      </c>
      <c r="D82" s="34" t="s">
        <v>1859</v>
      </c>
      <c r="E82" s="14">
        <v>4.5</v>
      </c>
      <c r="F82" s="14">
        <v>4.5</v>
      </c>
      <c r="G82" s="14">
        <v>20</v>
      </c>
      <c r="H82" s="34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34"/>
      <c r="BI82" s="34"/>
      <c r="BJ82" s="34"/>
      <c r="BK82" s="34"/>
      <c r="BL82" s="34"/>
      <c r="BM82" s="34"/>
      <c r="BN82" s="34">
        <v>14</v>
      </c>
      <c r="BO82" s="34"/>
      <c r="BP82" s="34" t="s">
        <v>1790</v>
      </c>
      <c r="BQ82" s="34">
        <v>1</v>
      </c>
      <c r="BR82" s="34">
        <v>300040001</v>
      </c>
      <c r="BS82" s="34"/>
      <c r="BT82" s="34"/>
      <c r="BU82" s="34"/>
      <c r="BV82" s="34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34"/>
      <c r="CE82" s="20">
        <v>3</v>
      </c>
      <c r="CF82" s="14">
        <v>24</v>
      </c>
      <c r="CG82" s="14">
        <f t="shared" si="11"/>
        <v>90</v>
      </c>
      <c r="CH82" s="14">
        <v>100</v>
      </c>
      <c r="CI82" s="34"/>
      <c r="CJ82" s="34">
        <v>3</v>
      </c>
      <c r="CK82" s="34">
        <v>2</v>
      </c>
      <c r="CL82" s="34">
        <v>15</v>
      </c>
      <c r="CM82" s="34">
        <v>100</v>
      </c>
      <c r="CN82" s="34"/>
      <c r="CO82" s="34">
        <v>3</v>
      </c>
      <c r="CP82" s="34">
        <v>7</v>
      </c>
      <c r="CQ82" s="34">
        <v>10</v>
      </c>
      <c r="CR82" s="34">
        <v>100</v>
      </c>
      <c r="CS82" s="34"/>
      <c r="CT82" s="34">
        <v>3</v>
      </c>
      <c r="CU82" s="34">
        <v>12</v>
      </c>
      <c r="CV82" s="34">
        <v>5</v>
      </c>
      <c r="CW82" s="34">
        <v>100</v>
      </c>
      <c r="CX82" s="34"/>
      <c r="CY82" s="34">
        <v>3</v>
      </c>
      <c r="CZ82" s="34">
        <v>17</v>
      </c>
      <c r="DA82" s="34">
        <v>2</v>
      </c>
      <c r="DB82" s="34">
        <v>100</v>
      </c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</row>
    <row r="83" spans="2:118" ht="18.75" customHeight="1">
      <c r="B83" s="43">
        <v>300040003</v>
      </c>
      <c r="C83" s="34">
        <v>30004</v>
      </c>
      <c r="D83" s="34" t="s">
        <v>1860</v>
      </c>
      <c r="E83" s="14">
        <v>4.7</v>
      </c>
      <c r="F83" s="14">
        <v>4.7</v>
      </c>
      <c r="G83" s="14">
        <v>30</v>
      </c>
      <c r="H83" s="34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34"/>
      <c r="BI83" s="34"/>
      <c r="BJ83" s="34"/>
      <c r="BK83" s="34"/>
      <c r="BL83" s="34"/>
      <c r="BM83" s="34"/>
      <c r="BN83" s="34">
        <v>14</v>
      </c>
      <c r="BO83" s="34"/>
      <c r="BP83" s="34" t="s">
        <v>1790</v>
      </c>
      <c r="BQ83" s="34">
        <v>1</v>
      </c>
      <c r="BR83" s="34">
        <v>300040002</v>
      </c>
      <c r="BS83" s="34"/>
      <c r="BT83" s="34"/>
      <c r="BU83" s="34"/>
      <c r="BV83" s="34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34"/>
      <c r="CE83" s="20">
        <v>3</v>
      </c>
      <c r="CF83" s="14">
        <v>24</v>
      </c>
      <c r="CG83" s="14">
        <f t="shared" si="11"/>
        <v>141</v>
      </c>
      <c r="CH83" s="14">
        <v>100</v>
      </c>
      <c r="CI83" s="34"/>
      <c r="CJ83" s="34">
        <v>3</v>
      </c>
      <c r="CK83" s="34">
        <v>2</v>
      </c>
      <c r="CL83" s="34">
        <v>25</v>
      </c>
      <c r="CM83" s="34">
        <v>100</v>
      </c>
      <c r="CN83" s="34"/>
      <c r="CO83" s="34">
        <v>3</v>
      </c>
      <c r="CP83" s="34">
        <v>7</v>
      </c>
      <c r="CQ83" s="34">
        <v>20</v>
      </c>
      <c r="CR83" s="34">
        <v>100</v>
      </c>
      <c r="CS83" s="34"/>
      <c r="CT83" s="34">
        <v>3</v>
      </c>
      <c r="CU83" s="34">
        <v>12</v>
      </c>
      <c r="CV83" s="34">
        <v>10</v>
      </c>
      <c r="CW83" s="34">
        <v>100</v>
      </c>
      <c r="CX83" s="34"/>
      <c r="CY83" s="34">
        <v>3</v>
      </c>
      <c r="CZ83" s="34">
        <v>17</v>
      </c>
      <c r="DA83" s="34">
        <v>5</v>
      </c>
      <c r="DB83" s="34">
        <v>100</v>
      </c>
      <c r="DC83" s="34"/>
      <c r="DD83" s="34">
        <v>3</v>
      </c>
      <c r="DE83" s="34">
        <v>21</v>
      </c>
      <c r="DF83" s="34">
        <v>1</v>
      </c>
      <c r="DG83" s="34">
        <v>10</v>
      </c>
      <c r="DH83" s="34"/>
      <c r="DI83" s="34"/>
      <c r="DJ83" s="34"/>
      <c r="DK83" s="34"/>
      <c r="DL83" s="34"/>
      <c r="DM83" s="34"/>
      <c r="DN83" s="34"/>
    </row>
    <row r="84" spans="2:118" ht="18.75" customHeight="1">
      <c r="B84" s="43">
        <v>300050001</v>
      </c>
      <c r="C84" s="34">
        <v>30005</v>
      </c>
      <c r="D84" s="34" t="s">
        <v>1862</v>
      </c>
      <c r="E84" s="14">
        <v>4.3</v>
      </c>
      <c r="F84" s="14">
        <v>4.3</v>
      </c>
      <c r="G84" s="14">
        <v>10</v>
      </c>
      <c r="H84" s="34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34"/>
      <c r="BI84" s="34"/>
      <c r="BJ84" s="34"/>
      <c r="BK84" s="34"/>
      <c r="BL84" s="34"/>
      <c r="BM84" s="34"/>
      <c r="BN84" s="34">
        <v>14</v>
      </c>
      <c r="BO84" s="34"/>
      <c r="BP84" s="34" t="s">
        <v>1791</v>
      </c>
      <c r="BQ84" s="34"/>
      <c r="BR84" s="34"/>
      <c r="BS84" s="34"/>
      <c r="BT84" s="34"/>
      <c r="BU84" s="34"/>
      <c r="BV84" s="34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34"/>
      <c r="CE84" s="20">
        <v>3</v>
      </c>
      <c r="CF84" s="14">
        <v>24</v>
      </c>
      <c r="CG84" s="14">
        <f t="shared" si="11"/>
        <v>43</v>
      </c>
      <c r="CH84" s="14">
        <v>100</v>
      </c>
      <c r="CI84" s="34"/>
      <c r="CJ84" s="34">
        <v>3</v>
      </c>
      <c r="CK84" s="34">
        <v>3</v>
      </c>
      <c r="CL84" s="34">
        <v>5</v>
      </c>
      <c r="CM84" s="34">
        <v>100</v>
      </c>
      <c r="CN84" s="34"/>
      <c r="CO84" s="34">
        <v>3</v>
      </c>
      <c r="CP84" s="34">
        <v>8</v>
      </c>
      <c r="CQ84" s="34">
        <v>2</v>
      </c>
      <c r="CR84" s="34">
        <v>100</v>
      </c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</row>
    <row r="85" spans="2:118" ht="18.75" customHeight="1">
      <c r="B85" s="43">
        <v>300050002</v>
      </c>
      <c r="C85" s="34">
        <v>30005</v>
      </c>
      <c r="D85" s="34" t="s">
        <v>1863</v>
      </c>
      <c r="E85" s="14">
        <v>4.5</v>
      </c>
      <c r="F85" s="14">
        <v>4.5</v>
      </c>
      <c r="G85" s="14">
        <v>20</v>
      </c>
      <c r="H85" s="34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34"/>
      <c r="BI85" s="34"/>
      <c r="BJ85" s="34"/>
      <c r="BK85" s="34"/>
      <c r="BL85" s="34"/>
      <c r="BM85" s="34"/>
      <c r="BN85" s="34">
        <v>14</v>
      </c>
      <c r="BO85" s="34"/>
      <c r="BP85" s="34" t="s">
        <v>1791</v>
      </c>
      <c r="BQ85" s="34">
        <v>1</v>
      </c>
      <c r="BR85" s="34">
        <v>300050001</v>
      </c>
      <c r="BS85" s="34"/>
      <c r="BT85" s="34"/>
      <c r="BU85" s="34"/>
      <c r="BV85" s="34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34"/>
      <c r="CE85" s="20">
        <v>3</v>
      </c>
      <c r="CF85" s="14">
        <v>24</v>
      </c>
      <c r="CG85" s="14">
        <f t="shared" si="11"/>
        <v>90</v>
      </c>
      <c r="CH85" s="14">
        <v>100</v>
      </c>
      <c r="CI85" s="34"/>
      <c r="CJ85" s="34">
        <v>3</v>
      </c>
      <c r="CK85" s="34">
        <v>3</v>
      </c>
      <c r="CL85" s="34">
        <v>15</v>
      </c>
      <c r="CM85" s="34">
        <v>100</v>
      </c>
      <c r="CN85" s="34"/>
      <c r="CO85" s="34">
        <v>3</v>
      </c>
      <c r="CP85" s="34">
        <v>8</v>
      </c>
      <c r="CQ85" s="34">
        <v>10</v>
      </c>
      <c r="CR85" s="34">
        <v>100</v>
      </c>
      <c r="CS85" s="34"/>
      <c r="CT85" s="34">
        <v>3</v>
      </c>
      <c r="CU85" s="34">
        <v>13</v>
      </c>
      <c r="CV85" s="34">
        <v>5</v>
      </c>
      <c r="CW85" s="34">
        <v>100</v>
      </c>
      <c r="CX85" s="34"/>
      <c r="CY85" s="34">
        <v>3</v>
      </c>
      <c r="CZ85" s="34">
        <v>18</v>
      </c>
      <c r="DA85" s="34">
        <v>2</v>
      </c>
      <c r="DB85" s="34">
        <v>100</v>
      </c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</row>
    <row r="86" spans="2:118" ht="18.75" customHeight="1">
      <c r="B86" s="43">
        <v>300050003</v>
      </c>
      <c r="C86" s="34">
        <v>30005</v>
      </c>
      <c r="D86" s="34" t="s">
        <v>1864</v>
      </c>
      <c r="E86" s="14">
        <v>4.7</v>
      </c>
      <c r="F86" s="14">
        <v>4.7</v>
      </c>
      <c r="G86" s="14">
        <v>30</v>
      </c>
      <c r="H86" s="34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34"/>
      <c r="BI86" s="34"/>
      <c r="BJ86" s="34"/>
      <c r="BK86" s="34"/>
      <c r="BL86" s="34"/>
      <c r="BM86" s="34"/>
      <c r="BN86" s="34">
        <v>14</v>
      </c>
      <c r="BO86" s="34"/>
      <c r="BP86" s="34" t="s">
        <v>1791</v>
      </c>
      <c r="BQ86" s="34">
        <v>1</v>
      </c>
      <c r="BR86" s="34">
        <v>300050002</v>
      </c>
      <c r="BS86" s="34"/>
      <c r="BT86" s="34"/>
      <c r="BU86" s="34"/>
      <c r="BV86" s="34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34"/>
      <c r="CE86" s="20">
        <v>3</v>
      </c>
      <c r="CF86" s="14">
        <v>24</v>
      </c>
      <c r="CG86" s="14">
        <f t="shared" si="11"/>
        <v>141</v>
      </c>
      <c r="CH86" s="14">
        <v>100</v>
      </c>
      <c r="CI86" s="34"/>
      <c r="CJ86" s="34">
        <v>3</v>
      </c>
      <c r="CK86" s="34">
        <v>3</v>
      </c>
      <c r="CL86" s="34">
        <v>25</v>
      </c>
      <c r="CM86" s="34">
        <v>100</v>
      </c>
      <c r="CN86" s="34"/>
      <c r="CO86" s="34">
        <v>3</v>
      </c>
      <c r="CP86" s="34">
        <v>8</v>
      </c>
      <c r="CQ86" s="34">
        <v>20</v>
      </c>
      <c r="CR86" s="34">
        <v>100</v>
      </c>
      <c r="CS86" s="34"/>
      <c r="CT86" s="34">
        <v>3</v>
      </c>
      <c r="CU86" s="34">
        <v>13</v>
      </c>
      <c r="CV86" s="34">
        <v>10</v>
      </c>
      <c r="CW86" s="34">
        <v>100</v>
      </c>
      <c r="CX86" s="34"/>
      <c r="CY86" s="34">
        <v>3</v>
      </c>
      <c r="CZ86" s="34">
        <v>18</v>
      </c>
      <c r="DA86" s="34">
        <v>5</v>
      </c>
      <c r="DB86" s="34">
        <v>100</v>
      </c>
      <c r="DC86" s="34"/>
      <c r="DD86" s="34">
        <v>3</v>
      </c>
      <c r="DE86" s="34">
        <v>21</v>
      </c>
      <c r="DF86" s="34">
        <v>1</v>
      </c>
      <c r="DG86" s="34">
        <v>10</v>
      </c>
      <c r="DH86" s="34"/>
      <c r="DI86" s="34"/>
      <c r="DJ86" s="34"/>
      <c r="DK86" s="34"/>
      <c r="DL86" s="34"/>
      <c r="DM86" s="34"/>
      <c r="DN86" s="34"/>
    </row>
    <row r="87" spans="2:118" ht="18.75" customHeight="1">
      <c r="B87" s="43">
        <v>300060001</v>
      </c>
      <c r="C87" s="34">
        <v>30006</v>
      </c>
      <c r="D87" s="34" t="s">
        <v>1866</v>
      </c>
      <c r="E87" s="14">
        <v>4.3</v>
      </c>
      <c r="F87" s="14">
        <v>4.3</v>
      </c>
      <c r="G87" s="14">
        <v>10</v>
      </c>
      <c r="H87" s="34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34"/>
      <c r="BI87" s="34"/>
      <c r="BJ87" s="34"/>
      <c r="BK87" s="34"/>
      <c r="BL87" s="34"/>
      <c r="BM87" s="34"/>
      <c r="BN87" s="34">
        <v>14</v>
      </c>
      <c r="BO87" s="34"/>
      <c r="BP87" s="34" t="s">
        <v>1792</v>
      </c>
      <c r="BQ87" s="34"/>
      <c r="BR87" s="34"/>
      <c r="BS87" s="34"/>
      <c r="BT87" s="34"/>
      <c r="BU87" s="34"/>
      <c r="BV87" s="34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34"/>
      <c r="CE87" s="20">
        <v>3</v>
      </c>
      <c r="CF87" s="14">
        <v>24</v>
      </c>
      <c r="CG87" s="14">
        <f t="shared" si="11"/>
        <v>43</v>
      </c>
      <c r="CH87" s="14">
        <v>100</v>
      </c>
      <c r="CI87" s="34"/>
      <c r="CJ87" s="34">
        <v>3</v>
      </c>
      <c r="CK87" s="34">
        <v>4</v>
      </c>
      <c r="CL87" s="34">
        <v>5</v>
      </c>
      <c r="CM87" s="34">
        <v>100</v>
      </c>
      <c r="CN87" s="34"/>
      <c r="CO87" s="34">
        <v>3</v>
      </c>
      <c r="CP87" s="34">
        <v>9</v>
      </c>
      <c r="CQ87" s="34">
        <v>2</v>
      </c>
      <c r="CR87" s="34">
        <v>100</v>
      </c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</row>
    <row r="88" spans="2:118" ht="18.75" customHeight="1">
      <c r="B88" s="43">
        <v>300060002</v>
      </c>
      <c r="C88" s="34">
        <v>30006</v>
      </c>
      <c r="D88" s="34" t="s">
        <v>1867</v>
      </c>
      <c r="E88" s="14">
        <v>4.5</v>
      </c>
      <c r="F88" s="14">
        <v>4.5</v>
      </c>
      <c r="G88" s="14">
        <v>20</v>
      </c>
      <c r="H88" s="34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34"/>
      <c r="BI88" s="34"/>
      <c r="BJ88" s="34"/>
      <c r="BK88" s="34"/>
      <c r="BL88" s="34"/>
      <c r="BM88" s="34"/>
      <c r="BN88" s="34">
        <v>14</v>
      </c>
      <c r="BO88" s="34"/>
      <c r="BP88" s="34" t="s">
        <v>1792</v>
      </c>
      <c r="BQ88" s="34">
        <v>1</v>
      </c>
      <c r="BR88" s="34">
        <v>300060001</v>
      </c>
      <c r="BS88" s="34"/>
      <c r="BT88" s="34"/>
      <c r="BU88" s="34"/>
      <c r="BV88" s="34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34"/>
      <c r="CE88" s="20">
        <v>3</v>
      </c>
      <c r="CF88" s="14">
        <v>24</v>
      </c>
      <c r="CG88" s="14">
        <f t="shared" si="11"/>
        <v>90</v>
      </c>
      <c r="CH88" s="14">
        <v>100</v>
      </c>
      <c r="CI88" s="34"/>
      <c r="CJ88" s="34">
        <v>3</v>
      </c>
      <c r="CK88" s="34">
        <v>4</v>
      </c>
      <c r="CL88" s="34">
        <v>15</v>
      </c>
      <c r="CM88" s="34">
        <v>100</v>
      </c>
      <c r="CN88" s="34"/>
      <c r="CO88" s="34">
        <v>3</v>
      </c>
      <c r="CP88" s="34">
        <v>9</v>
      </c>
      <c r="CQ88" s="34">
        <v>10</v>
      </c>
      <c r="CR88" s="34">
        <v>100</v>
      </c>
      <c r="CS88" s="34"/>
      <c r="CT88" s="34">
        <v>3</v>
      </c>
      <c r="CU88" s="34">
        <v>14</v>
      </c>
      <c r="CV88" s="34">
        <v>5</v>
      </c>
      <c r="CW88" s="34">
        <v>100</v>
      </c>
      <c r="CX88" s="34"/>
      <c r="CY88" s="34">
        <v>3</v>
      </c>
      <c r="CZ88" s="34">
        <v>19</v>
      </c>
      <c r="DA88" s="34">
        <v>2</v>
      </c>
      <c r="DB88" s="34">
        <v>100</v>
      </c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</row>
    <row r="89" spans="2:118" ht="18.75" customHeight="1">
      <c r="B89" s="43">
        <v>300060003</v>
      </c>
      <c r="C89" s="34">
        <v>30006</v>
      </c>
      <c r="D89" s="34" t="s">
        <v>1868</v>
      </c>
      <c r="E89" s="14">
        <v>4.7</v>
      </c>
      <c r="F89" s="14">
        <v>4.7</v>
      </c>
      <c r="G89" s="14">
        <v>30</v>
      </c>
      <c r="H89" s="34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34"/>
      <c r="BI89" s="34"/>
      <c r="BJ89" s="34"/>
      <c r="BK89" s="34"/>
      <c r="BL89" s="34"/>
      <c r="BM89" s="34"/>
      <c r="BN89" s="34">
        <v>14</v>
      </c>
      <c r="BO89" s="34"/>
      <c r="BP89" s="34" t="s">
        <v>1792</v>
      </c>
      <c r="BQ89" s="34">
        <v>1</v>
      </c>
      <c r="BR89" s="34">
        <v>300060002</v>
      </c>
      <c r="BS89" s="34"/>
      <c r="BT89" s="34"/>
      <c r="BU89" s="34"/>
      <c r="BV89" s="34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34"/>
      <c r="CE89" s="20">
        <v>3</v>
      </c>
      <c r="CF89" s="14">
        <v>24</v>
      </c>
      <c r="CG89" s="14">
        <f t="shared" si="11"/>
        <v>141</v>
      </c>
      <c r="CH89" s="14">
        <v>100</v>
      </c>
      <c r="CI89" s="34"/>
      <c r="CJ89" s="34">
        <v>3</v>
      </c>
      <c r="CK89" s="34">
        <v>4</v>
      </c>
      <c r="CL89" s="34">
        <v>25</v>
      </c>
      <c r="CM89" s="34">
        <v>100</v>
      </c>
      <c r="CN89" s="34"/>
      <c r="CO89" s="34">
        <v>3</v>
      </c>
      <c r="CP89" s="34">
        <v>9</v>
      </c>
      <c r="CQ89" s="34">
        <v>20</v>
      </c>
      <c r="CR89" s="34">
        <v>100</v>
      </c>
      <c r="CS89" s="34"/>
      <c r="CT89" s="34">
        <v>3</v>
      </c>
      <c r="CU89" s="34">
        <v>14</v>
      </c>
      <c r="CV89" s="34">
        <v>10</v>
      </c>
      <c r="CW89" s="34">
        <v>100</v>
      </c>
      <c r="CX89" s="34"/>
      <c r="CY89" s="34">
        <v>3</v>
      </c>
      <c r="CZ89" s="34">
        <v>19</v>
      </c>
      <c r="DA89" s="34">
        <v>5</v>
      </c>
      <c r="DB89" s="34">
        <v>100</v>
      </c>
      <c r="DC89" s="34"/>
      <c r="DD89" s="34">
        <v>3</v>
      </c>
      <c r="DE89" s="34">
        <v>21</v>
      </c>
      <c r="DF89" s="34">
        <v>1</v>
      </c>
      <c r="DG89" s="34">
        <v>10</v>
      </c>
      <c r="DH89" s="34"/>
      <c r="DI89" s="34"/>
      <c r="DJ89" s="34"/>
      <c r="DK89" s="34"/>
      <c r="DL89" s="34"/>
      <c r="DM89" s="34"/>
      <c r="DN89" s="34"/>
    </row>
    <row r="90" spans="2:118" ht="18.75" customHeight="1">
      <c r="B90" s="43">
        <v>300070001</v>
      </c>
      <c r="C90" s="34">
        <v>30007</v>
      </c>
      <c r="D90" s="34" t="s">
        <v>1870</v>
      </c>
      <c r="E90" s="14">
        <v>4.3</v>
      </c>
      <c r="F90" s="14">
        <v>4.3</v>
      </c>
      <c r="G90" s="14">
        <v>10</v>
      </c>
      <c r="H90" s="34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34"/>
      <c r="BI90" s="34"/>
      <c r="BJ90" s="34"/>
      <c r="BK90" s="34"/>
      <c r="BL90" s="34"/>
      <c r="BM90" s="34"/>
      <c r="BN90" s="34">
        <v>14</v>
      </c>
      <c r="BO90" s="34"/>
      <c r="BP90" s="34" t="s">
        <v>1793</v>
      </c>
      <c r="BQ90" s="34"/>
      <c r="BR90" s="34"/>
      <c r="BS90" s="34"/>
      <c r="BT90" s="34"/>
      <c r="BU90" s="34"/>
      <c r="BV90" s="34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34"/>
      <c r="CE90" s="20">
        <v>3</v>
      </c>
      <c r="CF90" s="14">
        <v>24</v>
      </c>
      <c r="CG90" s="14">
        <f t="shared" si="11"/>
        <v>43</v>
      </c>
      <c r="CH90" s="14">
        <v>100</v>
      </c>
      <c r="CI90" s="34"/>
      <c r="CJ90" s="34">
        <v>3</v>
      </c>
      <c r="CK90" s="34">
        <v>5</v>
      </c>
      <c r="CL90" s="34">
        <v>5</v>
      </c>
      <c r="CM90" s="34">
        <v>100</v>
      </c>
      <c r="CN90" s="34"/>
      <c r="CO90" s="34">
        <v>3</v>
      </c>
      <c r="CP90" s="34">
        <v>10</v>
      </c>
      <c r="CQ90" s="34">
        <v>2</v>
      </c>
      <c r="CR90" s="34">
        <v>100</v>
      </c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</row>
    <row r="91" spans="2:118" ht="18.75" customHeight="1">
      <c r="B91" s="43">
        <v>300070002</v>
      </c>
      <c r="C91" s="34">
        <v>30007</v>
      </c>
      <c r="D91" s="34" t="s">
        <v>1871</v>
      </c>
      <c r="E91" s="14">
        <v>4.5</v>
      </c>
      <c r="F91" s="14">
        <v>4.5</v>
      </c>
      <c r="G91" s="14">
        <v>20</v>
      </c>
      <c r="H91" s="34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34"/>
      <c r="BI91" s="34"/>
      <c r="BJ91" s="34"/>
      <c r="BK91" s="34"/>
      <c r="BL91" s="34"/>
      <c r="BM91" s="34"/>
      <c r="BN91" s="34">
        <v>14</v>
      </c>
      <c r="BO91" s="34"/>
      <c r="BP91" s="34" t="s">
        <v>1793</v>
      </c>
      <c r="BQ91" s="34">
        <v>1</v>
      </c>
      <c r="BR91" s="34">
        <v>300070001</v>
      </c>
      <c r="BS91" s="34"/>
      <c r="BT91" s="34"/>
      <c r="BU91" s="34"/>
      <c r="BV91" s="34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34"/>
      <c r="CE91" s="20">
        <v>3</v>
      </c>
      <c r="CF91" s="14">
        <v>24</v>
      </c>
      <c r="CG91" s="14">
        <f t="shared" si="11"/>
        <v>90</v>
      </c>
      <c r="CH91" s="14">
        <v>100</v>
      </c>
      <c r="CI91" s="34"/>
      <c r="CJ91" s="34">
        <v>3</v>
      </c>
      <c r="CK91" s="34">
        <v>5</v>
      </c>
      <c r="CL91" s="34">
        <v>15</v>
      </c>
      <c r="CM91" s="34">
        <v>100</v>
      </c>
      <c r="CN91" s="34"/>
      <c r="CO91" s="34">
        <v>3</v>
      </c>
      <c r="CP91" s="34">
        <v>10</v>
      </c>
      <c r="CQ91" s="34">
        <v>10</v>
      </c>
      <c r="CR91" s="34">
        <v>100</v>
      </c>
      <c r="CS91" s="34"/>
      <c r="CT91" s="34">
        <v>3</v>
      </c>
      <c r="CU91" s="34">
        <v>15</v>
      </c>
      <c r="CV91" s="34">
        <v>5</v>
      </c>
      <c r="CW91" s="34">
        <v>100</v>
      </c>
      <c r="CX91" s="34"/>
      <c r="CY91" s="34">
        <v>3</v>
      </c>
      <c r="CZ91" s="34">
        <v>20</v>
      </c>
      <c r="DA91" s="34">
        <v>2</v>
      </c>
      <c r="DB91" s="34">
        <v>100</v>
      </c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</row>
    <row r="92" spans="2:118" ht="18.75" customHeight="1">
      <c r="B92" s="43">
        <v>300070003</v>
      </c>
      <c r="C92" s="34">
        <v>30007</v>
      </c>
      <c r="D92" s="34" t="s">
        <v>1872</v>
      </c>
      <c r="E92" s="14">
        <v>4.7</v>
      </c>
      <c r="F92" s="14">
        <v>4.7</v>
      </c>
      <c r="G92" s="14">
        <v>30</v>
      </c>
      <c r="H92" s="34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34"/>
      <c r="BI92" s="34"/>
      <c r="BJ92" s="34"/>
      <c r="BK92" s="34"/>
      <c r="BL92" s="34"/>
      <c r="BM92" s="34"/>
      <c r="BN92" s="34">
        <v>14</v>
      </c>
      <c r="BO92" s="34"/>
      <c r="BP92" s="34" t="s">
        <v>1793</v>
      </c>
      <c r="BQ92" s="34">
        <v>1</v>
      </c>
      <c r="BR92" s="34">
        <v>300070002</v>
      </c>
      <c r="BS92" s="34"/>
      <c r="BT92" s="34"/>
      <c r="BU92" s="34"/>
      <c r="BV92" s="34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34"/>
      <c r="CE92" s="20">
        <v>3</v>
      </c>
      <c r="CF92" s="14">
        <v>24</v>
      </c>
      <c r="CG92" s="14">
        <f t="shared" si="11"/>
        <v>141</v>
      </c>
      <c r="CH92" s="14">
        <v>100</v>
      </c>
      <c r="CI92" s="34"/>
      <c r="CJ92" s="34">
        <v>3</v>
      </c>
      <c r="CK92" s="34">
        <v>5</v>
      </c>
      <c r="CL92" s="34">
        <v>25</v>
      </c>
      <c r="CM92" s="34">
        <v>100</v>
      </c>
      <c r="CN92" s="34"/>
      <c r="CO92" s="34">
        <v>3</v>
      </c>
      <c r="CP92" s="34">
        <v>10</v>
      </c>
      <c r="CQ92" s="34">
        <v>20</v>
      </c>
      <c r="CR92" s="34">
        <v>100</v>
      </c>
      <c r="CS92" s="34"/>
      <c r="CT92" s="34">
        <v>3</v>
      </c>
      <c r="CU92" s="34">
        <v>15</v>
      </c>
      <c r="CV92" s="34">
        <v>10</v>
      </c>
      <c r="CW92" s="34">
        <v>100</v>
      </c>
      <c r="CX92" s="34"/>
      <c r="CY92" s="34">
        <v>3</v>
      </c>
      <c r="CZ92" s="34">
        <v>20</v>
      </c>
      <c r="DA92" s="34">
        <v>5</v>
      </c>
      <c r="DB92" s="34">
        <v>100</v>
      </c>
      <c r="DC92" s="34"/>
      <c r="DD92" s="34">
        <v>3</v>
      </c>
      <c r="DE92" s="34">
        <v>21</v>
      </c>
      <c r="DF92" s="34">
        <v>1</v>
      </c>
      <c r="DG92" s="34">
        <v>10</v>
      </c>
      <c r="DH92" s="34"/>
      <c r="DI92" s="34"/>
      <c r="DJ92" s="34"/>
      <c r="DK92" s="34"/>
      <c r="DL92" s="34"/>
      <c r="DM92" s="34"/>
      <c r="DN92" s="34"/>
    </row>
    <row r="93" spans="2:118" ht="18.75" customHeight="1">
      <c r="B93" s="43"/>
      <c r="C93" s="34"/>
      <c r="D93" s="34"/>
      <c r="E93" s="34"/>
      <c r="F93" s="34"/>
      <c r="G93" s="34"/>
      <c r="H93" s="34"/>
      <c r="I93" s="34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43"/>
      <c r="BX93" s="43"/>
      <c r="BY93" s="43"/>
      <c r="BZ93" s="43"/>
      <c r="CA93" s="34"/>
      <c r="CB93" s="34"/>
      <c r="CC93" s="34"/>
      <c r="CD93" s="34"/>
      <c r="CE93" s="43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</row>
    <row r="94" spans="2:118" ht="18.75" customHeight="1">
      <c r="B94" s="43"/>
      <c r="C94" s="34"/>
      <c r="D94" s="34"/>
      <c r="E94" s="34"/>
      <c r="F94" s="34"/>
      <c r="G94" s="34"/>
      <c r="H94" s="34"/>
      <c r="I94" s="34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43"/>
      <c r="BX94" s="43"/>
      <c r="BY94" s="43"/>
      <c r="BZ94" s="43"/>
      <c r="CA94" s="34"/>
      <c r="CB94" s="34"/>
      <c r="CC94" s="34"/>
      <c r="CD94" s="34"/>
      <c r="CE94" s="43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</row>
    <row r="95" spans="2:118" ht="18.75" customHeight="1">
      <c r="B95" s="43"/>
      <c r="C95" s="34"/>
      <c r="D95" s="34"/>
      <c r="E95" s="34"/>
      <c r="F95" s="34"/>
      <c r="G95" s="34"/>
      <c r="H95" s="34"/>
      <c r="I95" s="34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43"/>
      <c r="BX95" s="43"/>
      <c r="BY95" s="43"/>
      <c r="BZ95" s="43"/>
      <c r="CA95" s="34"/>
      <c r="CB95" s="34"/>
      <c r="CC95" s="34"/>
      <c r="CD95" s="34"/>
      <c r="CE95" s="43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</row>
    <row r="96" spans="2:118" ht="18.75" customHeight="1">
      <c r="B96" s="43"/>
      <c r="C96" s="34"/>
      <c r="D96" s="34"/>
      <c r="E96" s="34"/>
      <c r="F96" s="34"/>
      <c r="G96" s="34"/>
      <c r="H96" s="34"/>
      <c r="I96" s="34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43"/>
      <c r="BX96" s="43"/>
      <c r="BY96" s="43"/>
      <c r="BZ96" s="43"/>
      <c r="CA96" s="34"/>
      <c r="CB96" s="34"/>
      <c r="CC96" s="34"/>
      <c r="CD96" s="34"/>
      <c r="CE96" s="43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</row>
    <row r="97" spans="2:118" ht="18.75" customHeight="1">
      <c r="B97" s="43"/>
      <c r="C97" s="34"/>
      <c r="D97" s="34"/>
      <c r="E97" s="34"/>
      <c r="F97" s="34"/>
      <c r="G97" s="34"/>
      <c r="H97" s="34"/>
      <c r="I97" s="34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43"/>
      <c r="BX97" s="43"/>
      <c r="BY97" s="43"/>
      <c r="BZ97" s="43"/>
      <c r="CA97" s="34"/>
      <c r="CB97" s="34"/>
      <c r="CC97" s="34"/>
      <c r="CD97" s="34"/>
      <c r="CE97" s="43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</row>
    <row r="98" spans="2:118" ht="18.75" customHeight="1">
      <c r="B98" s="43"/>
      <c r="C98" s="34"/>
      <c r="D98" s="34"/>
      <c r="E98" s="34"/>
      <c r="F98" s="34"/>
      <c r="G98" s="34"/>
      <c r="H98" s="34"/>
      <c r="I98" s="34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43"/>
      <c r="BX98" s="43"/>
      <c r="BY98" s="43"/>
      <c r="BZ98" s="43"/>
      <c r="CA98" s="34"/>
      <c r="CB98" s="34"/>
      <c r="CC98" s="34"/>
      <c r="CD98" s="34"/>
      <c r="CE98" s="43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</row>
    <row r="99" spans="2:118" ht="18.75" customHeight="1">
      <c r="B99" s="43"/>
      <c r="C99" s="34"/>
      <c r="D99" s="34"/>
      <c r="E99" s="34"/>
      <c r="F99" s="34"/>
      <c r="G99" s="34"/>
      <c r="H99" s="34"/>
      <c r="I99" s="34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43"/>
      <c r="BX99" s="43"/>
      <c r="BY99" s="43"/>
      <c r="BZ99" s="43"/>
      <c r="CA99" s="34"/>
      <c r="CB99" s="34"/>
      <c r="CC99" s="34"/>
      <c r="CD99" s="34"/>
      <c r="CE99" s="43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</row>
    <row r="100" spans="2:118" ht="18.75" customHeight="1">
      <c r="B100" s="43"/>
      <c r="C100" s="34"/>
      <c r="D100" s="34"/>
      <c r="E100" s="34"/>
      <c r="F100" s="34"/>
      <c r="G100" s="34"/>
      <c r="H100" s="34"/>
      <c r="I100" s="34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43"/>
      <c r="BX100" s="43"/>
      <c r="BY100" s="43"/>
      <c r="BZ100" s="43"/>
      <c r="CA100" s="34"/>
      <c r="CB100" s="34"/>
      <c r="CC100" s="34"/>
      <c r="CD100" s="34"/>
      <c r="CE100" s="43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</row>
    <row r="101" spans="2:118" ht="18.75" customHeight="1">
      <c r="B101" s="43"/>
      <c r="C101" s="34"/>
      <c r="D101" s="34"/>
      <c r="E101" s="34"/>
      <c r="F101" s="34"/>
      <c r="G101" s="34"/>
      <c r="H101" s="34"/>
      <c r="I101" s="34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43"/>
      <c r="BX101" s="43"/>
      <c r="BY101" s="43"/>
      <c r="BZ101" s="43"/>
      <c r="CA101" s="34"/>
      <c r="CB101" s="34"/>
      <c r="CC101" s="34"/>
      <c r="CD101" s="34"/>
      <c r="CE101" s="43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</row>
    <row r="102" spans="2:118" ht="18.75" customHeight="1">
      <c r="B102" s="43"/>
      <c r="C102" s="34"/>
      <c r="D102" s="34"/>
      <c r="E102" s="34"/>
      <c r="F102" s="34"/>
      <c r="G102" s="34"/>
      <c r="H102" s="34"/>
      <c r="I102" s="34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43"/>
      <c r="BX102" s="43"/>
      <c r="BY102" s="43"/>
      <c r="BZ102" s="43"/>
      <c r="CA102" s="34"/>
      <c r="CB102" s="34"/>
      <c r="CC102" s="34"/>
      <c r="CD102" s="34"/>
      <c r="CE102" s="43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</row>
    <row r="103" spans="2:118" ht="18.75" customHeight="1">
      <c r="B103" s="43"/>
      <c r="C103" s="34"/>
      <c r="D103" s="34"/>
      <c r="E103" s="34"/>
      <c r="F103" s="34"/>
      <c r="G103" s="34"/>
      <c r="H103" s="34"/>
      <c r="I103" s="34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43"/>
      <c r="BX103" s="43"/>
      <c r="BY103" s="43"/>
      <c r="BZ103" s="43"/>
      <c r="CA103" s="34"/>
      <c r="CB103" s="34"/>
      <c r="CC103" s="34"/>
      <c r="CD103" s="34"/>
      <c r="CE103" s="43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</row>
    <row r="104" spans="2:118" ht="18.75" customHeight="1">
      <c r="B104" s="43"/>
      <c r="C104" s="34"/>
      <c r="D104" s="34"/>
      <c r="E104" s="34"/>
      <c r="F104" s="34"/>
      <c r="G104" s="34"/>
      <c r="H104" s="34"/>
      <c r="I104" s="34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43"/>
      <c r="BX104" s="43"/>
      <c r="BY104" s="43"/>
      <c r="BZ104" s="43"/>
      <c r="CA104" s="34"/>
      <c r="CB104" s="34"/>
      <c r="CC104" s="34"/>
      <c r="CD104" s="34"/>
      <c r="CE104" s="43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</row>
    <row r="105" spans="2:118" ht="18.75" customHeight="1">
      <c r="B105" s="43"/>
      <c r="C105" s="34"/>
      <c r="D105" s="34"/>
      <c r="E105" s="34"/>
      <c r="F105" s="34"/>
      <c r="G105" s="34"/>
      <c r="H105" s="34"/>
      <c r="I105" s="34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43"/>
      <c r="BX105" s="43"/>
      <c r="BY105" s="43"/>
      <c r="BZ105" s="43"/>
      <c r="CA105" s="34"/>
      <c r="CB105" s="34"/>
      <c r="CC105" s="34"/>
      <c r="CD105" s="34"/>
      <c r="CE105" s="43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</row>
    <row r="106" spans="2:118" ht="18.75" customHeight="1">
      <c r="B106" s="43"/>
      <c r="C106" s="34"/>
      <c r="D106" s="34"/>
      <c r="E106" s="34"/>
      <c r="F106" s="34"/>
      <c r="G106" s="34"/>
      <c r="H106" s="34"/>
      <c r="I106" s="34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43"/>
      <c r="BX106" s="43"/>
      <c r="BY106" s="43"/>
      <c r="BZ106" s="43"/>
      <c r="CA106" s="34"/>
      <c r="CB106" s="34"/>
      <c r="CC106" s="34"/>
      <c r="CD106" s="34"/>
      <c r="CE106" s="43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</row>
    <row r="107" spans="2:118" ht="18.75" customHeight="1">
      <c r="B107" s="43"/>
      <c r="C107" s="34"/>
      <c r="D107" s="34"/>
      <c r="E107" s="34"/>
      <c r="F107" s="34"/>
      <c r="G107" s="34"/>
      <c r="H107" s="34"/>
      <c r="I107" s="34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43"/>
      <c r="BX107" s="43"/>
      <c r="BY107" s="43"/>
      <c r="BZ107" s="43"/>
      <c r="CA107" s="34"/>
      <c r="CB107" s="34"/>
      <c r="CC107" s="34"/>
      <c r="CD107" s="34"/>
      <c r="CE107" s="43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</row>
    <row r="108" spans="2:118" ht="18.75" customHeight="1">
      <c r="B108" s="43"/>
      <c r="C108" s="34"/>
      <c r="D108" s="34"/>
      <c r="E108" s="34"/>
      <c r="F108" s="34"/>
      <c r="G108" s="34"/>
      <c r="H108" s="34"/>
      <c r="I108" s="34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43"/>
      <c r="BX108" s="43"/>
      <c r="BY108" s="43"/>
      <c r="BZ108" s="43"/>
      <c r="CA108" s="34"/>
      <c r="CB108" s="34"/>
      <c r="CC108" s="34"/>
      <c r="CD108" s="34"/>
      <c r="CE108" s="43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</row>
    <row r="109" spans="2:118" ht="18.75" customHeight="1">
      <c r="B109" s="43"/>
      <c r="C109" s="34"/>
      <c r="D109" s="34"/>
      <c r="E109" s="34"/>
      <c r="F109" s="34"/>
      <c r="G109" s="34"/>
      <c r="H109" s="34"/>
      <c r="I109" s="34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43"/>
      <c r="BX109" s="43"/>
      <c r="BY109" s="43"/>
      <c r="BZ109" s="43"/>
      <c r="CA109" s="34"/>
      <c r="CB109" s="34"/>
      <c r="CC109" s="34"/>
      <c r="CD109" s="34"/>
      <c r="CE109" s="43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</row>
    <row r="110" spans="2:118" ht="18.75" customHeight="1">
      <c r="B110" s="43"/>
      <c r="C110" s="34"/>
      <c r="D110" s="34"/>
      <c r="E110" s="34"/>
      <c r="F110" s="34"/>
      <c r="G110" s="34"/>
      <c r="H110" s="34"/>
      <c r="I110" s="34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43"/>
      <c r="BX110" s="43"/>
      <c r="BY110" s="43"/>
      <c r="BZ110" s="43"/>
      <c r="CA110" s="34"/>
      <c r="CB110" s="34"/>
      <c r="CC110" s="34"/>
      <c r="CD110" s="34"/>
      <c r="CE110" s="43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</row>
    <row r="111" spans="2:118" ht="18.75" customHeight="1">
      <c r="B111" s="43"/>
      <c r="C111" s="34"/>
      <c r="D111" s="34"/>
      <c r="E111" s="34"/>
      <c r="F111" s="34"/>
      <c r="G111" s="34"/>
      <c r="H111" s="34"/>
      <c r="I111" s="34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43"/>
      <c r="BX111" s="43"/>
      <c r="BY111" s="43"/>
      <c r="BZ111" s="43"/>
      <c r="CA111" s="34"/>
      <c r="CB111" s="34"/>
      <c r="CC111" s="34"/>
      <c r="CD111" s="34"/>
      <c r="CE111" s="43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</row>
    <row r="112" spans="2:118" ht="18.75" customHeight="1">
      <c r="B112" s="43"/>
      <c r="C112" s="34"/>
      <c r="D112" s="34"/>
      <c r="E112" s="34"/>
      <c r="F112" s="34"/>
      <c r="G112" s="34"/>
      <c r="H112" s="34"/>
      <c r="I112" s="34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43"/>
      <c r="BX112" s="43"/>
      <c r="BY112" s="43"/>
      <c r="BZ112" s="43"/>
      <c r="CA112" s="34"/>
      <c r="CB112" s="34"/>
      <c r="CC112" s="34"/>
      <c r="CD112" s="34"/>
      <c r="CE112" s="43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</row>
    <row r="113" spans="2:118" ht="18.75" customHeight="1">
      <c r="B113" s="43"/>
      <c r="C113" s="34"/>
      <c r="D113" s="34"/>
      <c r="E113" s="34"/>
      <c r="F113" s="34"/>
      <c r="G113" s="34"/>
      <c r="H113" s="34"/>
      <c r="I113" s="34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43"/>
      <c r="BX113" s="43"/>
      <c r="BY113" s="43"/>
      <c r="BZ113" s="43"/>
      <c r="CA113" s="34"/>
      <c r="CB113" s="34"/>
      <c r="CC113" s="34"/>
      <c r="CD113" s="34"/>
      <c r="CE113" s="43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</row>
    <row r="114" spans="2:118" ht="18.75" customHeight="1">
      <c r="B114" s="43"/>
      <c r="C114" s="34"/>
      <c r="D114" s="34"/>
      <c r="E114" s="34"/>
      <c r="F114" s="34"/>
      <c r="G114" s="34"/>
      <c r="H114" s="34"/>
      <c r="I114" s="34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43"/>
      <c r="BX114" s="43"/>
      <c r="BY114" s="43"/>
      <c r="BZ114" s="43"/>
      <c r="CA114" s="34"/>
      <c r="CB114" s="34"/>
      <c r="CC114" s="34"/>
      <c r="CD114" s="34"/>
      <c r="CE114" s="43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</row>
    <row r="115" spans="2:118" ht="18.75" customHeight="1">
      <c r="B115" s="43"/>
      <c r="C115" s="34"/>
      <c r="D115" s="34"/>
      <c r="E115" s="34"/>
      <c r="F115" s="34"/>
      <c r="G115" s="34"/>
      <c r="H115" s="34"/>
      <c r="I115" s="34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43"/>
      <c r="BX115" s="43"/>
      <c r="BY115" s="43"/>
      <c r="BZ115" s="43"/>
      <c r="CA115" s="34"/>
      <c r="CB115" s="34"/>
      <c r="CC115" s="34"/>
      <c r="CD115" s="34"/>
      <c r="CE115" s="43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</row>
    <row r="116" spans="2:118" ht="18.75" customHeight="1">
      <c r="B116" s="43"/>
      <c r="C116" s="34"/>
      <c r="D116" s="34"/>
      <c r="E116" s="34"/>
      <c r="F116" s="34"/>
      <c r="G116" s="34"/>
      <c r="H116" s="34"/>
      <c r="I116" s="34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43"/>
      <c r="BX116" s="43"/>
      <c r="BY116" s="43"/>
      <c r="BZ116" s="43"/>
      <c r="CA116" s="34"/>
      <c r="CB116" s="34"/>
      <c r="CC116" s="34"/>
      <c r="CD116" s="34"/>
      <c r="CE116" s="43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</row>
    <row r="117" spans="2:118" ht="18.75" customHeight="1">
      <c r="B117" s="43"/>
      <c r="C117" s="34"/>
      <c r="D117" s="34"/>
      <c r="E117" s="34"/>
      <c r="F117" s="34"/>
      <c r="G117" s="34"/>
      <c r="H117" s="34"/>
      <c r="I117" s="34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43"/>
      <c r="BX117" s="43"/>
      <c r="BY117" s="43"/>
      <c r="BZ117" s="43"/>
      <c r="CA117" s="34"/>
      <c r="CB117" s="34"/>
      <c r="CC117" s="34"/>
      <c r="CD117" s="34"/>
      <c r="CE117" s="43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</row>
    <row r="118" spans="2:118" ht="18.75" customHeight="1">
      <c r="B118" s="43"/>
      <c r="C118" s="34"/>
      <c r="D118" s="34"/>
      <c r="E118" s="34"/>
      <c r="F118" s="34"/>
      <c r="G118" s="34"/>
      <c r="H118" s="34"/>
      <c r="I118" s="34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43"/>
      <c r="BX118" s="43"/>
      <c r="BY118" s="43"/>
      <c r="BZ118" s="43"/>
      <c r="CA118" s="34"/>
      <c r="CB118" s="34"/>
      <c r="CC118" s="34"/>
      <c r="CD118" s="34"/>
      <c r="CE118" s="43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</row>
    <row r="119" spans="2:118" ht="18.75" customHeight="1">
      <c r="B119" s="43"/>
      <c r="C119" s="34"/>
      <c r="D119" s="34"/>
      <c r="E119" s="34"/>
      <c r="F119" s="34"/>
      <c r="G119" s="34"/>
      <c r="H119" s="34"/>
      <c r="I119" s="34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43"/>
      <c r="BX119" s="43"/>
      <c r="BY119" s="43"/>
      <c r="BZ119" s="43"/>
      <c r="CA119" s="34"/>
      <c r="CB119" s="34"/>
      <c r="CC119" s="34"/>
      <c r="CD119" s="34"/>
      <c r="CE119" s="43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</row>
    <row r="120" spans="2:118" ht="18.75" customHeight="1">
      <c r="B120" s="43"/>
      <c r="C120" s="34"/>
      <c r="D120" s="34"/>
      <c r="E120" s="34"/>
      <c r="F120" s="34"/>
      <c r="G120" s="34"/>
      <c r="H120" s="34"/>
      <c r="I120" s="34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43"/>
      <c r="BX120" s="43"/>
      <c r="BY120" s="43"/>
      <c r="BZ120" s="43"/>
      <c r="CA120" s="34"/>
      <c r="CB120" s="34"/>
      <c r="CC120" s="34"/>
      <c r="CD120" s="34"/>
      <c r="CE120" s="43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</row>
    <row r="121" spans="2:118" ht="18.75" customHeight="1">
      <c r="B121" s="43"/>
      <c r="C121" s="34"/>
      <c r="D121" s="34"/>
      <c r="E121" s="34"/>
      <c r="F121" s="34"/>
      <c r="G121" s="34"/>
      <c r="H121" s="34"/>
      <c r="I121" s="34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43"/>
      <c r="BX121" s="43"/>
      <c r="BY121" s="43"/>
      <c r="BZ121" s="43"/>
      <c r="CA121" s="34"/>
      <c r="CB121" s="34"/>
      <c r="CC121" s="34"/>
      <c r="CD121" s="34"/>
      <c r="CE121" s="43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</row>
    <row r="122" spans="2:118" ht="18.75" customHeight="1">
      <c r="B122" s="43"/>
      <c r="C122" s="34"/>
      <c r="D122" s="34"/>
      <c r="E122" s="34"/>
      <c r="F122" s="34"/>
      <c r="G122" s="34"/>
      <c r="H122" s="34"/>
      <c r="I122" s="34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43"/>
      <c r="BX122" s="43"/>
      <c r="BY122" s="43"/>
      <c r="BZ122" s="43"/>
      <c r="CA122" s="34"/>
      <c r="CB122" s="34"/>
      <c r="CC122" s="34"/>
      <c r="CD122" s="34"/>
      <c r="CE122" s="43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</row>
    <row r="123" spans="2:118" ht="18.75" customHeight="1">
      <c r="B123" s="43"/>
      <c r="C123" s="34"/>
      <c r="D123" s="34"/>
      <c r="E123" s="34"/>
      <c r="F123" s="34"/>
      <c r="G123" s="34"/>
      <c r="H123" s="34"/>
      <c r="I123" s="34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43"/>
      <c r="BX123" s="43"/>
      <c r="BY123" s="43"/>
      <c r="BZ123" s="43"/>
      <c r="CA123" s="34"/>
      <c r="CB123" s="34"/>
      <c r="CC123" s="34"/>
      <c r="CD123" s="34"/>
      <c r="CE123" s="43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</row>
    <row r="124" spans="2:118" ht="18.75" customHeight="1">
      <c r="B124" s="43"/>
      <c r="C124" s="34"/>
      <c r="D124" s="34"/>
      <c r="E124" s="34"/>
      <c r="F124" s="34"/>
      <c r="G124" s="34"/>
      <c r="H124" s="34"/>
      <c r="I124" s="34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43"/>
      <c r="BX124" s="43"/>
      <c r="BY124" s="43"/>
      <c r="BZ124" s="43"/>
      <c r="CA124" s="34"/>
      <c r="CB124" s="34"/>
      <c r="CC124" s="34"/>
      <c r="CD124" s="34"/>
      <c r="CE124" s="43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</row>
    <row r="125" spans="2:118" ht="18.75" customHeight="1">
      <c r="B125" s="43"/>
      <c r="C125" s="34"/>
      <c r="D125" s="34"/>
      <c r="E125" s="34"/>
      <c r="F125" s="34"/>
      <c r="G125" s="34"/>
      <c r="H125" s="34"/>
      <c r="I125" s="34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43"/>
      <c r="BX125" s="43"/>
      <c r="BY125" s="43"/>
      <c r="BZ125" s="43"/>
      <c r="CA125" s="34"/>
      <c r="CB125" s="34"/>
      <c r="CC125" s="34"/>
      <c r="CD125" s="34"/>
      <c r="CE125" s="43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</row>
    <row r="126" spans="2:118" ht="18.75" customHeight="1">
      <c r="B126" s="43"/>
      <c r="C126" s="34"/>
      <c r="D126" s="34"/>
      <c r="E126" s="34"/>
      <c r="F126" s="34"/>
      <c r="G126" s="34"/>
      <c r="H126" s="34"/>
      <c r="I126" s="34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43"/>
      <c r="BX126" s="43"/>
      <c r="BY126" s="43"/>
      <c r="BZ126" s="43"/>
      <c r="CA126" s="34"/>
      <c r="CB126" s="34"/>
      <c r="CC126" s="34"/>
      <c r="CD126" s="34"/>
      <c r="CE126" s="43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</row>
    <row r="127" spans="2:118" ht="18.75" customHeight="1">
      <c r="B127" s="43"/>
      <c r="C127" s="34"/>
      <c r="D127" s="34"/>
      <c r="E127" s="34"/>
      <c r="F127" s="34"/>
      <c r="G127" s="34"/>
      <c r="H127" s="34"/>
      <c r="I127" s="34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43"/>
      <c r="BX127" s="43"/>
      <c r="BY127" s="43"/>
      <c r="BZ127" s="43"/>
      <c r="CA127" s="34"/>
      <c r="CB127" s="34"/>
      <c r="CC127" s="34"/>
      <c r="CD127" s="34"/>
      <c r="CE127" s="43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</row>
    <row r="128" spans="2:118" ht="18.75" customHeight="1">
      <c r="B128" s="43"/>
      <c r="C128" s="34"/>
      <c r="D128" s="34"/>
      <c r="E128" s="34"/>
      <c r="F128" s="34"/>
      <c r="G128" s="34"/>
      <c r="H128" s="34"/>
      <c r="I128" s="34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43"/>
      <c r="BX128" s="43"/>
      <c r="BY128" s="43"/>
      <c r="BZ128" s="43"/>
      <c r="CA128" s="34"/>
      <c r="CB128" s="34"/>
      <c r="CC128" s="34"/>
      <c r="CD128" s="34"/>
      <c r="CE128" s="43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</row>
    <row r="129" spans="2:118" ht="18.75" customHeight="1">
      <c r="B129" s="43"/>
      <c r="C129" s="34"/>
      <c r="D129" s="34"/>
      <c r="E129" s="34"/>
      <c r="F129" s="34"/>
      <c r="G129" s="34"/>
      <c r="H129" s="34"/>
      <c r="I129" s="34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43"/>
      <c r="BX129" s="43"/>
      <c r="BY129" s="43"/>
      <c r="BZ129" s="43"/>
      <c r="CA129" s="34"/>
      <c r="CB129" s="34"/>
      <c r="CC129" s="34"/>
      <c r="CD129" s="34"/>
      <c r="CE129" s="43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</row>
    <row r="130" spans="2:118" ht="18.75" customHeight="1">
      <c r="B130" s="43"/>
      <c r="C130" s="34"/>
      <c r="D130" s="34"/>
      <c r="E130" s="34"/>
      <c r="F130" s="34"/>
      <c r="G130" s="34"/>
      <c r="H130" s="34"/>
      <c r="I130" s="34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43"/>
      <c r="BX130" s="43"/>
      <c r="BY130" s="43"/>
      <c r="BZ130" s="43"/>
      <c r="CA130" s="34"/>
      <c r="CB130" s="34"/>
      <c r="CC130" s="34"/>
      <c r="CD130" s="34"/>
      <c r="CE130" s="43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</row>
    <row r="131" spans="2:118" ht="18.75" customHeight="1">
      <c r="B131" s="43"/>
      <c r="C131" s="34"/>
      <c r="D131" s="34"/>
      <c r="E131" s="34"/>
      <c r="F131" s="34"/>
      <c r="G131" s="34"/>
      <c r="H131" s="34"/>
      <c r="I131" s="34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43"/>
      <c r="BX131" s="43"/>
      <c r="BY131" s="43"/>
      <c r="BZ131" s="43"/>
      <c r="CA131" s="34"/>
      <c r="CB131" s="34"/>
      <c r="CC131" s="34"/>
      <c r="CD131" s="34"/>
      <c r="CE131" s="43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</row>
    <row r="132" spans="2:118" ht="18.75" customHeight="1">
      <c r="B132" s="43"/>
      <c r="C132" s="34"/>
      <c r="D132" s="34"/>
      <c r="E132" s="34"/>
      <c r="F132" s="34"/>
      <c r="G132" s="34"/>
      <c r="H132" s="34"/>
      <c r="I132" s="34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43"/>
      <c r="BX132" s="43"/>
      <c r="BY132" s="43"/>
      <c r="BZ132" s="43"/>
      <c r="CA132" s="34"/>
      <c r="CB132" s="34"/>
      <c r="CC132" s="34"/>
      <c r="CD132" s="34"/>
      <c r="CE132" s="43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</row>
    <row r="133" spans="2:118" ht="18.75" customHeight="1">
      <c r="B133" s="43"/>
      <c r="C133" s="34"/>
      <c r="D133" s="34"/>
      <c r="E133" s="34"/>
      <c r="F133" s="34"/>
      <c r="G133" s="34"/>
      <c r="H133" s="34"/>
      <c r="I133" s="34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43"/>
      <c r="BX133" s="43"/>
      <c r="BY133" s="43"/>
      <c r="BZ133" s="43"/>
      <c r="CA133" s="34"/>
      <c r="CB133" s="34"/>
      <c r="CC133" s="34"/>
      <c r="CD133" s="34"/>
      <c r="CE133" s="43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</row>
    <row r="134" spans="2:118" ht="18.75" customHeight="1">
      <c r="B134" s="43"/>
      <c r="C134" s="34"/>
      <c r="D134" s="34"/>
      <c r="E134" s="34"/>
      <c r="F134" s="34"/>
      <c r="G134" s="34"/>
      <c r="H134" s="34"/>
      <c r="I134" s="34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43"/>
      <c r="BX134" s="43"/>
      <c r="BY134" s="43"/>
      <c r="BZ134" s="43"/>
      <c r="CA134" s="34"/>
      <c r="CB134" s="34"/>
      <c r="CC134" s="34"/>
      <c r="CD134" s="34"/>
      <c r="CE134" s="43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</row>
    <row r="135" spans="2:118" ht="18.75" customHeight="1">
      <c r="B135" s="43"/>
      <c r="C135" s="34"/>
      <c r="D135" s="34"/>
      <c r="E135" s="34"/>
      <c r="F135" s="34"/>
      <c r="G135" s="34"/>
      <c r="H135" s="34"/>
      <c r="I135" s="34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43"/>
      <c r="BX135" s="43"/>
      <c r="BY135" s="43"/>
      <c r="BZ135" s="43"/>
      <c r="CA135" s="34"/>
      <c r="CB135" s="34"/>
      <c r="CC135" s="34"/>
      <c r="CD135" s="34"/>
      <c r="CE135" s="43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</row>
    <row r="136" spans="2:118" ht="18.75" customHeight="1">
      <c r="B136" s="43"/>
      <c r="C136" s="34"/>
      <c r="D136" s="34"/>
      <c r="E136" s="34"/>
      <c r="F136" s="34"/>
      <c r="G136" s="34"/>
      <c r="H136" s="34"/>
      <c r="I136" s="34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43"/>
      <c r="BX136" s="43"/>
      <c r="BY136" s="43"/>
      <c r="BZ136" s="43"/>
      <c r="CA136" s="34"/>
      <c r="CB136" s="34"/>
      <c r="CC136" s="34"/>
      <c r="CD136" s="34"/>
      <c r="CE136" s="43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</row>
    <row r="137" spans="2:118" ht="18.75" customHeight="1">
      <c r="B137" s="43"/>
      <c r="C137" s="34"/>
      <c r="D137" s="34"/>
      <c r="E137" s="34"/>
      <c r="F137" s="34"/>
      <c r="G137" s="34"/>
      <c r="H137" s="34"/>
      <c r="I137" s="34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43"/>
      <c r="BX137" s="43"/>
      <c r="BY137" s="43"/>
      <c r="BZ137" s="43"/>
      <c r="CA137" s="34"/>
      <c r="CB137" s="34"/>
      <c r="CC137" s="34"/>
      <c r="CD137" s="34"/>
      <c r="CE137" s="43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</row>
    <row r="138" spans="2:118" ht="18.75" customHeight="1">
      <c r="B138" s="43"/>
      <c r="C138" s="34"/>
      <c r="D138" s="34"/>
      <c r="E138" s="34"/>
      <c r="F138" s="34"/>
      <c r="G138" s="34"/>
      <c r="H138" s="34"/>
      <c r="I138" s="34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43"/>
      <c r="BX138" s="43"/>
      <c r="BY138" s="43"/>
      <c r="BZ138" s="43"/>
      <c r="CA138" s="34"/>
      <c r="CB138" s="34"/>
      <c r="CC138" s="34"/>
      <c r="CD138" s="34"/>
      <c r="CE138" s="43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</row>
    <row r="139" spans="2:118" ht="18.75" customHeight="1">
      <c r="B139" s="43"/>
      <c r="C139" s="34"/>
      <c r="D139" s="34"/>
      <c r="E139" s="34"/>
      <c r="F139" s="34"/>
      <c r="G139" s="34"/>
      <c r="H139" s="34"/>
      <c r="I139" s="34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43"/>
      <c r="BX139" s="43"/>
      <c r="BY139" s="43"/>
      <c r="BZ139" s="43"/>
      <c r="CA139" s="34"/>
      <c r="CB139" s="34"/>
      <c r="CC139" s="34"/>
      <c r="CD139" s="34"/>
      <c r="CE139" s="43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</row>
    <row r="140" spans="2:118" ht="18.75" customHeight="1">
      <c r="B140" s="43"/>
      <c r="C140" s="34"/>
      <c r="D140" s="34"/>
      <c r="E140" s="34"/>
      <c r="F140" s="34"/>
      <c r="G140" s="34"/>
      <c r="H140" s="34"/>
      <c r="I140" s="34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43"/>
      <c r="BX140" s="43"/>
      <c r="BY140" s="43"/>
      <c r="BZ140" s="43"/>
      <c r="CA140" s="34"/>
      <c r="CB140" s="34"/>
      <c r="CC140" s="34"/>
      <c r="CD140" s="34"/>
      <c r="CE140" s="43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</row>
    <row r="141" spans="2:118" ht="18.75" customHeight="1">
      <c r="B141" s="43"/>
      <c r="C141" s="34"/>
      <c r="D141" s="34"/>
      <c r="E141" s="34"/>
      <c r="F141" s="34"/>
      <c r="G141" s="34"/>
      <c r="H141" s="34"/>
      <c r="I141" s="34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43"/>
      <c r="BX141" s="43"/>
      <c r="BY141" s="43"/>
      <c r="BZ141" s="43"/>
      <c r="CA141" s="34"/>
      <c r="CB141" s="34"/>
      <c r="CC141" s="34"/>
      <c r="CD141" s="34"/>
      <c r="CE141" s="43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</row>
    <row r="142" spans="2:118" ht="18.75" customHeight="1">
      <c r="B142" s="43"/>
      <c r="C142" s="34"/>
      <c r="D142" s="34"/>
      <c r="E142" s="34"/>
      <c r="F142" s="34"/>
      <c r="G142" s="34"/>
      <c r="H142" s="34"/>
      <c r="I142" s="34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43"/>
      <c r="BX142" s="43"/>
      <c r="BY142" s="43"/>
      <c r="BZ142" s="43"/>
      <c r="CA142" s="34"/>
      <c r="CB142" s="34"/>
      <c r="CC142" s="34"/>
      <c r="CD142" s="34"/>
      <c r="CE142" s="43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</row>
    <row r="143" spans="2:118" ht="18.75" customHeight="1">
      <c r="B143" s="43"/>
      <c r="C143" s="34"/>
      <c r="D143" s="34"/>
      <c r="E143" s="34"/>
      <c r="F143" s="34"/>
      <c r="G143" s="34"/>
      <c r="H143" s="34"/>
      <c r="I143" s="34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43"/>
      <c r="BX143" s="43"/>
      <c r="BY143" s="43"/>
      <c r="BZ143" s="43"/>
      <c r="CA143" s="34"/>
      <c r="CB143" s="34"/>
      <c r="CC143" s="34"/>
      <c r="CD143" s="34"/>
      <c r="CE143" s="43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</row>
    <row r="144" spans="2:118" ht="18.75" customHeight="1">
      <c r="B144" s="43"/>
      <c r="C144" s="34"/>
      <c r="D144" s="34"/>
      <c r="E144" s="34"/>
      <c r="F144" s="34"/>
      <c r="G144" s="34"/>
      <c r="H144" s="34"/>
      <c r="I144" s="34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43"/>
      <c r="BX144" s="43"/>
      <c r="BY144" s="43"/>
      <c r="BZ144" s="43"/>
      <c r="CA144" s="34"/>
      <c r="CB144" s="34"/>
      <c r="CC144" s="34"/>
      <c r="CD144" s="34"/>
      <c r="CE144" s="43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</row>
    <row r="145" spans="2:118" ht="18.75" customHeight="1">
      <c r="B145" s="43"/>
      <c r="C145" s="34"/>
      <c r="D145" s="34"/>
      <c r="E145" s="34"/>
      <c r="F145" s="34"/>
      <c r="G145" s="34"/>
      <c r="H145" s="34"/>
      <c r="I145" s="34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43"/>
      <c r="BX145" s="43"/>
      <c r="BY145" s="43"/>
      <c r="BZ145" s="43"/>
      <c r="CA145" s="34"/>
      <c r="CB145" s="34"/>
      <c r="CC145" s="34"/>
      <c r="CD145" s="34"/>
      <c r="CE145" s="43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</row>
    <row r="146" spans="2:118" ht="18.75" customHeight="1">
      <c r="B146" s="43"/>
      <c r="C146" s="34"/>
      <c r="D146" s="34"/>
      <c r="E146" s="34"/>
      <c r="F146" s="34"/>
      <c r="G146" s="34"/>
      <c r="H146" s="34"/>
      <c r="I146" s="34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43"/>
      <c r="BX146" s="43"/>
      <c r="BY146" s="43"/>
      <c r="BZ146" s="43"/>
      <c r="CA146" s="34"/>
      <c r="CB146" s="34"/>
      <c r="CC146" s="34"/>
      <c r="CD146" s="34"/>
      <c r="CE146" s="43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</row>
    <row r="147" spans="2:118" ht="18.75" customHeight="1">
      <c r="B147" s="43"/>
      <c r="C147" s="34"/>
      <c r="D147" s="34"/>
      <c r="E147" s="34"/>
      <c r="F147" s="34"/>
      <c r="G147" s="34"/>
      <c r="H147" s="34"/>
      <c r="I147" s="34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43"/>
      <c r="BX147" s="43"/>
      <c r="BY147" s="43"/>
      <c r="BZ147" s="43"/>
      <c r="CA147" s="34"/>
      <c r="CB147" s="34"/>
      <c r="CC147" s="34"/>
      <c r="CD147" s="34"/>
      <c r="CE147" s="43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</row>
    <row r="148" spans="2:118" ht="18.75" customHeight="1">
      <c r="B148" s="43"/>
      <c r="C148" s="34"/>
      <c r="D148" s="34"/>
      <c r="E148" s="34"/>
      <c r="F148" s="34"/>
      <c r="G148" s="34"/>
      <c r="H148" s="34"/>
      <c r="I148" s="34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43"/>
      <c r="BX148" s="43"/>
      <c r="BY148" s="43"/>
      <c r="BZ148" s="43"/>
      <c r="CA148" s="34"/>
      <c r="CB148" s="34"/>
      <c r="CC148" s="34"/>
      <c r="CD148" s="34"/>
      <c r="CE148" s="43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</row>
    <row r="149" spans="2:118" ht="18.75" customHeight="1">
      <c r="B149" s="43"/>
      <c r="C149" s="34"/>
      <c r="D149" s="34"/>
      <c r="E149" s="34"/>
      <c r="F149" s="34"/>
      <c r="G149" s="34"/>
      <c r="H149" s="34"/>
      <c r="I149" s="34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43"/>
      <c r="BX149" s="43"/>
      <c r="BY149" s="43"/>
      <c r="BZ149" s="43"/>
      <c r="CA149" s="34"/>
      <c r="CB149" s="34"/>
      <c r="CC149" s="34"/>
      <c r="CD149" s="34"/>
      <c r="CE149" s="43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</row>
    <row r="150" spans="2:118" ht="18.75" customHeight="1">
      <c r="B150" s="43"/>
      <c r="C150" s="34"/>
      <c r="D150" s="34"/>
      <c r="E150" s="34"/>
      <c r="F150" s="34"/>
      <c r="G150" s="34"/>
      <c r="H150" s="34"/>
      <c r="I150" s="34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43"/>
      <c r="BX150" s="43"/>
      <c r="BY150" s="43"/>
      <c r="BZ150" s="43"/>
      <c r="CA150" s="34"/>
      <c r="CB150" s="34"/>
      <c r="CC150" s="34"/>
      <c r="CD150" s="34"/>
      <c r="CE150" s="43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</row>
    <row r="151" spans="2:118" ht="18.75" customHeight="1">
      <c r="B151" s="43"/>
      <c r="C151" s="34"/>
      <c r="D151" s="34"/>
      <c r="E151" s="34"/>
      <c r="F151" s="34"/>
      <c r="G151" s="34"/>
      <c r="H151" s="34"/>
      <c r="I151" s="34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43"/>
      <c r="BX151" s="43"/>
      <c r="BY151" s="43"/>
      <c r="BZ151" s="43"/>
      <c r="CA151" s="34"/>
      <c r="CB151" s="34"/>
      <c r="CC151" s="34"/>
      <c r="CD151" s="34"/>
      <c r="CE151" s="43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</row>
    <row r="152" spans="2:118" ht="18.75" customHeight="1">
      <c r="B152" s="43"/>
      <c r="C152" s="34"/>
      <c r="D152" s="34"/>
      <c r="E152" s="34"/>
      <c r="F152" s="34"/>
      <c r="G152" s="34"/>
      <c r="H152" s="34"/>
      <c r="I152" s="34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43"/>
      <c r="BX152" s="43"/>
      <c r="BY152" s="43"/>
      <c r="BZ152" s="43"/>
      <c r="CA152" s="34"/>
      <c r="CB152" s="34"/>
      <c r="CC152" s="34"/>
      <c r="CD152" s="34"/>
      <c r="CE152" s="43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</row>
    <row r="153" spans="2:118" ht="18.75" customHeight="1">
      <c r="B153" s="43"/>
      <c r="C153" s="34"/>
      <c r="D153" s="34"/>
      <c r="E153" s="34"/>
      <c r="F153" s="34"/>
      <c r="G153" s="34"/>
      <c r="H153" s="34"/>
      <c r="I153" s="34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43"/>
      <c r="BX153" s="43"/>
      <c r="BY153" s="43"/>
      <c r="BZ153" s="43"/>
      <c r="CA153" s="34"/>
      <c r="CB153" s="34"/>
      <c r="CC153" s="34"/>
      <c r="CD153" s="34"/>
      <c r="CE153" s="43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</row>
    <row r="154" spans="2:118" ht="18.75" customHeight="1">
      <c r="B154" s="43"/>
      <c r="C154" s="34"/>
      <c r="D154" s="34"/>
      <c r="E154" s="34"/>
      <c r="F154" s="34"/>
      <c r="G154" s="34"/>
      <c r="H154" s="34"/>
      <c r="I154" s="34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43"/>
      <c r="BX154" s="43"/>
      <c r="BY154" s="43"/>
      <c r="BZ154" s="43"/>
      <c r="CA154" s="34"/>
      <c r="CB154" s="34"/>
      <c r="CC154" s="34"/>
      <c r="CD154" s="34"/>
      <c r="CE154" s="43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</row>
    <row r="155" spans="2:118" ht="18.75" customHeight="1">
      <c r="B155" s="43"/>
      <c r="C155" s="34"/>
      <c r="D155" s="34"/>
      <c r="E155" s="34"/>
      <c r="F155" s="34"/>
      <c r="G155" s="34"/>
      <c r="H155" s="34"/>
      <c r="I155" s="34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43"/>
      <c r="BX155" s="43"/>
      <c r="BY155" s="43"/>
      <c r="BZ155" s="43"/>
      <c r="CA155" s="34"/>
      <c r="CB155" s="34"/>
      <c r="CC155" s="34"/>
      <c r="CD155" s="34"/>
      <c r="CE155" s="43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</row>
    <row r="156" spans="2:118" ht="18.75" customHeight="1">
      <c r="B156" s="43"/>
      <c r="C156" s="34"/>
      <c r="D156" s="34"/>
      <c r="E156" s="34"/>
      <c r="F156" s="34"/>
      <c r="G156" s="34"/>
      <c r="H156" s="34"/>
      <c r="I156" s="34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43"/>
      <c r="BX156" s="43"/>
      <c r="BY156" s="43"/>
      <c r="BZ156" s="43"/>
      <c r="CA156" s="34"/>
      <c r="CB156" s="34"/>
      <c r="CC156" s="34"/>
      <c r="CD156" s="34"/>
      <c r="CE156" s="43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</row>
    <row r="157" spans="2:118" ht="18.75" customHeight="1">
      <c r="B157" s="43"/>
      <c r="C157" s="34"/>
      <c r="D157" s="34"/>
      <c r="E157" s="34"/>
      <c r="F157" s="34"/>
      <c r="G157" s="34"/>
      <c r="H157" s="34"/>
      <c r="I157" s="34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43"/>
      <c r="BX157" s="43"/>
      <c r="BY157" s="43"/>
      <c r="BZ157" s="43"/>
      <c r="CA157" s="34"/>
      <c r="CB157" s="34"/>
      <c r="CC157" s="34"/>
      <c r="CD157" s="34"/>
      <c r="CE157" s="43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</row>
    <row r="158" spans="2:118" ht="18.75" customHeight="1">
      <c r="B158" s="43"/>
      <c r="C158" s="34"/>
      <c r="D158" s="34"/>
      <c r="E158" s="34"/>
      <c r="F158" s="34"/>
      <c r="G158" s="34"/>
      <c r="H158" s="34"/>
      <c r="I158" s="34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43"/>
      <c r="BX158" s="43"/>
      <c r="BY158" s="43"/>
      <c r="BZ158" s="43"/>
      <c r="CA158" s="34"/>
      <c r="CB158" s="34"/>
      <c r="CC158" s="34"/>
      <c r="CD158" s="34"/>
      <c r="CE158" s="43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</row>
    <row r="159" spans="2:118" ht="18.75" customHeight="1">
      <c r="B159" s="43"/>
      <c r="C159" s="34"/>
      <c r="D159" s="34"/>
      <c r="E159" s="34"/>
      <c r="F159" s="34"/>
      <c r="G159" s="34"/>
      <c r="H159" s="34"/>
      <c r="I159" s="34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43"/>
      <c r="BX159" s="43"/>
      <c r="BY159" s="43"/>
      <c r="BZ159" s="43"/>
      <c r="CA159" s="34"/>
      <c r="CB159" s="34"/>
      <c r="CC159" s="34"/>
      <c r="CD159" s="34"/>
      <c r="CE159" s="43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</row>
    <row r="160" spans="2:118" ht="18.75" customHeight="1">
      <c r="B160" s="43"/>
      <c r="C160" s="34"/>
      <c r="D160" s="34"/>
      <c r="E160" s="34"/>
      <c r="F160" s="34"/>
      <c r="G160" s="34"/>
      <c r="H160" s="34"/>
      <c r="I160" s="34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43"/>
      <c r="BX160" s="43"/>
      <c r="BY160" s="43"/>
      <c r="BZ160" s="43"/>
      <c r="CA160" s="34"/>
      <c r="CB160" s="34"/>
      <c r="CC160" s="34"/>
      <c r="CD160" s="34"/>
      <c r="CE160" s="43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</row>
    <row r="161" spans="2:118" ht="18.75" customHeight="1">
      <c r="B161" s="43"/>
      <c r="C161" s="34"/>
      <c r="D161" s="34"/>
      <c r="E161" s="34"/>
      <c r="F161" s="34"/>
      <c r="G161" s="34"/>
      <c r="H161" s="34"/>
      <c r="I161" s="34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43"/>
      <c r="BX161" s="43"/>
      <c r="BY161" s="43"/>
      <c r="BZ161" s="43"/>
      <c r="CA161" s="34"/>
      <c r="CB161" s="34"/>
      <c r="CC161" s="34"/>
      <c r="CD161" s="34"/>
      <c r="CE161" s="43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</row>
    <row r="162" spans="2:118" ht="18.75" customHeight="1">
      <c r="B162" s="43"/>
      <c r="C162" s="34"/>
      <c r="D162" s="34"/>
      <c r="E162" s="34"/>
      <c r="F162" s="34"/>
      <c r="G162" s="34"/>
      <c r="H162" s="34"/>
      <c r="I162" s="34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43"/>
      <c r="BX162" s="43"/>
      <c r="BY162" s="43"/>
      <c r="BZ162" s="43"/>
      <c r="CA162" s="34"/>
      <c r="CB162" s="34"/>
      <c r="CC162" s="34"/>
      <c r="CD162" s="34"/>
      <c r="CE162" s="43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</row>
    <row r="163" spans="2:118" ht="18.75" customHeight="1">
      <c r="B163" s="43"/>
      <c r="C163" s="34"/>
      <c r="D163" s="34"/>
      <c r="E163" s="34"/>
      <c r="F163" s="34"/>
      <c r="G163" s="34"/>
      <c r="H163" s="34"/>
      <c r="I163" s="34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43"/>
      <c r="BX163" s="43"/>
      <c r="BY163" s="43"/>
      <c r="BZ163" s="43"/>
      <c r="CA163" s="34"/>
      <c r="CB163" s="34"/>
      <c r="CC163" s="34"/>
      <c r="CD163" s="34"/>
      <c r="CE163" s="43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</row>
    <row r="164" spans="2:118" ht="18.75" customHeight="1">
      <c r="B164" s="43"/>
      <c r="C164" s="34"/>
      <c r="D164" s="34"/>
      <c r="E164" s="34"/>
      <c r="F164" s="34"/>
      <c r="G164" s="34"/>
      <c r="H164" s="34"/>
      <c r="I164" s="34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43"/>
      <c r="BX164" s="43"/>
      <c r="BY164" s="43"/>
      <c r="BZ164" s="43"/>
      <c r="CA164" s="34"/>
      <c r="CB164" s="34"/>
      <c r="CC164" s="34"/>
      <c r="CD164" s="34"/>
      <c r="CE164" s="43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</row>
    <row r="165" spans="2:118" ht="18.75" customHeight="1">
      <c r="B165" s="43"/>
      <c r="C165" s="34"/>
      <c r="D165" s="34"/>
      <c r="E165" s="34"/>
      <c r="F165" s="34"/>
      <c r="G165" s="34"/>
      <c r="H165" s="34"/>
      <c r="I165" s="34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43"/>
      <c r="BX165" s="43"/>
      <c r="BY165" s="43"/>
      <c r="BZ165" s="43"/>
      <c r="CA165" s="34"/>
      <c r="CB165" s="34"/>
      <c r="CC165" s="34"/>
      <c r="CD165" s="34"/>
      <c r="CE165" s="43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</row>
    <row r="166" spans="2:118" ht="18.75" customHeight="1">
      <c r="B166" s="43"/>
      <c r="C166" s="34"/>
      <c r="D166" s="34"/>
      <c r="E166" s="34"/>
      <c r="F166" s="34"/>
      <c r="G166" s="34"/>
      <c r="H166" s="34"/>
      <c r="I166" s="34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43"/>
      <c r="BX166" s="43"/>
      <c r="BY166" s="43"/>
      <c r="BZ166" s="43"/>
      <c r="CA166" s="34"/>
      <c r="CB166" s="34"/>
      <c r="CC166" s="34"/>
      <c r="CD166" s="34"/>
      <c r="CE166" s="43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</row>
    <row r="167" spans="2:118" ht="18.75" customHeight="1">
      <c r="B167" s="43"/>
      <c r="C167" s="34"/>
      <c r="D167" s="34"/>
      <c r="E167" s="34"/>
      <c r="F167" s="34"/>
      <c r="G167" s="34"/>
      <c r="H167" s="34"/>
      <c r="I167" s="34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43"/>
      <c r="BX167" s="43"/>
      <c r="BY167" s="43"/>
      <c r="BZ167" s="43"/>
      <c r="CA167" s="34"/>
      <c r="CB167" s="34"/>
      <c r="CC167" s="34"/>
      <c r="CD167" s="34"/>
      <c r="CE167" s="43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</row>
    <row r="168" spans="2:118" ht="18.75" customHeight="1">
      <c r="B168" s="43"/>
      <c r="C168" s="34"/>
      <c r="D168" s="34"/>
      <c r="E168" s="34"/>
      <c r="F168" s="34"/>
      <c r="G168" s="34"/>
      <c r="H168" s="34"/>
      <c r="I168" s="34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43"/>
      <c r="BX168" s="43"/>
      <c r="BY168" s="43"/>
      <c r="BZ168" s="43"/>
      <c r="CA168" s="34"/>
      <c r="CB168" s="34"/>
      <c r="CC168" s="34"/>
      <c r="CD168" s="34"/>
      <c r="CE168" s="43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</row>
    <row r="169" spans="2:118" ht="18.75" customHeight="1">
      <c r="B169" s="43"/>
      <c r="C169" s="34"/>
      <c r="D169" s="34"/>
      <c r="E169" s="34"/>
      <c r="F169" s="34"/>
      <c r="G169" s="34"/>
      <c r="H169" s="34"/>
      <c r="I169" s="34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43"/>
      <c r="BX169" s="43"/>
      <c r="BY169" s="43"/>
      <c r="BZ169" s="43"/>
      <c r="CA169" s="34"/>
      <c r="CB169" s="34"/>
      <c r="CC169" s="34"/>
      <c r="CD169" s="34"/>
      <c r="CE169" s="43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</row>
    <row r="170" spans="2:118" ht="18.75" customHeight="1"/>
    <row r="171" spans="2:118" ht="18.75" customHeight="1"/>
    <row r="172" spans="2:118" ht="18.75" customHeight="1"/>
    <row r="173" spans="2:118" ht="18.75" customHeight="1"/>
    <row r="174" spans="2:118" ht="18.75" customHeight="1"/>
    <row r="175" spans="2:118" ht="18.75" customHeight="1"/>
    <row r="176" spans="2:118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7" width="19.625" style="36" customWidth="1"/>
    <col min="8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.625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2" style="36" customWidth="1"/>
    <col min="4" max="4" width="44.875" style="36" customWidth="1"/>
    <col min="5" max="5" width="22" style="36" customWidth="1"/>
    <col min="6" max="7" width="20.875" style="36" customWidth="1"/>
    <col min="8" max="8" width="23.625" style="36" customWidth="1"/>
    <col min="9" max="9" width="18.875" style="36" customWidth="1"/>
    <col min="10" max="10" width="26.25" style="36" customWidth="1"/>
    <col min="11" max="11" width="19" style="36" customWidth="1"/>
    <col min="12" max="13" width="18.875" style="36" customWidth="1"/>
    <col min="14" max="14" width="39.375" style="36" customWidth="1"/>
    <col min="15" max="15" width="20.875" style="36" customWidth="1"/>
    <col min="16" max="16" width="13.625" style="36" customWidth="1"/>
    <col min="17" max="17" width="12.625" style="36" customWidth="1"/>
    <col min="18" max="18" width="13.25" style="36" customWidth="1"/>
    <col min="19" max="19" width="16.375" style="36" customWidth="1"/>
    <col min="20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629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630</v>
      </c>
      <c r="F4" s="3" t="s">
        <v>632</v>
      </c>
      <c r="G4" s="3" t="s">
        <v>208</v>
      </c>
      <c r="H4" s="3" t="s">
        <v>199</v>
      </c>
      <c r="I4" s="3" t="s">
        <v>635</v>
      </c>
      <c r="J4" s="3" t="s">
        <v>637</v>
      </c>
      <c r="K4" s="3" t="s">
        <v>640</v>
      </c>
      <c r="L4" s="3" t="s">
        <v>642</v>
      </c>
      <c r="M4" s="3" t="s">
        <v>643</v>
      </c>
      <c r="N4" s="3" t="s">
        <v>797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625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631</v>
      </c>
      <c r="F9" s="9" t="s">
        <v>633</v>
      </c>
      <c r="G9" s="9" t="s">
        <v>830</v>
      </c>
      <c r="H9" s="5" t="s">
        <v>634</v>
      </c>
      <c r="I9" s="6" t="s">
        <v>638</v>
      </c>
      <c r="J9" s="6" t="s">
        <v>639</v>
      </c>
      <c r="K9" s="6" t="s">
        <v>641</v>
      </c>
      <c r="L9" s="6" t="s">
        <v>645</v>
      </c>
      <c r="M9" s="6" t="s">
        <v>644</v>
      </c>
      <c r="N9" s="6" t="s">
        <v>798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5" t="s">
        <v>12</v>
      </c>
      <c r="B10" s="5"/>
      <c r="C10" s="6"/>
      <c r="D10" s="6"/>
      <c r="E10" s="6" t="s">
        <v>763</v>
      </c>
      <c r="F10" s="6" t="s">
        <v>636</v>
      </c>
      <c r="G10" s="6" t="s">
        <v>794</v>
      </c>
      <c r="H10" s="6" t="s">
        <v>831</v>
      </c>
      <c r="I10" s="6"/>
      <c r="J10" s="6" t="s">
        <v>673</v>
      </c>
      <c r="K10" s="6"/>
      <c r="L10" s="6" t="s">
        <v>636</v>
      </c>
      <c r="M10" s="6" t="s">
        <v>646</v>
      </c>
      <c r="N10" s="6" t="s">
        <v>762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6" t="s">
        <v>107</v>
      </c>
      <c r="B11" s="26">
        <v>1</v>
      </c>
      <c r="C11" s="27" t="s">
        <v>647</v>
      </c>
      <c r="D11" s="27" t="s">
        <v>648</v>
      </c>
      <c r="E11" s="27">
        <v>1</v>
      </c>
      <c r="F11" s="27">
        <v>1</v>
      </c>
      <c r="G11" s="27">
        <v>2</v>
      </c>
      <c r="H11" s="27">
        <v>0</v>
      </c>
      <c r="I11" s="27" t="b">
        <v>0</v>
      </c>
      <c r="J11" s="27">
        <v>2</v>
      </c>
      <c r="K11" s="26">
        <v>0</v>
      </c>
      <c r="L11" s="26">
        <v>0</v>
      </c>
      <c r="M11" s="26">
        <v>0</v>
      </c>
      <c r="N11" s="26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6"/>
      <c r="B12" s="28">
        <v>2</v>
      </c>
      <c r="C12" s="27" t="s">
        <v>649</v>
      </c>
      <c r="D12" s="27" t="s">
        <v>661</v>
      </c>
      <c r="E12" s="27">
        <v>1</v>
      </c>
      <c r="F12" s="27">
        <v>1</v>
      </c>
      <c r="G12" s="27">
        <v>2</v>
      </c>
      <c r="H12" s="27">
        <v>0</v>
      </c>
      <c r="I12" s="27" t="b">
        <v>0</v>
      </c>
      <c r="J12" s="27">
        <v>3</v>
      </c>
      <c r="K12" s="26">
        <v>0</v>
      </c>
      <c r="L12" s="26">
        <v>0</v>
      </c>
      <c r="M12" s="26">
        <v>0</v>
      </c>
      <c r="N12" s="28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6"/>
      <c r="B13" s="28">
        <v>3</v>
      </c>
      <c r="C13" s="27" t="s">
        <v>674</v>
      </c>
      <c r="D13" s="27" t="s">
        <v>675</v>
      </c>
      <c r="E13" s="27">
        <v>1</v>
      </c>
      <c r="F13" s="27">
        <v>1</v>
      </c>
      <c r="G13" s="27">
        <v>2</v>
      </c>
      <c r="H13" s="27">
        <v>0</v>
      </c>
      <c r="I13" s="27" t="b">
        <v>0</v>
      </c>
      <c r="J13" s="27">
        <v>4</v>
      </c>
      <c r="K13" s="26">
        <v>0</v>
      </c>
      <c r="L13" s="26">
        <v>0</v>
      </c>
      <c r="M13" s="26">
        <v>0</v>
      </c>
      <c r="N13" s="26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6">
        <v>4</v>
      </c>
      <c r="C14" s="27" t="s">
        <v>650</v>
      </c>
      <c r="D14" s="27" t="s">
        <v>662</v>
      </c>
      <c r="E14" s="27">
        <v>1</v>
      </c>
      <c r="F14" s="27">
        <v>1</v>
      </c>
      <c r="G14" s="27">
        <v>2</v>
      </c>
      <c r="H14" s="27">
        <v>0</v>
      </c>
      <c r="I14" s="27" t="b">
        <v>0</v>
      </c>
      <c r="J14" s="27">
        <v>5</v>
      </c>
      <c r="K14" s="26">
        <v>0</v>
      </c>
      <c r="L14" s="26">
        <v>0</v>
      </c>
      <c r="M14" s="26">
        <v>0</v>
      </c>
      <c r="N14" s="28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8">
        <v>5</v>
      </c>
      <c r="C15" s="27" t="s">
        <v>651</v>
      </c>
      <c r="D15" s="27" t="s">
        <v>663</v>
      </c>
      <c r="E15" s="27">
        <v>1</v>
      </c>
      <c r="F15" s="27">
        <v>1</v>
      </c>
      <c r="G15" s="27">
        <v>2</v>
      </c>
      <c r="H15" s="27">
        <v>0</v>
      </c>
      <c r="I15" s="27" t="b">
        <v>0</v>
      </c>
      <c r="J15" s="27">
        <v>7</v>
      </c>
      <c r="K15" s="26">
        <v>0</v>
      </c>
      <c r="L15" s="26">
        <v>0</v>
      </c>
      <c r="M15" s="26">
        <v>0</v>
      </c>
      <c r="N15" s="26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8">
        <v>6</v>
      </c>
      <c r="C16" s="27" t="s">
        <v>652</v>
      </c>
      <c r="D16" s="27" t="s">
        <v>664</v>
      </c>
      <c r="E16" s="27">
        <v>1</v>
      </c>
      <c r="F16" s="27">
        <v>1</v>
      </c>
      <c r="G16" s="27">
        <v>2</v>
      </c>
      <c r="H16" s="27">
        <v>0</v>
      </c>
      <c r="I16" s="27" t="b">
        <v>0</v>
      </c>
      <c r="J16" s="27">
        <v>8</v>
      </c>
      <c r="K16" s="26">
        <v>0</v>
      </c>
      <c r="L16" s="26">
        <v>0</v>
      </c>
      <c r="M16" s="26">
        <v>0</v>
      </c>
      <c r="N16" s="28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6">
        <v>7</v>
      </c>
      <c r="C17" s="27" t="s">
        <v>653</v>
      </c>
      <c r="D17" s="27" t="s">
        <v>665</v>
      </c>
      <c r="E17" s="27">
        <v>1</v>
      </c>
      <c r="F17" s="27">
        <v>1</v>
      </c>
      <c r="G17" s="27">
        <v>2</v>
      </c>
      <c r="H17" s="27">
        <v>0</v>
      </c>
      <c r="I17" s="27" t="b">
        <v>0</v>
      </c>
      <c r="J17" s="27">
        <v>9</v>
      </c>
      <c r="K17" s="26">
        <v>0</v>
      </c>
      <c r="L17" s="26">
        <v>0</v>
      </c>
      <c r="M17" s="26">
        <v>0</v>
      </c>
      <c r="N17" s="26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8">
        <v>8</v>
      </c>
      <c r="C18" s="27" t="s">
        <v>654</v>
      </c>
      <c r="D18" s="27" t="s">
        <v>666</v>
      </c>
      <c r="E18" s="27">
        <v>1</v>
      </c>
      <c r="F18" s="27">
        <v>1</v>
      </c>
      <c r="G18" s="27">
        <v>2</v>
      </c>
      <c r="H18" s="27">
        <v>0</v>
      </c>
      <c r="I18" s="27" t="b">
        <v>0</v>
      </c>
      <c r="J18" s="27">
        <v>10</v>
      </c>
      <c r="K18" s="26">
        <v>0</v>
      </c>
      <c r="L18" s="26">
        <v>0</v>
      </c>
      <c r="M18" s="26">
        <v>0</v>
      </c>
      <c r="N18" s="28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8">
        <v>9</v>
      </c>
      <c r="C19" s="27" t="s">
        <v>655</v>
      </c>
      <c r="D19" s="27" t="s">
        <v>667</v>
      </c>
      <c r="E19" s="27">
        <v>1</v>
      </c>
      <c r="F19" s="27">
        <v>2</v>
      </c>
      <c r="G19" s="27">
        <v>2</v>
      </c>
      <c r="H19" s="27">
        <v>0</v>
      </c>
      <c r="I19" s="27" t="b">
        <v>0</v>
      </c>
      <c r="J19" s="27">
        <v>11</v>
      </c>
      <c r="K19" s="26">
        <v>0</v>
      </c>
      <c r="L19" s="26">
        <v>0</v>
      </c>
      <c r="M19" s="26">
        <v>0</v>
      </c>
      <c r="N19" s="26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6">
        <v>10</v>
      </c>
      <c r="C20" s="27" t="s">
        <v>656</v>
      </c>
      <c r="D20" s="27" t="s">
        <v>668</v>
      </c>
      <c r="E20" s="27">
        <v>1</v>
      </c>
      <c r="F20" s="27">
        <v>1</v>
      </c>
      <c r="G20" s="27">
        <v>2</v>
      </c>
      <c r="H20" s="27">
        <v>0</v>
      </c>
      <c r="I20" s="27" t="b">
        <v>0</v>
      </c>
      <c r="J20" s="27">
        <v>12</v>
      </c>
      <c r="K20" s="26">
        <v>0</v>
      </c>
      <c r="L20" s="26">
        <v>0</v>
      </c>
      <c r="M20" s="26">
        <v>0</v>
      </c>
      <c r="N20" s="28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8">
        <v>11</v>
      </c>
      <c r="C21" s="27" t="s">
        <v>676</v>
      </c>
      <c r="D21" s="27" t="s">
        <v>677</v>
      </c>
      <c r="E21" s="27">
        <v>1</v>
      </c>
      <c r="F21" s="27">
        <v>1</v>
      </c>
      <c r="G21" s="27">
        <v>2</v>
      </c>
      <c r="H21" s="27">
        <v>0</v>
      </c>
      <c r="I21" s="27" t="b">
        <v>0</v>
      </c>
      <c r="J21" s="27">
        <v>13</v>
      </c>
      <c r="K21" s="26">
        <v>0</v>
      </c>
      <c r="L21" s="26">
        <v>0</v>
      </c>
      <c r="M21" s="26">
        <v>0</v>
      </c>
      <c r="N21" s="26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8">
        <v>12</v>
      </c>
      <c r="C22" s="27" t="s">
        <v>657</v>
      </c>
      <c r="D22" s="27" t="s">
        <v>669</v>
      </c>
      <c r="E22" s="27">
        <v>1</v>
      </c>
      <c r="F22" s="27">
        <v>1</v>
      </c>
      <c r="G22" s="27">
        <v>2</v>
      </c>
      <c r="H22" s="27">
        <v>0</v>
      </c>
      <c r="I22" s="27" t="b">
        <v>0</v>
      </c>
      <c r="J22" s="27">
        <v>14</v>
      </c>
      <c r="K22" s="26">
        <v>0</v>
      </c>
      <c r="L22" s="26">
        <v>0</v>
      </c>
      <c r="M22" s="26">
        <v>0</v>
      </c>
      <c r="N22" s="28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6">
        <v>13</v>
      </c>
      <c r="C23" s="27" t="s">
        <v>658</v>
      </c>
      <c r="D23" s="27" t="s">
        <v>670</v>
      </c>
      <c r="E23" s="27">
        <v>1</v>
      </c>
      <c r="F23" s="27">
        <v>1</v>
      </c>
      <c r="G23" s="27">
        <v>2</v>
      </c>
      <c r="H23" s="27">
        <v>0</v>
      </c>
      <c r="I23" s="27" t="b">
        <v>0</v>
      </c>
      <c r="J23" s="27">
        <v>15</v>
      </c>
      <c r="K23" s="26">
        <v>0</v>
      </c>
      <c r="L23" s="26">
        <v>0</v>
      </c>
      <c r="M23" s="26">
        <v>0</v>
      </c>
      <c r="N23" s="26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8">
        <v>14</v>
      </c>
      <c r="C24" s="27" t="s">
        <v>659</v>
      </c>
      <c r="D24" s="27" t="s">
        <v>671</v>
      </c>
      <c r="E24" s="27">
        <v>1</v>
      </c>
      <c r="F24" s="27">
        <v>1</v>
      </c>
      <c r="G24" s="27">
        <v>2</v>
      </c>
      <c r="H24" s="27">
        <v>0</v>
      </c>
      <c r="I24" s="27" t="b">
        <v>0</v>
      </c>
      <c r="J24" s="27">
        <v>16</v>
      </c>
      <c r="K24" s="26">
        <v>0</v>
      </c>
      <c r="L24" s="26">
        <v>0</v>
      </c>
      <c r="M24" s="26">
        <v>0</v>
      </c>
      <c r="N24" s="28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8">
        <v>15</v>
      </c>
      <c r="C25" s="27" t="s">
        <v>660</v>
      </c>
      <c r="D25" s="27" t="s">
        <v>672</v>
      </c>
      <c r="E25" s="27">
        <v>1</v>
      </c>
      <c r="F25" s="27">
        <v>1</v>
      </c>
      <c r="G25" s="27">
        <v>2</v>
      </c>
      <c r="H25" s="27">
        <v>0</v>
      </c>
      <c r="I25" s="27" t="b">
        <v>0</v>
      </c>
      <c r="J25" s="27">
        <v>17</v>
      </c>
      <c r="K25" s="26">
        <v>0</v>
      </c>
      <c r="L25" s="26">
        <v>0</v>
      </c>
      <c r="M25" s="26">
        <v>0</v>
      </c>
      <c r="N25" s="26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6">
        <v>16</v>
      </c>
      <c r="C26" s="27" t="s">
        <v>784</v>
      </c>
      <c r="D26" s="27" t="s">
        <v>692</v>
      </c>
      <c r="E26" s="27">
        <v>2</v>
      </c>
      <c r="F26" s="27">
        <v>2</v>
      </c>
      <c r="G26" s="27">
        <v>2</v>
      </c>
      <c r="H26" s="27">
        <v>0</v>
      </c>
      <c r="I26" s="27" t="b">
        <v>0</v>
      </c>
      <c r="J26" s="27">
        <v>2</v>
      </c>
      <c r="K26" s="26">
        <v>0</v>
      </c>
      <c r="L26" s="26">
        <v>0</v>
      </c>
      <c r="M26" s="26">
        <v>0</v>
      </c>
      <c r="N26" s="28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8">
        <v>17</v>
      </c>
      <c r="C27" s="27" t="s">
        <v>678</v>
      </c>
      <c r="D27" s="27" t="s">
        <v>693</v>
      </c>
      <c r="E27" s="27">
        <v>2</v>
      </c>
      <c r="F27" s="27">
        <v>2</v>
      </c>
      <c r="G27" s="27">
        <v>2</v>
      </c>
      <c r="H27" s="27">
        <v>0</v>
      </c>
      <c r="I27" s="27" t="b">
        <v>0</v>
      </c>
      <c r="J27" s="27">
        <v>3</v>
      </c>
      <c r="K27" s="26">
        <v>0</v>
      </c>
      <c r="L27" s="26">
        <v>0</v>
      </c>
      <c r="M27" s="26">
        <v>0</v>
      </c>
      <c r="N27" s="26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8">
        <v>18</v>
      </c>
      <c r="C28" s="27" t="s">
        <v>679</v>
      </c>
      <c r="D28" s="27" t="s">
        <v>694</v>
      </c>
      <c r="E28" s="27">
        <v>2</v>
      </c>
      <c r="F28" s="27">
        <v>2</v>
      </c>
      <c r="G28" s="27">
        <v>2</v>
      </c>
      <c r="H28" s="27">
        <v>0</v>
      </c>
      <c r="I28" s="27" t="b">
        <v>0</v>
      </c>
      <c r="J28" s="27">
        <v>4</v>
      </c>
      <c r="K28" s="26">
        <v>0</v>
      </c>
      <c r="L28" s="26">
        <v>0</v>
      </c>
      <c r="M28" s="26">
        <v>0</v>
      </c>
      <c r="N28" s="28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6">
        <v>19</v>
      </c>
      <c r="C29" s="27" t="s">
        <v>680</v>
      </c>
      <c r="D29" s="27" t="s">
        <v>695</v>
      </c>
      <c r="E29" s="27">
        <v>2</v>
      </c>
      <c r="F29" s="27">
        <v>2</v>
      </c>
      <c r="G29" s="27">
        <v>2</v>
      </c>
      <c r="H29" s="27">
        <v>0</v>
      </c>
      <c r="I29" s="27" t="b">
        <v>0</v>
      </c>
      <c r="J29" s="27">
        <v>5</v>
      </c>
      <c r="K29" s="26">
        <v>0</v>
      </c>
      <c r="L29" s="26">
        <v>0</v>
      </c>
      <c r="M29" s="26">
        <v>0</v>
      </c>
      <c r="N29" s="26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8">
        <v>20</v>
      </c>
      <c r="C30" s="27" t="s">
        <v>681</v>
      </c>
      <c r="D30" s="27" t="s">
        <v>696</v>
      </c>
      <c r="E30" s="27">
        <v>2</v>
      </c>
      <c r="F30" s="27">
        <v>2</v>
      </c>
      <c r="G30" s="27">
        <v>2</v>
      </c>
      <c r="H30" s="27">
        <v>0</v>
      </c>
      <c r="I30" s="27" t="b">
        <v>0</v>
      </c>
      <c r="J30" s="27">
        <v>7</v>
      </c>
      <c r="K30" s="26">
        <v>0</v>
      </c>
      <c r="L30" s="26">
        <v>0</v>
      </c>
      <c r="M30" s="26">
        <v>0</v>
      </c>
      <c r="N30" s="28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8">
        <v>21</v>
      </c>
      <c r="C31" s="27" t="s">
        <v>682</v>
      </c>
      <c r="D31" s="27" t="s">
        <v>697</v>
      </c>
      <c r="E31" s="27">
        <v>2</v>
      </c>
      <c r="F31" s="27">
        <v>2</v>
      </c>
      <c r="G31" s="27">
        <v>2</v>
      </c>
      <c r="H31" s="27">
        <v>0</v>
      </c>
      <c r="I31" s="27" t="b">
        <v>0</v>
      </c>
      <c r="J31" s="27">
        <v>8</v>
      </c>
      <c r="K31" s="26">
        <v>0</v>
      </c>
      <c r="L31" s="26">
        <v>0</v>
      </c>
      <c r="M31" s="26">
        <v>0</v>
      </c>
      <c r="N31" s="26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6">
        <v>22</v>
      </c>
      <c r="C32" s="27" t="s">
        <v>683</v>
      </c>
      <c r="D32" s="27" t="s">
        <v>698</v>
      </c>
      <c r="E32" s="27">
        <v>2</v>
      </c>
      <c r="F32" s="27">
        <v>2</v>
      </c>
      <c r="G32" s="27">
        <v>2</v>
      </c>
      <c r="H32" s="27">
        <v>0</v>
      </c>
      <c r="I32" s="27" t="b">
        <v>0</v>
      </c>
      <c r="J32" s="27">
        <v>9</v>
      </c>
      <c r="K32" s="26">
        <v>0</v>
      </c>
      <c r="L32" s="26">
        <v>0</v>
      </c>
      <c r="M32" s="26">
        <v>0</v>
      </c>
      <c r="N32" s="28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8">
        <v>23</v>
      </c>
      <c r="C33" s="27" t="s">
        <v>684</v>
      </c>
      <c r="D33" s="27" t="s">
        <v>699</v>
      </c>
      <c r="E33" s="27">
        <v>2</v>
      </c>
      <c r="F33" s="27">
        <v>2</v>
      </c>
      <c r="G33" s="27">
        <v>2</v>
      </c>
      <c r="H33" s="27">
        <v>0</v>
      </c>
      <c r="I33" s="27" t="b">
        <v>0</v>
      </c>
      <c r="J33" s="27">
        <v>10</v>
      </c>
      <c r="K33" s="26">
        <v>0</v>
      </c>
      <c r="L33" s="26">
        <v>0</v>
      </c>
      <c r="M33" s="26">
        <v>0</v>
      </c>
      <c r="N33" s="26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8">
        <v>24</v>
      </c>
      <c r="C34" s="27" t="s">
        <v>685</v>
      </c>
      <c r="D34" s="27" t="s">
        <v>700</v>
      </c>
      <c r="E34" s="27">
        <v>2</v>
      </c>
      <c r="F34" s="27">
        <v>1</v>
      </c>
      <c r="G34" s="27">
        <v>2</v>
      </c>
      <c r="H34" s="27">
        <v>0</v>
      </c>
      <c r="I34" s="27" t="b">
        <v>0</v>
      </c>
      <c r="J34" s="27">
        <v>11</v>
      </c>
      <c r="K34" s="26">
        <v>0</v>
      </c>
      <c r="L34" s="26">
        <v>0</v>
      </c>
      <c r="M34" s="26">
        <v>0</v>
      </c>
      <c r="N34" s="28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6">
        <v>25</v>
      </c>
      <c r="C35" s="27" t="s">
        <v>686</v>
      </c>
      <c r="D35" s="27" t="s">
        <v>701</v>
      </c>
      <c r="E35" s="27">
        <v>2</v>
      </c>
      <c r="F35" s="27">
        <v>2</v>
      </c>
      <c r="G35" s="27">
        <v>2</v>
      </c>
      <c r="H35" s="27">
        <v>0</v>
      </c>
      <c r="I35" s="27" t="b">
        <v>0</v>
      </c>
      <c r="J35" s="27">
        <v>12</v>
      </c>
      <c r="K35" s="26">
        <v>0</v>
      </c>
      <c r="L35" s="26">
        <v>0</v>
      </c>
      <c r="M35" s="26">
        <v>0</v>
      </c>
      <c r="N35" s="26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8">
        <v>26</v>
      </c>
      <c r="C36" s="27" t="s">
        <v>687</v>
      </c>
      <c r="D36" s="27" t="s">
        <v>702</v>
      </c>
      <c r="E36" s="27">
        <v>2</v>
      </c>
      <c r="F36" s="27">
        <v>2</v>
      </c>
      <c r="G36" s="27">
        <v>2</v>
      </c>
      <c r="H36" s="27">
        <v>0</v>
      </c>
      <c r="I36" s="27" t="b">
        <v>0</v>
      </c>
      <c r="J36" s="27">
        <v>13</v>
      </c>
      <c r="K36" s="26">
        <v>0</v>
      </c>
      <c r="L36" s="26">
        <v>0</v>
      </c>
      <c r="M36" s="26">
        <v>0</v>
      </c>
      <c r="N36" s="28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8">
        <v>27</v>
      </c>
      <c r="C37" s="27" t="s">
        <v>688</v>
      </c>
      <c r="D37" s="27" t="s">
        <v>703</v>
      </c>
      <c r="E37" s="27">
        <v>2</v>
      </c>
      <c r="F37" s="27">
        <v>2</v>
      </c>
      <c r="G37" s="27">
        <v>2</v>
      </c>
      <c r="H37" s="27">
        <v>0</v>
      </c>
      <c r="I37" s="27" t="b">
        <v>0</v>
      </c>
      <c r="J37" s="27">
        <v>14</v>
      </c>
      <c r="K37" s="26">
        <v>0</v>
      </c>
      <c r="L37" s="26">
        <v>0</v>
      </c>
      <c r="M37" s="26">
        <v>0</v>
      </c>
      <c r="N37" s="26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6">
        <v>28</v>
      </c>
      <c r="C38" s="27" t="s">
        <v>689</v>
      </c>
      <c r="D38" s="27" t="s">
        <v>704</v>
      </c>
      <c r="E38" s="27">
        <v>2</v>
      </c>
      <c r="F38" s="27">
        <v>2</v>
      </c>
      <c r="G38" s="27">
        <v>2</v>
      </c>
      <c r="H38" s="27">
        <v>0</v>
      </c>
      <c r="I38" s="27" t="b">
        <v>0</v>
      </c>
      <c r="J38" s="27">
        <v>15</v>
      </c>
      <c r="K38" s="26">
        <v>0</v>
      </c>
      <c r="L38" s="26">
        <v>0</v>
      </c>
      <c r="M38" s="26">
        <v>0</v>
      </c>
      <c r="N38" s="28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8">
        <v>29</v>
      </c>
      <c r="C39" s="27" t="s">
        <v>690</v>
      </c>
      <c r="D39" s="27" t="s">
        <v>705</v>
      </c>
      <c r="E39" s="27">
        <v>2</v>
      </c>
      <c r="F39" s="27">
        <v>2</v>
      </c>
      <c r="G39" s="27">
        <v>2</v>
      </c>
      <c r="H39" s="27">
        <v>0</v>
      </c>
      <c r="I39" s="27" t="b">
        <v>0</v>
      </c>
      <c r="J39" s="27">
        <v>16</v>
      </c>
      <c r="K39" s="26">
        <v>0</v>
      </c>
      <c r="L39" s="26">
        <v>0</v>
      </c>
      <c r="M39" s="26">
        <v>0</v>
      </c>
      <c r="N39" s="26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8">
        <v>30</v>
      </c>
      <c r="C40" s="27" t="s">
        <v>691</v>
      </c>
      <c r="D40" s="27" t="s">
        <v>706</v>
      </c>
      <c r="E40" s="27">
        <v>2</v>
      </c>
      <c r="F40" s="27">
        <v>2</v>
      </c>
      <c r="G40" s="27">
        <v>2</v>
      </c>
      <c r="H40" s="27">
        <v>0</v>
      </c>
      <c r="I40" s="27" t="b">
        <v>0</v>
      </c>
      <c r="J40" s="27">
        <v>17</v>
      </c>
      <c r="K40" s="26">
        <v>0</v>
      </c>
      <c r="L40" s="26">
        <v>0</v>
      </c>
      <c r="M40" s="26">
        <v>0</v>
      </c>
      <c r="N40" s="28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6">
        <v>31</v>
      </c>
      <c r="C41" s="28" t="s">
        <v>708</v>
      </c>
      <c r="D41" s="28" t="s">
        <v>715</v>
      </c>
      <c r="E41" s="28">
        <v>3</v>
      </c>
      <c r="F41" s="28">
        <v>2</v>
      </c>
      <c r="G41" s="27">
        <v>2</v>
      </c>
      <c r="H41" s="27">
        <v>0</v>
      </c>
      <c r="I41" s="28" t="b">
        <v>0</v>
      </c>
      <c r="J41" s="28">
        <v>0</v>
      </c>
      <c r="K41" s="28">
        <v>0</v>
      </c>
      <c r="L41" s="28">
        <v>0</v>
      </c>
      <c r="M41" s="28">
        <v>0</v>
      </c>
      <c r="N41" s="26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8">
        <v>32</v>
      </c>
      <c r="C42" s="28" t="s">
        <v>707</v>
      </c>
      <c r="D42" s="28" t="s">
        <v>716</v>
      </c>
      <c r="E42" s="28">
        <v>3</v>
      </c>
      <c r="F42" s="28">
        <v>2</v>
      </c>
      <c r="G42" s="27">
        <v>2</v>
      </c>
      <c r="H42" s="27">
        <v>0</v>
      </c>
      <c r="I42" s="28" t="b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709</v>
      </c>
      <c r="D43" s="7" t="s">
        <v>717</v>
      </c>
      <c r="E43" s="7">
        <v>3</v>
      </c>
      <c r="F43" s="7">
        <v>2</v>
      </c>
      <c r="G43" s="27">
        <v>2</v>
      </c>
      <c r="H43" s="27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6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710</v>
      </c>
      <c r="D44" s="7" t="s">
        <v>718</v>
      </c>
      <c r="E44" s="7">
        <v>3</v>
      </c>
      <c r="F44" s="7">
        <v>2</v>
      </c>
      <c r="G44" s="27">
        <v>2</v>
      </c>
      <c r="H44" s="27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8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711</v>
      </c>
      <c r="D45" s="7" t="s">
        <v>719</v>
      </c>
      <c r="E45" s="7">
        <v>3</v>
      </c>
      <c r="F45" s="7">
        <v>2</v>
      </c>
      <c r="G45" s="27">
        <v>2</v>
      </c>
      <c r="H45" s="27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6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712</v>
      </c>
      <c r="D46" s="7" t="s">
        <v>720</v>
      </c>
      <c r="E46" s="7">
        <v>4</v>
      </c>
      <c r="F46" s="7">
        <v>2</v>
      </c>
      <c r="G46" s="27">
        <v>2</v>
      </c>
      <c r="H46" s="27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8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713</v>
      </c>
      <c r="D47" s="7" t="s">
        <v>721</v>
      </c>
      <c r="E47" s="7">
        <v>5</v>
      </c>
      <c r="F47" s="7">
        <v>2</v>
      </c>
      <c r="G47" s="27">
        <v>2</v>
      </c>
      <c r="H47" s="27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6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714</v>
      </c>
      <c r="D48" s="7" t="s">
        <v>722</v>
      </c>
      <c r="E48" s="7">
        <v>6</v>
      </c>
      <c r="F48" s="7">
        <v>2</v>
      </c>
      <c r="G48" s="27">
        <v>2</v>
      </c>
      <c r="H48" s="27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8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723</v>
      </c>
      <c r="D49" s="7" t="s">
        <v>724</v>
      </c>
      <c r="E49" s="7">
        <v>7</v>
      </c>
      <c r="F49" s="7">
        <v>1</v>
      </c>
      <c r="G49" s="27">
        <v>2</v>
      </c>
      <c r="H49" s="27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6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726</v>
      </c>
      <c r="D50" s="7" t="s">
        <v>725</v>
      </c>
      <c r="E50" s="7">
        <v>8</v>
      </c>
      <c r="F50" s="7">
        <v>1</v>
      </c>
      <c r="G50" s="27">
        <v>2</v>
      </c>
      <c r="H50" s="27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8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727</v>
      </c>
      <c r="D51" s="7" t="s">
        <v>764</v>
      </c>
      <c r="E51" s="7">
        <v>8</v>
      </c>
      <c r="F51" s="7">
        <v>1</v>
      </c>
      <c r="G51" s="27">
        <v>2</v>
      </c>
      <c r="H51" s="27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6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728</v>
      </c>
      <c r="D52" s="7" t="s">
        <v>765</v>
      </c>
      <c r="E52" s="7">
        <v>8</v>
      </c>
      <c r="F52" s="7">
        <v>1</v>
      </c>
      <c r="G52" s="27">
        <v>2</v>
      </c>
      <c r="H52" s="27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8">
        <v>0</v>
      </c>
      <c r="O52" s="13"/>
    </row>
    <row r="53" spans="1:42" ht="18.75" customHeight="1">
      <c r="B53" s="5">
        <v>43</v>
      </c>
      <c r="C53" s="7" t="s">
        <v>729</v>
      </c>
      <c r="D53" s="7" t="s">
        <v>766</v>
      </c>
      <c r="E53" s="7">
        <v>8</v>
      </c>
      <c r="F53" s="7">
        <v>1</v>
      </c>
      <c r="G53" s="27">
        <v>2</v>
      </c>
      <c r="H53" s="27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6">
        <v>0</v>
      </c>
      <c r="O53" s="13"/>
    </row>
    <row r="54" spans="1:42" ht="18.75" customHeight="1">
      <c r="B54" s="7">
        <v>44</v>
      </c>
      <c r="C54" s="7" t="s">
        <v>730</v>
      </c>
      <c r="D54" s="7" t="s">
        <v>767</v>
      </c>
      <c r="E54" s="7">
        <v>8</v>
      </c>
      <c r="F54" s="7">
        <v>1</v>
      </c>
      <c r="G54" s="27">
        <v>2</v>
      </c>
      <c r="H54" s="27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8">
        <v>0</v>
      </c>
      <c r="O54" s="13"/>
    </row>
    <row r="55" spans="1:42" ht="18.75" customHeight="1">
      <c r="B55" s="7">
        <v>45</v>
      </c>
      <c r="C55" s="7" t="s">
        <v>731</v>
      </c>
      <c r="D55" s="7" t="s">
        <v>768</v>
      </c>
      <c r="E55" s="7">
        <v>8</v>
      </c>
      <c r="F55" s="7">
        <v>1</v>
      </c>
      <c r="G55" s="27">
        <v>2</v>
      </c>
      <c r="H55" s="27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6">
        <v>0</v>
      </c>
      <c r="O55" s="13"/>
    </row>
    <row r="56" spans="1:42" ht="18.75" customHeight="1">
      <c r="B56" s="5">
        <v>46</v>
      </c>
      <c r="C56" s="7" t="s">
        <v>732</v>
      </c>
      <c r="D56" s="7" t="s">
        <v>769</v>
      </c>
      <c r="E56" s="7">
        <v>8</v>
      </c>
      <c r="F56" s="7">
        <v>1</v>
      </c>
      <c r="G56" s="27">
        <v>2</v>
      </c>
      <c r="H56" s="27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8">
        <v>0</v>
      </c>
      <c r="O56" s="13"/>
    </row>
    <row r="57" spans="1:42" ht="18.75" customHeight="1">
      <c r="B57" s="7">
        <v>47</v>
      </c>
      <c r="C57" s="7" t="s">
        <v>733</v>
      </c>
      <c r="D57" s="7" t="s">
        <v>770</v>
      </c>
      <c r="E57" s="7">
        <v>8</v>
      </c>
      <c r="F57" s="7">
        <v>1</v>
      </c>
      <c r="G57" s="27">
        <v>2</v>
      </c>
      <c r="H57" s="27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6">
        <v>0</v>
      </c>
      <c r="O57" s="13"/>
    </row>
    <row r="58" spans="1:42" ht="18.75" customHeight="1">
      <c r="B58" s="7">
        <v>48</v>
      </c>
      <c r="C58" s="7" t="s">
        <v>785</v>
      </c>
      <c r="D58" s="7" t="s">
        <v>734</v>
      </c>
      <c r="E58" s="7">
        <v>9</v>
      </c>
      <c r="F58" s="7">
        <v>1</v>
      </c>
      <c r="G58" s="27">
        <v>2</v>
      </c>
      <c r="H58" s="27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8">
        <v>0</v>
      </c>
      <c r="O58" s="13"/>
    </row>
    <row r="59" spans="1:42" ht="18.75" customHeight="1">
      <c r="B59" s="5">
        <v>49</v>
      </c>
      <c r="C59" s="7" t="s">
        <v>786</v>
      </c>
      <c r="D59" s="7" t="s">
        <v>735</v>
      </c>
      <c r="E59" s="7">
        <v>9</v>
      </c>
      <c r="F59" s="7">
        <v>1</v>
      </c>
      <c r="G59" s="27">
        <v>2</v>
      </c>
      <c r="H59" s="27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6">
        <v>0</v>
      </c>
      <c r="O59" s="13"/>
    </row>
    <row r="60" spans="1:42" ht="18.75" customHeight="1">
      <c r="B60" s="7">
        <v>50</v>
      </c>
      <c r="C60" s="7" t="s">
        <v>736</v>
      </c>
      <c r="D60" s="7" t="s">
        <v>744</v>
      </c>
      <c r="E60" s="7">
        <v>11</v>
      </c>
      <c r="F60" s="7">
        <v>1</v>
      </c>
      <c r="G60" s="27">
        <v>2</v>
      </c>
      <c r="H60" s="27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8">
        <v>0</v>
      </c>
      <c r="O60" s="13"/>
    </row>
    <row r="61" spans="1:42" ht="18.75" customHeight="1">
      <c r="B61" s="7">
        <v>51</v>
      </c>
      <c r="C61" s="7" t="s">
        <v>737</v>
      </c>
      <c r="D61" s="7" t="s">
        <v>745</v>
      </c>
      <c r="E61" s="7">
        <v>11</v>
      </c>
      <c r="F61" s="7">
        <v>1</v>
      </c>
      <c r="G61" s="27">
        <v>2</v>
      </c>
      <c r="H61" s="27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6">
        <v>0</v>
      </c>
      <c r="O61" s="13"/>
    </row>
    <row r="62" spans="1:42" ht="18.75" customHeight="1">
      <c r="B62" s="5">
        <v>52</v>
      </c>
      <c r="C62" s="7" t="s">
        <v>738</v>
      </c>
      <c r="D62" s="7" t="s">
        <v>746</v>
      </c>
      <c r="E62" s="7">
        <v>11</v>
      </c>
      <c r="F62" s="7">
        <v>1</v>
      </c>
      <c r="G62" s="27">
        <v>2</v>
      </c>
      <c r="H62" s="27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8">
        <v>0</v>
      </c>
      <c r="O62" s="13"/>
    </row>
    <row r="63" spans="1:42" ht="18.75" customHeight="1">
      <c r="B63" s="7">
        <v>53</v>
      </c>
      <c r="C63" s="7" t="s">
        <v>739</v>
      </c>
      <c r="D63" s="7" t="s">
        <v>747</v>
      </c>
      <c r="E63" s="7">
        <v>11</v>
      </c>
      <c r="F63" s="7">
        <v>1</v>
      </c>
      <c r="G63" s="27">
        <v>2</v>
      </c>
      <c r="H63" s="27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6">
        <v>0</v>
      </c>
      <c r="O63" s="13"/>
    </row>
    <row r="64" spans="1:42" ht="18.75" customHeight="1">
      <c r="B64" s="7">
        <v>54</v>
      </c>
      <c r="C64" s="7" t="s">
        <v>740</v>
      </c>
      <c r="D64" s="7" t="s">
        <v>748</v>
      </c>
      <c r="E64" s="7">
        <v>11</v>
      </c>
      <c r="F64" s="7">
        <v>1</v>
      </c>
      <c r="G64" s="27">
        <v>2</v>
      </c>
      <c r="H64" s="27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8">
        <v>0</v>
      </c>
      <c r="O64" s="13"/>
    </row>
    <row r="65" spans="2:15" ht="18.75" customHeight="1">
      <c r="B65" s="5">
        <v>55</v>
      </c>
      <c r="C65" s="7" t="s">
        <v>741</v>
      </c>
      <c r="D65" s="7" t="s">
        <v>749</v>
      </c>
      <c r="E65" s="7">
        <v>11</v>
      </c>
      <c r="F65" s="7">
        <v>1</v>
      </c>
      <c r="G65" s="27">
        <v>2</v>
      </c>
      <c r="H65" s="27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6">
        <v>0</v>
      </c>
      <c r="O65" s="13"/>
    </row>
    <row r="66" spans="2:15" ht="18.75" customHeight="1">
      <c r="B66" s="7">
        <v>56</v>
      </c>
      <c r="C66" s="7" t="s">
        <v>742</v>
      </c>
      <c r="D66" s="7" t="s">
        <v>750</v>
      </c>
      <c r="E66" s="7">
        <v>11</v>
      </c>
      <c r="F66" s="7">
        <v>1</v>
      </c>
      <c r="G66" s="27">
        <v>2</v>
      </c>
      <c r="H66" s="27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8">
        <v>0</v>
      </c>
      <c r="O66" s="13"/>
    </row>
    <row r="67" spans="2:15" ht="18.75" customHeight="1">
      <c r="B67" s="7">
        <v>57</v>
      </c>
      <c r="C67" s="7" t="s">
        <v>743</v>
      </c>
      <c r="D67" s="7" t="s">
        <v>751</v>
      </c>
      <c r="E67" s="7">
        <v>11</v>
      </c>
      <c r="F67" s="7">
        <v>1</v>
      </c>
      <c r="G67" s="27">
        <v>2</v>
      </c>
      <c r="H67" s="27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6">
        <v>0</v>
      </c>
      <c r="O67" s="13"/>
    </row>
    <row r="68" spans="2:15" ht="18.75" customHeight="1">
      <c r="B68" s="5">
        <v>58</v>
      </c>
      <c r="C68" s="7" t="s">
        <v>752</v>
      </c>
      <c r="D68" s="7" t="s">
        <v>753</v>
      </c>
      <c r="E68" s="7">
        <v>10</v>
      </c>
      <c r="F68" s="7">
        <v>1</v>
      </c>
      <c r="G68" s="27">
        <v>2</v>
      </c>
      <c r="H68" s="27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8">
        <v>0</v>
      </c>
      <c r="O68" s="13"/>
    </row>
    <row r="69" spans="2:15" ht="18.75" customHeight="1">
      <c r="B69" s="7">
        <v>59</v>
      </c>
      <c r="C69" s="7" t="s">
        <v>754</v>
      </c>
      <c r="D69" s="7" t="s">
        <v>758</v>
      </c>
      <c r="E69" s="7">
        <v>10</v>
      </c>
      <c r="F69" s="7">
        <v>1</v>
      </c>
      <c r="G69" s="27">
        <v>2</v>
      </c>
      <c r="H69" s="27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6">
        <v>0</v>
      </c>
      <c r="O69" s="13"/>
    </row>
    <row r="70" spans="2:15" ht="18.75" customHeight="1">
      <c r="B70" s="7">
        <v>60</v>
      </c>
      <c r="C70" s="7" t="s">
        <v>755</v>
      </c>
      <c r="D70" s="7" t="s">
        <v>759</v>
      </c>
      <c r="E70" s="7">
        <v>10</v>
      </c>
      <c r="F70" s="7">
        <v>1</v>
      </c>
      <c r="G70" s="27">
        <v>2</v>
      </c>
      <c r="H70" s="27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8">
        <v>0</v>
      </c>
      <c r="O70" s="13"/>
    </row>
    <row r="71" spans="2:15" ht="18.75" customHeight="1">
      <c r="B71" s="5">
        <v>61</v>
      </c>
      <c r="C71" s="7" t="s">
        <v>756</v>
      </c>
      <c r="D71" s="7" t="s">
        <v>760</v>
      </c>
      <c r="E71" s="7">
        <v>10</v>
      </c>
      <c r="F71" s="7">
        <v>1</v>
      </c>
      <c r="G71" s="27">
        <v>2</v>
      </c>
      <c r="H71" s="27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6">
        <v>0</v>
      </c>
      <c r="O71" s="13"/>
    </row>
    <row r="72" spans="2:15" ht="18.75" customHeight="1">
      <c r="B72" s="7">
        <v>62</v>
      </c>
      <c r="C72" s="7" t="s">
        <v>757</v>
      </c>
      <c r="D72" s="7" t="s">
        <v>761</v>
      </c>
      <c r="E72" s="7">
        <v>10</v>
      </c>
      <c r="F72" s="7">
        <v>1</v>
      </c>
      <c r="G72" s="27">
        <v>2</v>
      </c>
      <c r="H72" s="27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8">
        <v>0</v>
      </c>
      <c r="O72" s="13"/>
    </row>
    <row r="73" spans="2:15" ht="18.75" customHeight="1">
      <c r="B73" s="7">
        <v>63</v>
      </c>
      <c r="C73" s="7" t="s">
        <v>787</v>
      </c>
      <c r="D73" s="7" t="s">
        <v>791</v>
      </c>
      <c r="E73" s="7">
        <v>14</v>
      </c>
      <c r="F73" s="7">
        <v>2</v>
      </c>
      <c r="G73" s="27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6">
        <v>1</v>
      </c>
      <c r="O73" s="13"/>
    </row>
    <row r="74" spans="2:15" ht="18.75" customHeight="1">
      <c r="B74" s="5">
        <v>64</v>
      </c>
      <c r="C74" s="7" t="s">
        <v>788</v>
      </c>
      <c r="D74" s="7" t="s">
        <v>791</v>
      </c>
      <c r="E74" s="7">
        <v>14</v>
      </c>
      <c r="F74" s="7">
        <v>2</v>
      </c>
      <c r="G74" s="27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8">
        <v>1</v>
      </c>
      <c r="O74" s="13"/>
    </row>
    <row r="75" spans="2:15" ht="18.75" customHeight="1">
      <c r="B75" s="7">
        <v>65</v>
      </c>
      <c r="C75" s="7" t="s">
        <v>789</v>
      </c>
      <c r="D75" s="7" t="s">
        <v>791</v>
      </c>
      <c r="E75" s="7">
        <v>14</v>
      </c>
      <c r="F75" s="7">
        <v>2</v>
      </c>
      <c r="G75" s="27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6">
        <v>1</v>
      </c>
      <c r="O75" s="13"/>
    </row>
    <row r="76" spans="2:15" ht="18.75" customHeight="1">
      <c r="B76" s="7">
        <v>66</v>
      </c>
      <c r="C76" s="7" t="s">
        <v>790</v>
      </c>
      <c r="D76" s="7" t="s">
        <v>792</v>
      </c>
      <c r="E76" s="7">
        <v>14</v>
      </c>
      <c r="F76" s="7">
        <v>1</v>
      </c>
      <c r="G76" s="27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8">
        <v>2</v>
      </c>
      <c r="O76" s="13"/>
    </row>
    <row r="77" spans="2:15" ht="18.75" customHeight="1">
      <c r="B77" s="5">
        <v>67</v>
      </c>
      <c r="C77" s="7" t="s">
        <v>862</v>
      </c>
      <c r="D77" s="7" t="s">
        <v>861</v>
      </c>
      <c r="E77" s="7">
        <v>8</v>
      </c>
      <c r="F77" s="7">
        <v>1</v>
      </c>
      <c r="G77" s="27">
        <v>2</v>
      </c>
      <c r="H77" s="27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8">
        <v>0</v>
      </c>
      <c r="O77" s="13"/>
    </row>
    <row r="78" spans="2:15" ht="18.75" customHeight="1">
      <c r="B78" s="7">
        <v>68</v>
      </c>
      <c r="C78" s="7" t="s">
        <v>863</v>
      </c>
      <c r="D78" s="7" t="s">
        <v>866</v>
      </c>
      <c r="E78" s="7">
        <v>8</v>
      </c>
      <c r="F78" s="7">
        <v>1</v>
      </c>
      <c r="G78" s="27">
        <v>2</v>
      </c>
      <c r="H78" s="27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8">
        <v>0</v>
      </c>
      <c r="O78" s="13"/>
    </row>
    <row r="79" spans="2:15" ht="18.75" customHeight="1">
      <c r="B79" s="7">
        <v>69</v>
      </c>
      <c r="C79" s="7" t="s">
        <v>864</v>
      </c>
      <c r="D79" s="7" t="s">
        <v>867</v>
      </c>
      <c r="E79" s="7">
        <v>8</v>
      </c>
      <c r="F79" s="7">
        <v>1</v>
      </c>
      <c r="G79" s="27">
        <v>2</v>
      </c>
      <c r="H79" s="27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8">
        <v>0</v>
      </c>
      <c r="O79" s="13"/>
    </row>
    <row r="80" spans="2:15" ht="18.75" customHeight="1">
      <c r="B80" s="5">
        <v>70</v>
      </c>
      <c r="C80" s="7" t="s">
        <v>865</v>
      </c>
      <c r="D80" s="7" t="s">
        <v>868</v>
      </c>
      <c r="E80" s="7">
        <v>8</v>
      </c>
      <c r="F80" s="7">
        <v>1</v>
      </c>
      <c r="G80" s="27">
        <v>2</v>
      </c>
      <c r="H80" s="27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8">
        <v>0</v>
      </c>
      <c r="O80" s="13"/>
    </row>
    <row r="81" spans="2:15" ht="18.75" customHeight="1">
      <c r="B81" s="7">
        <v>71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5" style="36" customWidth="1"/>
    <col min="3" max="3" width="24.375" style="36" customWidth="1"/>
    <col min="4" max="4" width="94.25" style="36" customWidth="1"/>
    <col min="5" max="7" width="18.875" style="36" customWidth="1"/>
    <col min="8" max="8" width="28.625" style="36" customWidth="1"/>
    <col min="9" max="9" width="17.625" style="36" customWidth="1"/>
    <col min="10" max="11" width="18.875" style="36" customWidth="1"/>
    <col min="12" max="12" width="25.625" style="36" customWidth="1"/>
    <col min="13" max="20" width="18.875" style="36" customWidth="1"/>
    <col min="21" max="21" width="17" style="36" customWidth="1"/>
    <col min="22" max="22" width="12.625" style="36" customWidth="1"/>
    <col min="23" max="23" width="25.75" style="36" customWidth="1"/>
    <col min="24" max="46" width="12.625" style="36" customWidth="1"/>
    <col min="47" max="16384" width="12.625" style="36"/>
  </cols>
  <sheetData>
    <row r="1" spans="1:46" ht="12" customHeight="1"/>
    <row r="2" spans="1:46" ht="40.5" customHeight="1">
      <c r="A2" s="55" t="s">
        <v>0</v>
      </c>
      <c r="B2" s="7" t="s">
        <v>192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</row>
    <row r="3" spans="1:46" ht="18.75" customHeight="1">
      <c r="A3" s="1"/>
      <c r="B3" s="30" t="s">
        <v>1</v>
      </c>
      <c r="C3" s="30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879</v>
      </c>
      <c r="G4" s="3" t="s">
        <v>213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5" t="s">
        <v>5</v>
      </c>
      <c r="B6" s="3"/>
      <c r="C6" s="3"/>
      <c r="D6" s="3"/>
      <c r="E6" s="3"/>
      <c r="F6" s="3"/>
      <c r="G6" s="3" t="s">
        <v>196</v>
      </c>
      <c r="H6" s="3" t="s">
        <v>199</v>
      </c>
      <c r="I6" s="3" t="s">
        <v>855</v>
      </c>
      <c r="J6" s="3" t="s">
        <v>208</v>
      </c>
      <c r="K6" s="3" t="s">
        <v>616</v>
      </c>
      <c r="L6" s="3" t="s">
        <v>194</v>
      </c>
      <c r="M6" s="3" t="s">
        <v>195</v>
      </c>
      <c r="N6" s="3" t="s">
        <v>197</v>
      </c>
      <c r="O6" s="3" t="s">
        <v>618</v>
      </c>
      <c r="P6" s="3" t="s">
        <v>620</v>
      </c>
      <c r="Q6" s="3" t="s">
        <v>622</v>
      </c>
      <c r="R6" s="3" t="s">
        <v>217</v>
      </c>
      <c r="S6" s="3" t="s">
        <v>627</v>
      </c>
      <c r="T6" s="3" t="s">
        <v>198</v>
      </c>
      <c r="U6" s="3" t="s">
        <v>624</v>
      </c>
      <c r="V6" s="3" t="s">
        <v>196</v>
      </c>
      <c r="W6" s="3" t="s">
        <v>199</v>
      </c>
      <c r="X6" s="3" t="s">
        <v>208</v>
      </c>
      <c r="Y6" s="3" t="s">
        <v>616</v>
      </c>
      <c r="Z6" s="3" t="s">
        <v>194</v>
      </c>
      <c r="AA6" s="3" t="s">
        <v>195</v>
      </c>
      <c r="AB6" s="3" t="s">
        <v>197</v>
      </c>
      <c r="AC6" s="3" t="s">
        <v>618</v>
      </c>
      <c r="AD6" s="3" t="s">
        <v>620</v>
      </c>
      <c r="AE6" s="3" t="s">
        <v>622</v>
      </c>
      <c r="AF6" s="3" t="s">
        <v>217</v>
      </c>
      <c r="AG6" s="3" t="s">
        <v>627</v>
      </c>
      <c r="AH6" s="3" t="s">
        <v>198</v>
      </c>
      <c r="AI6" s="3" t="s">
        <v>624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7</v>
      </c>
      <c r="H8" s="4" t="s">
        <v>20</v>
      </c>
      <c r="I8" s="4" t="s">
        <v>856</v>
      </c>
      <c r="J8" s="4" t="s">
        <v>173</v>
      </c>
      <c r="K8" s="4" t="s">
        <v>173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173</v>
      </c>
      <c r="Q8" s="4" t="s">
        <v>173</v>
      </c>
      <c r="R8" s="4" t="s">
        <v>173</v>
      </c>
      <c r="S8" s="4" t="s">
        <v>173</v>
      </c>
      <c r="T8" s="4" t="s">
        <v>7</v>
      </c>
      <c r="U8" s="4" t="s">
        <v>625</v>
      </c>
      <c r="V8" s="4" t="s">
        <v>7</v>
      </c>
      <c r="W8" s="4" t="s">
        <v>20</v>
      </c>
      <c r="X8" s="4" t="s">
        <v>173</v>
      </c>
      <c r="Y8" s="4" t="s">
        <v>173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7</v>
      </c>
      <c r="AI8" s="4" t="s">
        <v>625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5" t="s">
        <v>10</v>
      </c>
      <c r="B9" s="5" t="s">
        <v>1425</v>
      </c>
      <c r="C9" s="5" t="s">
        <v>200</v>
      </c>
      <c r="D9" s="6" t="s">
        <v>201</v>
      </c>
      <c r="E9" s="6" t="s">
        <v>209</v>
      </c>
      <c r="F9" s="6" t="s">
        <v>880</v>
      </c>
      <c r="G9" s="5" t="s">
        <v>205</v>
      </c>
      <c r="H9" s="6" t="s">
        <v>202</v>
      </c>
      <c r="I9" s="6" t="s">
        <v>857</v>
      </c>
      <c r="J9" s="6" t="s">
        <v>209</v>
      </c>
      <c r="K9" s="6" t="s">
        <v>617</v>
      </c>
      <c r="L9" s="6" t="s">
        <v>203</v>
      </c>
      <c r="M9" s="5" t="s">
        <v>204</v>
      </c>
      <c r="N9" s="6" t="s">
        <v>206</v>
      </c>
      <c r="O9" s="6" t="s">
        <v>619</v>
      </c>
      <c r="P9" s="6" t="s">
        <v>621</v>
      </c>
      <c r="Q9" s="6" t="s">
        <v>623</v>
      </c>
      <c r="R9" s="6" t="s">
        <v>218</v>
      </c>
      <c r="S9" s="6" t="s">
        <v>628</v>
      </c>
      <c r="T9" s="6" t="s">
        <v>207</v>
      </c>
      <c r="U9" s="6" t="s">
        <v>626</v>
      </c>
      <c r="V9" s="5" t="s">
        <v>205</v>
      </c>
      <c r="W9" s="6" t="s">
        <v>202</v>
      </c>
      <c r="X9" s="6" t="s">
        <v>209</v>
      </c>
      <c r="Y9" s="6" t="s">
        <v>617</v>
      </c>
      <c r="Z9" s="6" t="s">
        <v>203</v>
      </c>
      <c r="AA9" s="5" t="s">
        <v>204</v>
      </c>
      <c r="AB9" s="6" t="s">
        <v>206</v>
      </c>
      <c r="AC9" s="6" t="s">
        <v>619</v>
      </c>
      <c r="AD9" s="6" t="s">
        <v>621</v>
      </c>
      <c r="AE9" s="6" t="s">
        <v>623</v>
      </c>
      <c r="AF9" s="6" t="s">
        <v>218</v>
      </c>
      <c r="AG9" s="6" t="s">
        <v>628</v>
      </c>
      <c r="AH9" s="6" t="s">
        <v>207</v>
      </c>
      <c r="AI9" s="6" t="s">
        <v>626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327.75" customHeight="1">
      <c r="A10" s="55" t="s">
        <v>12</v>
      </c>
      <c r="B10" s="6" t="s">
        <v>1284</v>
      </c>
      <c r="C10" s="6"/>
      <c r="D10" s="6"/>
      <c r="E10" s="6" t="s">
        <v>794</v>
      </c>
      <c r="F10" s="6" t="s">
        <v>881</v>
      </c>
      <c r="G10" s="6" t="s">
        <v>762</v>
      </c>
      <c r="H10" s="6" t="s">
        <v>837</v>
      </c>
      <c r="I10" s="6"/>
      <c r="J10" s="6" t="s">
        <v>1274</v>
      </c>
      <c r="K10" s="6"/>
      <c r="L10" s="6" t="s">
        <v>882</v>
      </c>
      <c r="M10" s="6" t="s">
        <v>878</v>
      </c>
      <c r="N10" s="6"/>
      <c r="O10" s="6"/>
      <c r="P10" s="6" t="s">
        <v>878</v>
      </c>
      <c r="Q10" s="6"/>
      <c r="R10" s="5"/>
      <c r="S10" s="5"/>
      <c r="T10" s="6" t="s">
        <v>211</v>
      </c>
      <c r="U10" s="5"/>
      <c r="V10" s="6" t="s">
        <v>762</v>
      </c>
      <c r="W10" s="6" t="s">
        <v>837</v>
      </c>
      <c r="X10" s="6" t="s">
        <v>1274</v>
      </c>
      <c r="Y10" s="6"/>
      <c r="Z10" s="6" t="s">
        <v>793</v>
      </c>
      <c r="AA10" s="6" t="s">
        <v>878</v>
      </c>
      <c r="AB10" s="6"/>
      <c r="AC10" s="6"/>
      <c r="AD10" s="6" t="s">
        <v>878</v>
      </c>
      <c r="AE10" s="6"/>
      <c r="AF10" s="5"/>
      <c r="AG10" s="5"/>
      <c r="AH10" s="6" t="s">
        <v>211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6" t="s">
        <v>107</v>
      </c>
      <c r="B11" s="5">
        <v>100010001</v>
      </c>
      <c r="C11" s="6" t="s">
        <v>345</v>
      </c>
      <c r="D11" s="6" t="s">
        <v>414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6"/>
      <c r="B12" s="5">
        <v>100010002</v>
      </c>
      <c r="C12" s="6" t="s">
        <v>1285</v>
      </c>
      <c r="D12" s="6" t="s">
        <v>414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20.100000000000001" customHeight="1">
      <c r="A13" s="56"/>
      <c r="B13" s="5">
        <v>100010003</v>
      </c>
      <c r="C13" s="6" t="s">
        <v>1286</v>
      </c>
      <c r="D13" s="6" t="s">
        <v>414</v>
      </c>
      <c r="E13" s="6">
        <v>2</v>
      </c>
      <c r="F13" s="6">
        <v>0</v>
      </c>
      <c r="G13" s="6">
        <v>1</v>
      </c>
      <c r="H13" s="6">
        <v>25</v>
      </c>
      <c r="I13" s="6">
        <v>0</v>
      </c>
      <c r="J13" s="6">
        <v>2</v>
      </c>
      <c r="K13" s="6">
        <v>30</v>
      </c>
      <c r="L13" s="6">
        <v>14</v>
      </c>
      <c r="M13" s="6">
        <v>2</v>
      </c>
      <c r="N13" s="6">
        <v>67</v>
      </c>
      <c r="O13" s="6" t="b">
        <v>0</v>
      </c>
      <c r="P13" s="6">
        <v>0</v>
      </c>
      <c r="Q13" s="6">
        <v>0</v>
      </c>
      <c r="R13" s="5">
        <v>1</v>
      </c>
      <c r="S13" s="5">
        <v>0</v>
      </c>
      <c r="T13" s="5">
        <v>0</v>
      </c>
      <c r="U13" s="5" t="b">
        <v>1</v>
      </c>
      <c r="V13" s="5"/>
      <c r="W13" s="5"/>
      <c r="X13" s="5"/>
      <c r="Y13" s="5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ht="18.75" customHeight="1">
      <c r="A14" s="56"/>
      <c r="B14" s="7">
        <v>200010001</v>
      </c>
      <c r="C14" s="6" t="s">
        <v>346</v>
      </c>
      <c r="D14" s="10" t="s">
        <v>795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6"/>
      <c r="B15" s="7">
        <v>200010002</v>
      </c>
      <c r="C15" s="6" t="s">
        <v>1287</v>
      </c>
      <c r="D15" s="10" t="s">
        <v>795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56"/>
      <c r="B16" s="7">
        <v>200010003</v>
      </c>
      <c r="C16" s="6" t="s">
        <v>1288</v>
      </c>
      <c r="D16" s="10" t="s">
        <v>795</v>
      </c>
      <c r="E16" s="7">
        <v>4</v>
      </c>
      <c r="F16" s="7">
        <v>1</v>
      </c>
      <c r="G16" s="7">
        <v>3</v>
      </c>
      <c r="H16" s="7">
        <v>6</v>
      </c>
      <c r="I16" s="6">
        <v>0</v>
      </c>
      <c r="J16" s="7">
        <v>4</v>
      </c>
      <c r="K16" s="6">
        <v>100</v>
      </c>
      <c r="L16" s="7">
        <v>1</v>
      </c>
      <c r="M16" s="10">
        <v>0</v>
      </c>
      <c r="N16" s="7">
        <v>64</v>
      </c>
      <c r="O16" s="6" t="b">
        <v>0</v>
      </c>
      <c r="P16" s="6">
        <v>0</v>
      </c>
      <c r="Q16" s="6">
        <v>0</v>
      </c>
      <c r="R16" s="7">
        <v>3</v>
      </c>
      <c r="S16" s="5">
        <v>2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300010001</v>
      </c>
      <c r="C17" s="6" t="s">
        <v>347</v>
      </c>
      <c r="D17" s="10" t="s">
        <v>415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300010002</v>
      </c>
      <c r="C18" s="6" t="s">
        <v>1289</v>
      </c>
      <c r="D18" s="10" t="s">
        <v>415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300010003</v>
      </c>
      <c r="C19" s="6" t="s">
        <v>1357</v>
      </c>
      <c r="D19" s="10" t="s">
        <v>415</v>
      </c>
      <c r="E19" s="7">
        <v>2</v>
      </c>
      <c r="F19" s="6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5</v>
      </c>
      <c r="O19" s="6" t="b">
        <v>0</v>
      </c>
      <c r="P19" s="6">
        <v>0</v>
      </c>
      <c r="Q19" s="6">
        <v>0</v>
      </c>
      <c r="R19" s="7">
        <v>3</v>
      </c>
      <c r="S19" s="5">
        <v>16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400010001</v>
      </c>
      <c r="C20" s="6" t="s">
        <v>348</v>
      </c>
      <c r="D20" s="10" t="s">
        <v>416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400010002</v>
      </c>
      <c r="C21" s="6" t="s">
        <v>1290</v>
      </c>
      <c r="D21" s="10" t="s">
        <v>416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400010003</v>
      </c>
      <c r="C22" s="6" t="s">
        <v>1358</v>
      </c>
      <c r="D22" s="10" t="s">
        <v>416</v>
      </c>
      <c r="E22" s="7">
        <v>2</v>
      </c>
      <c r="F22" s="7">
        <v>0</v>
      </c>
      <c r="G22" s="7">
        <v>3</v>
      </c>
      <c r="H22" s="7">
        <v>24</v>
      </c>
      <c r="I22" s="6">
        <v>0</v>
      </c>
      <c r="J22" s="7">
        <v>2</v>
      </c>
      <c r="K22" s="6">
        <v>100</v>
      </c>
      <c r="L22" s="7">
        <v>30</v>
      </c>
      <c r="M22" s="7">
        <v>0</v>
      </c>
      <c r="N22" s="7">
        <v>3</v>
      </c>
      <c r="O22" s="6" t="b">
        <v>0</v>
      </c>
      <c r="P22" s="6">
        <v>0</v>
      </c>
      <c r="Q22" s="6">
        <v>0</v>
      </c>
      <c r="R22" s="7">
        <v>3</v>
      </c>
      <c r="S22" s="5">
        <v>22</v>
      </c>
      <c r="T22" s="7">
        <v>3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7">
        <v>500010001</v>
      </c>
      <c r="C23" s="6" t="s">
        <v>349</v>
      </c>
      <c r="D23" s="10" t="s">
        <v>796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500010002</v>
      </c>
      <c r="C24" s="6" t="s">
        <v>1291</v>
      </c>
      <c r="D24" s="10" t="s">
        <v>796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500010003</v>
      </c>
      <c r="C25" s="6" t="s">
        <v>1359</v>
      </c>
      <c r="D25" s="10" t="s">
        <v>796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30</v>
      </c>
      <c r="L25" s="7">
        <v>14</v>
      </c>
      <c r="M25" s="7">
        <v>2</v>
      </c>
      <c r="N25" s="7">
        <v>20</v>
      </c>
      <c r="O25" s="6" t="b">
        <v>0</v>
      </c>
      <c r="P25" s="6">
        <v>0</v>
      </c>
      <c r="Q25" s="6">
        <v>0</v>
      </c>
      <c r="R25" s="7">
        <v>3</v>
      </c>
      <c r="S25" s="5">
        <v>64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600010001</v>
      </c>
      <c r="C26" s="6" t="s">
        <v>350</v>
      </c>
      <c r="D26" s="10" t="s">
        <v>801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600010002</v>
      </c>
      <c r="C27" s="6" t="s">
        <v>1292</v>
      </c>
      <c r="D27" s="10" t="s">
        <v>801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600010003</v>
      </c>
      <c r="C28" s="6" t="s">
        <v>1360</v>
      </c>
      <c r="D28" s="10" t="s">
        <v>801</v>
      </c>
      <c r="E28" s="6">
        <v>2</v>
      </c>
      <c r="F28" s="7">
        <v>0</v>
      </c>
      <c r="G28" s="6">
        <v>3</v>
      </c>
      <c r="H28" s="6">
        <v>16</v>
      </c>
      <c r="I28" s="6">
        <v>0</v>
      </c>
      <c r="J28" s="6">
        <v>2</v>
      </c>
      <c r="K28" s="6">
        <v>100</v>
      </c>
      <c r="L28" s="6">
        <v>30</v>
      </c>
      <c r="M28" s="6">
        <v>2</v>
      </c>
      <c r="N28" s="6">
        <v>18</v>
      </c>
      <c r="O28" s="6" t="b">
        <v>0</v>
      </c>
      <c r="P28" s="6">
        <v>0</v>
      </c>
      <c r="Q28" s="6">
        <v>0</v>
      </c>
      <c r="R28" s="5">
        <v>3</v>
      </c>
      <c r="S28" s="5">
        <v>63</v>
      </c>
      <c r="T28" s="5">
        <v>2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700010001</v>
      </c>
      <c r="C29" s="6" t="s">
        <v>351</v>
      </c>
      <c r="D29" s="10" t="s">
        <v>802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700010002</v>
      </c>
      <c r="C30" s="6" t="s">
        <v>1293</v>
      </c>
      <c r="D30" s="10" t="s">
        <v>802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5">
        <v>700010003</v>
      </c>
      <c r="C31" s="6" t="s">
        <v>1361</v>
      </c>
      <c r="D31" s="10" t="s">
        <v>802</v>
      </c>
      <c r="E31" s="7">
        <v>2</v>
      </c>
      <c r="F31" s="6">
        <v>0</v>
      </c>
      <c r="G31" s="7">
        <v>2</v>
      </c>
      <c r="H31" s="7">
        <v>24</v>
      </c>
      <c r="I31" s="6">
        <v>0</v>
      </c>
      <c r="J31" s="7">
        <v>5</v>
      </c>
      <c r="K31" s="6">
        <v>100</v>
      </c>
      <c r="L31" s="7">
        <v>1</v>
      </c>
      <c r="M31" s="7">
        <v>4</v>
      </c>
      <c r="N31" s="7">
        <v>25</v>
      </c>
      <c r="O31" s="6" t="b">
        <v>0</v>
      </c>
      <c r="P31" s="6">
        <v>0</v>
      </c>
      <c r="Q31" s="6">
        <v>0</v>
      </c>
      <c r="R31" s="7">
        <v>49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7">
        <v>800010001</v>
      </c>
      <c r="C32" s="6" t="s">
        <v>352</v>
      </c>
      <c r="D32" s="6" t="s">
        <v>414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800010002</v>
      </c>
      <c r="C33" s="6" t="s">
        <v>1294</v>
      </c>
      <c r="D33" s="6" t="s">
        <v>414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800010003</v>
      </c>
      <c r="C34" s="6" t="s">
        <v>1362</v>
      </c>
      <c r="D34" s="6" t="s">
        <v>414</v>
      </c>
      <c r="E34" s="7">
        <v>2</v>
      </c>
      <c r="F34" s="7">
        <v>0</v>
      </c>
      <c r="G34" s="7">
        <v>1</v>
      </c>
      <c r="H34" s="7">
        <v>25</v>
      </c>
      <c r="I34" s="6">
        <v>0</v>
      </c>
      <c r="J34" s="7">
        <v>2</v>
      </c>
      <c r="K34" s="6">
        <v>100</v>
      </c>
      <c r="L34" s="7">
        <v>14</v>
      </c>
      <c r="M34" s="7">
        <v>2</v>
      </c>
      <c r="N34" s="7">
        <v>67</v>
      </c>
      <c r="O34" s="6" t="b">
        <v>0</v>
      </c>
      <c r="P34" s="6">
        <v>0</v>
      </c>
      <c r="Q34" s="6">
        <v>0</v>
      </c>
      <c r="R34" s="7">
        <v>1</v>
      </c>
      <c r="S34" s="5">
        <v>0</v>
      </c>
      <c r="T34" s="7">
        <v>0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900010001</v>
      </c>
      <c r="C35" s="6" t="s">
        <v>353</v>
      </c>
      <c r="D35" s="10" t="s">
        <v>822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900010002</v>
      </c>
      <c r="C36" s="6" t="s">
        <v>1295</v>
      </c>
      <c r="D36" s="10" t="s">
        <v>822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900010003</v>
      </c>
      <c r="C37" s="6" t="s">
        <v>1363</v>
      </c>
      <c r="D37" s="10" t="s">
        <v>822</v>
      </c>
      <c r="E37" s="7">
        <v>4</v>
      </c>
      <c r="F37" s="6">
        <v>1</v>
      </c>
      <c r="G37" s="7">
        <v>3</v>
      </c>
      <c r="H37" s="7">
        <v>6</v>
      </c>
      <c r="I37" s="6">
        <v>0</v>
      </c>
      <c r="J37" s="7">
        <v>4</v>
      </c>
      <c r="K37" s="6">
        <v>100</v>
      </c>
      <c r="L37" s="7">
        <v>1</v>
      </c>
      <c r="M37" s="7">
        <v>0</v>
      </c>
      <c r="N37" s="7">
        <v>64</v>
      </c>
      <c r="O37" s="6" t="b">
        <v>0</v>
      </c>
      <c r="P37" s="6">
        <v>0</v>
      </c>
      <c r="Q37" s="6">
        <v>0</v>
      </c>
      <c r="R37" s="7">
        <v>3</v>
      </c>
      <c r="S37" s="5">
        <v>1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1000010001</v>
      </c>
      <c r="C38" s="6" t="s">
        <v>354</v>
      </c>
      <c r="D38" s="10" t="s">
        <v>415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1000010002</v>
      </c>
      <c r="C39" s="6" t="s">
        <v>1296</v>
      </c>
      <c r="D39" s="10" t="s">
        <v>415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5">
        <v>1000010003</v>
      </c>
      <c r="C40" s="6" t="s">
        <v>1364</v>
      </c>
      <c r="D40" s="10" t="s">
        <v>415</v>
      </c>
      <c r="E40" s="7">
        <v>2</v>
      </c>
      <c r="F40" s="7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16</v>
      </c>
      <c r="T40" s="7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7">
        <v>1100010001</v>
      </c>
      <c r="C41" s="6" t="s">
        <v>355</v>
      </c>
      <c r="D41" s="10" t="s">
        <v>416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1100010002</v>
      </c>
      <c r="C42" s="6" t="s">
        <v>1297</v>
      </c>
      <c r="D42" s="10" t="s">
        <v>416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1100010003</v>
      </c>
      <c r="C43" s="6" t="s">
        <v>1365</v>
      </c>
      <c r="D43" s="10" t="s">
        <v>416</v>
      </c>
      <c r="E43" s="6">
        <v>2</v>
      </c>
      <c r="F43" s="6">
        <v>0</v>
      </c>
      <c r="G43" s="6">
        <v>3</v>
      </c>
      <c r="H43" s="6">
        <v>24</v>
      </c>
      <c r="I43" s="6">
        <v>0</v>
      </c>
      <c r="J43" s="6">
        <v>2</v>
      </c>
      <c r="K43" s="6">
        <v>100</v>
      </c>
      <c r="L43" s="6">
        <v>30</v>
      </c>
      <c r="M43" s="6">
        <v>0</v>
      </c>
      <c r="N43" s="6">
        <v>5</v>
      </c>
      <c r="O43" s="6" t="b">
        <v>0</v>
      </c>
      <c r="P43" s="6">
        <v>0</v>
      </c>
      <c r="Q43" s="6">
        <v>0</v>
      </c>
      <c r="R43" s="5">
        <v>3</v>
      </c>
      <c r="S43" s="5">
        <v>22</v>
      </c>
      <c r="T43" s="5">
        <v>3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1200010001</v>
      </c>
      <c r="C44" s="6" t="s">
        <v>356</v>
      </c>
      <c r="D44" s="10" t="s">
        <v>418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1200010002</v>
      </c>
      <c r="C45" s="6" t="s">
        <v>1298</v>
      </c>
      <c r="D45" s="10" t="s">
        <v>418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1200010003</v>
      </c>
      <c r="C46" s="6" t="s">
        <v>1366</v>
      </c>
      <c r="D46" s="10" t="s">
        <v>418</v>
      </c>
      <c r="E46" s="7">
        <v>2</v>
      </c>
      <c r="F46" s="7">
        <v>0</v>
      </c>
      <c r="G46" s="7">
        <v>3</v>
      </c>
      <c r="H46" s="7">
        <v>25</v>
      </c>
      <c r="I46" s="6">
        <v>0</v>
      </c>
      <c r="J46" s="7">
        <v>2</v>
      </c>
      <c r="K46" s="6">
        <v>30</v>
      </c>
      <c r="L46" s="7">
        <v>14</v>
      </c>
      <c r="M46" s="7">
        <v>2</v>
      </c>
      <c r="N46" s="7">
        <v>20</v>
      </c>
      <c r="O46" s="6" t="b">
        <v>0</v>
      </c>
      <c r="P46" s="6">
        <v>0</v>
      </c>
      <c r="Q46" s="6">
        <v>0</v>
      </c>
      <c r="R46" s="7">
        <v>1</v>
      </c>
      <c r="S46" s="5">
        <v>64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1300010001</v>
      </c>
      <c r="C47" s="6" t="s">
        <v>357</v>
      </c>
      <c r="D47" s="10" t="s">
        <v>417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1300010002</v>
      </c>
      <c r="C48" s="6" t="s">
        <v>1299</v>
      </c>
      <c r="D48" s="10" t="s">
        <v>417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1300010003</v>
      </c>
      <c r="C49" s="6" t="s">
        <v>1367</v>
      </c>
      <c r="D49" s="10" t="s">
        <v>417</v>
      </c>
      <c r="E49" s="7">
        <v>2</v>
      </c>
      <c r="F49" s="6">
        <v>0</v>
      </c>
      <c r="G49" s="7">
        <v>3</v>
      </c>
      <c r="H49" s="7">
        <v>16</v>
      </c>
      <c r="I49" s="6">
        <v>0</v>
      </c>
      <c r="J49" s="7">
        <v>2</v>
      </c>
      <c r="K49" s="6">
        <v>100</v>
      </c>
      <c r="L49" s="7">
        <v>30</v>
      </c>
      <c r="M49" s="7">
        <v>2</v>
      </c>
      <c r="N49" s="7">
        <v>18</v>
      </c>
      <c r="O49" s="6" t="b">
        <v>0</v>
      </c>
      <c r="P49" s="6">
        <v>0</v>
      </c>
      <c r="Q49" s="6">
        <v>0</v>
      </c>
      <c r="R49" s="7">
        <v>1</v>
      </c>
      <c r="S49" s="5">
        <v>65</v>
      </c>
      <c r="T49" s="7">
        <v>2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7">
        <v>1400010001</v>
      </c>
      <c r="C50" s="6" t="s">
        <v>358</v>
      </c>
      <c r="D50" s="10" t="s">
        <v>803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1400010002</v>
      </c>
      <c r="C51" s="6" t="s">
        <v>1300</v>
      </c>
      <c r="D51" s="10" t="s">
        <v>803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5">
        <v>1400010003</v>
      </c>
      <c r="C52" s="6" t="s">
        <v>1368</v>
      </c>
      <c r="D52" s="10" t="s">
        <v>803</v>
      </c>
      <c r="E52" s="7">
        <v>2</v>
      </c>
      <c r="F52" s="7">
        <v>0</v>
      </c>
      <c r="G52" s="7">
        <v>2</v>
      </c>
      <c r="H52" s="7">
        <v>24</v>
      </c>
      <c r="I52" s="6">
        <v>0</v>
      </c>
      <c r="J52" s="7">
        <v>5</v>
      </c>
      <c r="K52" s="6">
        <v>100</v>
      </c>
      <c r="L52" s="7">
        <v>1</v>
      </c>
      <c r="M52" s="7">
        <v>4</v>
      </c>
      <c r="N52" s="7">
        <v>25</v>
      </c>
      <c r="O52" s="6" t="b">
        <v>0</v>
      </c>
      <c r="P52" s="6">
        <v>0</v>
      </c>
      <c r="Q52" s="6">
        <v>0</v>
      </c>
      <c r="R52" s="7">
        <v>49</v>
      </c>
      <c r="S52" s="5">
        <v>0</v>
      </c>
      <c r="T52" s="7">
        <v>0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53.25" customHeight="1">
      <c r="A53" s="8"/>
      <c r="B53" s="5">
        <v>1500010001</v>
      </c>
      <c r="C53" s="6" t="s">
        <v>359</v>
      </c>
      <c r="D53" s="10" t="s">
        <v>419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36" customHeight="1">
      <c r="A54" s="8"/>
      <c r="B54" s="5">
        <v>1500010002</v>
      </c>
      <c r="C54" s="6" t="s">
        <v>1301</v>
      </c>
      <c r="D54" s="10" t="s">
        <v>419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B55" s="5">
        <v>1500010003</v>
      </c>
      <c r="C55" s="6" t="s">
        <v>1369</v>
      </c>
      <c r="D55" s="10" t="s">
        <v>419</v>
      </c>
      <c r="E55" s="7">
        <v>2</v>
      </c>
      <c r="F55" s="6">
        <v>0</v>
      </c>
      <c r="G55" s="7">
        <v>3</v>
      </c>
      <c r="H55" s="7">
        <v>25</v>
      </c>
      <c r="I55" s="6">
        <v>0</v>
      </c>
      <c r="J55" s="7">
        <v>2</v>
      </c>
      <c r="K55" s="6">
        <v>100</v>
      </c>
      <c r="L55" s="7">
        <v>1</v>
      </c>
      <c r="M55" s="7">
        <v>0</v>
      </c>
      <c r="N55" s="7">
        <v>10</v>
      </c>
      <c r="O55" s="6" t="b">
        <v>0</v>
      </c>
      <c r="P55" s="6">
        <v>0</v>
      </c>
      <c r="Q55" s="6">
        <v>0</v>
      </c>
      <c r="R55" s="7">
        <v>3</v>
      </c>
      <c r="S55" s="5">
        <v>5</v>
      </c>
      <c r="T55" s="7">
        <v>2</v>
      </c>
      <c r="U55" s="5" t="b">
        <v>1</v>
      </c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1:46" ht="18.75" customHeight="1">
      <c r="B56" s="5">
        <v>1600010001</v>
      </c>
      <c r="C56" s="7" t="s">
        <v>360</v>
      </c>
      <c r="D56" s="10" t="s">
        <v>804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1:46" ht="18.75" customHeight="1">
      <c r="B57" s="5">
        <v>1600010002</v>
      </c>
      <c r="C57" s="7" t="s">
        <v>1302</v>
      </c>
      <c r="D57" s="10" t="s">
        <v>804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1:46" ht="18.75" customHeight="1">
      <c r="B58" s="5">
        <v>1600010003</v>
      </c>
      <c r="C58" s="7" t="s">
        <v>1370</v>
      </c>
      <c r="D58" s="10" t="s">
        <v>804</v>
      </c>
      <c r="E58" s="6">
        <v>2</v>
      </c>
      <c r="F58" s="7">
        <v>0</v>
      </c>
      <c r="G58" s="6">
        <v>2</v>
      </c>
      <c r="H58" s="6">
        <v>22</v>
      </c>
      <c r="I58" s="6">
        <v>0</v>
      </c>
      <c r="J58" s="6">
        <v>5</v>
      </c>
      <c r="K58" s="6">
        <v>100</v>
      </c>
      <c r="L58" s="6">
        <v>1</v>
      </c>
      <c r="M58" s="6">
        <v>4</v>
      </c>
      <c r="N58" s="6">
        <v>25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1:46" ht="18.75" customHeight="1">
      <c r="B59" s="7">
        <v>1700010001</v>
      </c>
      <c r="C59" s="7" t="s">
        <v>361</v>
      </c>
      <c r="D59" s="10" t="s">
        <v>420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1:46" ht="18.75" customHeight="1">
      <c r="B60" s="5">
        <v>1700010002</v>
      </c>
      <c r="C60" s="7" t="s">
        <v>1303</v>
      </c>
      <c r="D60" s="10" t="s">
        <v>420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1:46" ht="18.75" customHeight="1">
      <c r="B61" s="5">
        <v>1700010003</v>
      </c>
      <c r="C61" s="7" t="s">
        <v>1371</v>
      </c>
      <c r="D61" s="10" t="s">
        <v>420</v>
      </c>
      <c r="E61" s="7">
        <v>2</v>
      </c>
      <c r="F61" s="6">
        <v>0</v>
      </c>
      <c r="G61" s="7">
        <v>3</v>
      </c>
      <c r="H61" s="7">
        <v>18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15</v>
      </c>
      <c r="O61" s="6" t="b">
        <v>0</v>
      </c>
      <c r="P61" s="6">
        <v>0</v>
      </c>
      <c r="Q61" s="6">
        <v>0</v>
      </c>
      <c r="R61" s="7">
        <v>3</v>
      </c>
      <c r="S61" s="5">
        <v>7</v>
      </c>
      <c r="T61" s="7">
        <v>3</v>
      </c>
      <c r="U61" s="5" t="b">
        <v>1</v>
      </c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1:46" ht="18.75" customHeight="1">
      <c r="B62" s="5">
        <v>1800010001</v>
      </c>
      <c r="C62" s="7" t="s">
        <v>362</v>
      </c>
      <c r="D62" s="10" t="s">
        <v>421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1:46" ht="18.75" customHeight="1">
      <c r="B63" s="5">
        <v>1800010002</v>
      </c>
      <c r="C63" s="7" t="s">
        <v>1304</v>
      </c>
      <c r="D63" s="10" t="s">
        <v>421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1:46" ht="18.75" customHeight="1">
      <c r="B64" s="5">
        <v>1800010003</v>
      </c>
      <c r="C64" s="7" t="s">
        <v>1372</v>
      </c>
      <c r="D64" s="10" t="s">
        <v>421</v>
      </c>
      <c r="E64" s="7">
        <v>4</v>
      </c>
      <c r="F64" s="7">
        <v>1</v>
      </c>
      <c r="G64" s="7">
        <v>3</v>
      </c>
      <c r="H64" s="7">
        <v>6</v>
      </c>
      <c r="I64" s="6">
        <v>0</v>
      </c>
      <c r="J64" s="7">
        <v>4</v>
      </c>
      <c r="K64" s="6">
        <v>100</v>
      </c>
      <c r="L64" s="7">
        <v>1</v>
      </c>
      <c r="M64" s="7">
        <v>0</v>
      </c>
      <c r="N64" s="7">
        <v>50</v>
      </c>
      <c r="O64" s="6" t="b">
        <v>0</v>
      </c>
      <c r="P64" s="6">
        <v>0</v>
      </c>
      <c r="Q64" s="6">
        <v>0</v>
      </c>
      <c r="R64" s="7">
        <v>3</v>
      </c>
      <c r="S64" s="5">
        <v>1</v>
      </c>
      <c r="T64" s="7">
        <v>3</v>
      </c>
      <c r="U64" s="5" t="b">
        <v>1</v>
      </c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1:35" ht="18.75" customHeight="1">
      <c r="A65" s="54"/>
      <c r="B65" s="5">
        <v>1900010001</v>
      </c>
      <c r="C65" s="7" t="s">
        <v>834</v>
      </c>
      <c r="D65" s="10" t="s">
        <v>832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1:35" ht="18.75" customHeight="1">
      <c r="B66" s="5">
        <v>1900010002</v>
      </c>
      <c r="C66" s="7" t="s">
        <v>1305</v>
      </c>
      <c r="D66" s="10" t="s">
        <v>832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1:35" ht="18.75" customHeight="1">
      <c r="B67" s="5">
        <v>1900010003</v>
      </c>
      <c r="C67" s="7" t="s">
        <v>1373</v>
      </c>
      <c r="D67" s="10" t="s">
        <v>832</v>
      </c>
      <c r="E67" s="7">
        <v>2</v>
      </c>
      <c r="F67" s="6">
        <v>0</v>
      </c>
      <c r="G67" s="7">
        <v>3</v>
      </c>
      <c r="H67" s="7">
        <v>24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3</v>
      </c>
      <c r="U67" s="5" t="b">
        <v>1</v>
      </c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1:35" ht="18.75" customHeight="1">
      <c r="B68" s="7">
        <v>2000010001</v>
      </c>
      <c r="C68" s="7" t="s">
        <v>363</v>
      </c>
      <c r="D68" s="10" t="s">
        <v>833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1:35" ht="18.75" customHeight="1">
      <c r="B69" s="5">
        <v>2000010002</v>
      </c>
      <c r="C69" s="7" t="s">
        <v>1306</v>
      </c>
      <c r="D69" s="10" t="s">
        <v>833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1:35" ht="18.75" customHeight="1">
      <c r="B70" s="5">
        <v>2000010003</v>
      </c>
      <c r="C70" s="7" t="s">
        <v>1374</v>
      </c>
      <c r="D70" s="10" t="s">
        <v>833</v>
      </c>
      <c r="E70" s="7">
        <v>2</v>
      </c>
      <c r="F70" s="7">
        <v>0</v>
      </c>
      <c r="G70" s="7">
        <v>3</v>
      </c>
      <c r="H70" s="7">
        <v>25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8</v>
      </c>
      <c r="O70" s="6" t="b">
        <v>0</v>
      </c>
      <c r="P70" s="6">
        <v>0</v>
      </c>
      <c r="Q70" s="6">
        <v>0</v>
      </c>
      <c r="R70" s="7">
        <v>3</v>
      </c>
      <c r="S70" s="5">
        <v>7</v>
      </c>
      <c r="T70" s="7">
        <v>2</v>
      </c>
      <c r="U70" s="5" t="b">
        <v>1</v>
      </c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1:35" ht="18.75" customHeight="1">
      <c r="B71" s="5">
        <v>2100010001</v>
      </c>
      <c r="C71" s="7" t="s">
        <v>364</v>
      </c>
      <c r="D71" s="10" t="s">
        <v>835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1:35" ht="18.75" customHeight="1">
      <c r="B72" s="5">
        <v>2100010002</v>
      </c>
      <c r="C72" s="7" t="s">
        <v>1307</v>
      </c>
      <c r="D72" s="10" t="s">
        <v>835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1:35" ht="18.75" customHeight="1">
      <c r="B73" s="5">
        <v>2100010003</v>
      </c>
      <c r="C73" s="7" t="s">
        <v>1375</v>
      </c>
      <c r="D73" s="10" t="s">
        <v>835</v>
      </c>
      <c r="E73" s="6">
        <v>2</v>
      </c>
      <c r="F73" s="6">
        <v>0</v>
      </c>
      <c r="G73" s="6">
        <v>3</v>
      </c>
      <c r="H73" s="6">
        <v>25</v>
      </c>
      <c r="I73" s="6">
        <v>0</v>
      </c>
      <c r="J73" s="6">
        <v>2</v>
      </c>
      <c r="K73" s="6">
        <v>100</v>
      </c>
      <c r="L73" s="6">
        <v>14</v>
      </c>
      <c r="M73" s="6">
        <v>2</v>
      </c>
      <c r="N73" s="6">
        <v>10</v>
      </c>
      <c r="O73" s="6" t="b">
        <v>0</v>
      </c>
      <c r="P73" s="6">
        <v>0</v>
      </c>
      <c r="Q73" s="6">
        <v>0</v>
      </c>
      <c r="R73" s="5">
        <v>1</v>
      </c>
      <c r="S73" s="5">
        <v>63</v>
      </c>
      <c r="T73" s="5">
        <v>15</v>
      </c>
      <c r="U73" s="5" t="b">
        <v>1</v>
      </c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1:35" ht="18.75" customHeight="1">
      <c r="B74" s="5">
        <v>2200010001</v>
      </c>
      <c r="C74" s="7" t="s">
        <v>365</v>
      </c>
      <c r="D74" s="10" t="s">
        <v>836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1:35" ht="18.75" customHeight="1">
      <c r="B75" s="5">
        <v>2200010002</v>
      </c>
      <c r="C75" s="7" t="s">
        <v>1308</v>
      </c>
      <c r="D75" s="10" t="s">
        <v>836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1:35" ht="18.75" customHeight="1">
      <c r="B76" s="5">
        <v>2200010003</v>
      </c>
      <c r="C76" s="7" t="s">
        <v>1376</v>
      </c>
      <c r="D76" s="10" t="s">
        <v>836</v>
      </c>
      <c r="E76" s="7">
        <v>2</v>
      </c>
      <c r="F76" s="7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2</v>
      </c>
      <c r="N76" s="7">
        <v>10</v>
      </c>
      <c r="O76" s="6" t="b">
        <v>0</v>
      </c>
      <c r="P76" s="6">
        <v>0</v>
      </c>
      <c r="Q76" s="6">
        <v>0</v>
      </c>
      <c r="R76" s="7">
        <v>1</v>
      </c>
      <c r="S76" s="5">
        <v>65</v>
      </c>
      <c r="T76" s="7">
        <v>15</v>
      </c>
      <c r="U76" s="5" t="b">
        <v>1</v>
      </c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1:35" ht="18.75" customHeight="1">
      <c r="B77" s="7">
        <v>2300010001</v>
      </c>
      <c r="C77" s="7" t="s">
        <v>366</v>
      </c>
      <c r="D77" s="10" t="s">
        <v>415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1:35" ht="18.75" customHeight="1">
      <c r="B78" s="5">
        <v>2300010002</v>
      </c>
      <c r="C78" s="7" t="s">
        <v>1309</v>
      </c>
      <c r="D78" s="10" t="s">
        <v>415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1:35" ht="18.75" customHeight="1">
      <c r="B79" s="5">
        <v>2300010003</v>
      </c>
      <c r="C79" s="7" t="s">
        <v>1377</v>
      </c>
      <c r="D79" s="10" t="s">
        <v>415</v>
      </c>
      <c r="E79" s="7">
        <v>2</v>
      </c>
      <c r="F79" s="6">
        <v>0</v>
      </c>
      <c r="G79" s="7">
        <v>3</v>
      </c>
      <c r="H79" s="7">
        <v>24</v>
      </c>
      <c r="I79" s="6">
        <v>0</v>
      </c>
      <c r="J79" s="7">
        <v>2</v>
      </c>
      <c r="K79" s="6">
        <v>100</v>
      </c>
      <c r="L79" s="7">
        <v>30</v>
      </c>
      <c r="M79" s="7">
        <v>0</v>
      </c>
      <c r="N79" s="7">
        <v>5</v>
      </c>
      <c r="O79" s="6" t="b">
        <v>0</v>
      </c>
      <c r="P79" s="6">
        <v>0</v>
      </c>
      <c r="Q79" s="6">
        <v>0</v>
      </c>
      <c r="R79" s="7">
        <v>3</v>
      </c>
      <c r="S79" s="5">
        <v>17</v>
      </c>
      <c r="T79" s="7">
        <v>3</v>
      </c>
      <c r="U79" s="5" t="b">
        <v>1</v>
      </c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1:35" ht="18.75" customHeight="1">
      <c r="B80" s="5">
        <v>2400010001</v>
      </c>
      <c r="C80" s="7" t="s">
        <v>367</v>
      </c>
      <c r="D80" s="10" t="s">
        <v>422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1:46" ht="18.75" customHeight="1">
      <c r="B81" s="5">
        <v>2400010002</v>
      </c>
      <c r="C81" s="7" t="s">
        <v>1310</v>
      </c>
      <c r="D81" s="10" t="s">
        <v>422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1:46" ht="18.75" customHeight="1">
      <c r="B82" s="5">
        <v>2400010003</v>
      </c>
      <c r="C82" s="7" t="s">
        <v>1378</v>
      </c>
      <c r="D82" s="10" t="s">
        <v>422</v>
      </c>
      <c r="E82" s="7">
        <v>2</v>
      </c>
      <c r="F82" s="7">
        <v>0</v>
      </c>
      <c r="G82" s="7">
        <v>1</v>
      </c>
      <c r="H82" s="7">
        <v>25</v>
      </c>
      <c r="I82" s="6">
        <v>0</v>
      </c>
      <c r="J82" s="7">
        <v>2</v>
      </c>
      <c r="K82" s="6">
        <v>40</v>
      </c>
      <c r="L82" s="7">
        <v>14</v>
      </c>
      <c r="M82" s="7">
        <v>2</v>
      </c>
      <c r="N82" s="7">
        <v>63</v>
      </c>
      <c r="O82" s="6" t="b">
        <v>0</v>
      </c>
      <c r="P82" s="6">
        <v>0</v>
      </c>
      <c r="Q82" s="6">
        <v>0</v>
      </c>
      <c r="R82" s="7">
        <v>1</v>
      </c>
      <c r="S82" s="5">
        <v>0</v>
      </c>
      <c r="T82" s="7">
        <v>0</v>
      </c>
      <c r="U82" s="5" t="b">
        <v>1</v>
      </c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1:46" ht="18.75" customHeight="1">
      <c r="B83" s="5">
        <v>2500010001</v>
      </c>
      <c r="C83" s="7" t="s">
        <v>368</v>
      </c>
      <c r="D83" s="10" t="s">
        <v>423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1:46" ht="18.75" customHeight="1">
      <c r="B84" s="5">
        <v>2500010002</v>
      </c>
      <c r="C84" s="7" t="s">
        <v>1311</v>
      </c>
      <c r="D84" s="10" t="s">
        <v>423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1:46" ht="18.75" customHeight="1">
      <c r="A85" s="8"/>
      <c r="B85" s="5">
        <v>2500010003</v>
      </c>
      <c r="C85" s="7" t="s">
        <v>1379</v>
      </c>
      <c r="D85" s="10" t="s">
        <v>423</v>
      </c>
      <c r="E85" s="7">
        <v>1</v>
      </c>
      <c r="F85" s="6">
        <v>1</v>
      </c>
      <c r="G85" s="7">
        <v>3</v>
      </c>
      <c r="H85" s="7">
        <v>6</v>
      </c>
      <c r="I85" s="6">
        <v>0</v>
      </c>
      <c r="J85" s="7">
        <v>1</v>
      </c>
      <c r="K85" s="6">
        <v>100</v>
      </c>
      <c r="L85" s="7">
        <v>1</v>
      </c>
      <c r="M85" s="7">
        <v>0</v>
      </c>
      <c r="N85" s="7">
        <v>60</v>
      </c>
      <c r="O85" s="6" t="b">
        <v>0</v>
      </c>
      <c r="P85" s="6">
        <v>0</v>
      </c>
      <c r="Q85" s="6">
        <v>0</v>
      </c>
      <c r="R85" s="7">
        <v>3</v>
      </c>
      <c r="S85" s="5">
        <v>2</v>
      </c>
      <c r="T85" s="7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7">
        <v>2600010001</v>
      </c>
      <c r="C86" s="7" t="s">
        <v>369</v>
      </c>
      <c r="D86" s="10" t="s">
        <v>424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2600010002</v>
      </c>
      <c r="C87" s="7" t="s">
        <v>1312</v>
      </c>
      <c r="D87" s="10" t="s">
        <v>424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2600010003</v>
      </c>
      <c r="C88" s="7" t="s">
        <v>1380</v>
      </c>
      <c r="D88" s="10" t="s">
        <v>424</v>
      </c>
      <c r="E88" s="6">
        <v>2</v>
      </c>
      <c r="F88" s="7">
        <v>0</v>
      </c>
      <c r="G88" s="6">
        <v>3</v>
      </c>
      <c r="H88" s="6">
        <v>24</v>
      </c>
      <c r="I88" s="6">
        <v>0</v>
      </c>
      <c r="J88" s="6">
        <v>2</v>
      </c>
      <c r="K88" s="6">
        <v>100</v>
      </c>
      <c r="L88" s="6">
        <v>1</v>
      </c>
      <c r="M88" s="6">
        <v>0</v>
      </c>
      <c r="N88" s="6">
        <v>10</v>
      </c>
      <c r="O88" s="6" t="b">
        <v>0</v>
      </c>
      <c r="P88" s="6">
        <v>0</v>
      </c>
      <c r="Q88" s="6">
        <v>0</v>
      </c>
      <c r="R88" s="5">
        <v>49</v>
      </c>
      <c r="S88" s="5">
        <v>1</v>
      </c>
      <c r="T88" s="5">
        <v>3</v>
      </c>
      <c r="U88" s="5" t="b">
        <v>1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2700010001</v>
      </c>
      <c r="C89" s="7" t="s">
        <v>370</v>
      </c>
      <c r="D89" s="10" t="s">
        <v>805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2700010002</v>
      </c>
      <c r="C90" s="7" t="s">
        <v>1313</v>
      </c>
      <c r="D90" s="10" t="s">
        <v>805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2700010003</v>
      </c>
      <c r="C91" s="7" t="s">
        <v>1381</v>
      </c>
      <c r="D91" s="10" t="s">
        <v>805</v>
      </c>
      <c r="E91" s="7">
        <v>3</v>
      </c>
      <c r="F91" s="6">
        <v>0</v>
      </c>
      <c r="G91" s="7">
        <v>2</v>
      </c>
      <c r="H91" s="7">
        <v>7</v>
      </c>
      <c r="I91" s="6">
        <v>0</v>
      </c>
      <c r="J91" s="7">
        <v>5</v>
      </c>
      <c r="K91" s="6">
        <v>100</v>
      </c>
      <c r="L91" s="7">
        <v>2</v>
      </c>
      <c r="M91" s="7">
        <v>4</v>
      </c>
      <c r="N91" s="7">
        <v>70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>
        <v>3</v>
      </c>
      <c r="W91" s="7">
        <v>7</v>
      </c>
      <c r="X91" s="7">
        <v>3</v>
      </c>
      <c r="Y91" s="7">
        <v>100</v>
      </c>
      <c r="Z91" s="7">
        <v>2</v>
      </c>
      <c r="AA91" s="7">
        <v>0</v>
      </c>
      <c r="AB91" s="7">
        <v>50</v>
      </c>
      <c r="AC91" s="7" t="b">
        <v>0</v>
      </c>
      <c r="AD91" s="7">
        <v>0</v>
      </c>
      <c r="AE91" s="7">
        <v>0</v>
      </c>
      <c r="AF91" s="7">
        <v>3</v>
      </c>
      <c r="AG91" s="7">
        <v>7</v>
      </c>
      <c r="AH91" s="7">
        <v>3</v>
      </c>
      <c r="AI91" s="7" t="b">
        <v>1</v>
      </c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2800010001</v>
      </c>
      <c r="C92" s="7" t="s">
        <v>371</v>
      </c>
      <c r="D92" s="10" t="s">
        <v>806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2800010002</v>
      </c>
      <c r="C93" s="7" t="s">
        <v>1314</v>
      </c>
      <c r="D93" s="10" t="s">
        <v>806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5">
        <v>2800010003</v>
      </c>
      <c r="C94" s="7" t="s">
        <v>1382</v>
      </c>
      <c r="D94" s="10" t="s">
        <v>806</v>
      </c>
      <c r="E94" s="7">
        <v>2</v>
      </c>
      <c r="F94" s="7">
        <v>0</v>
      </c>
      <c r="G94" s="7">
        <v>2</v>
      </c>
      <c r="H94" s="7">
        <v>25</v>
      </c>
      <c r="I94" s="6">
        <v>0</v>
      </c>
      <c r="J94" s="7">
        <v>5</v>
      </c>
      <c r="K94" s="6">
        <v>50</v>
      </c>
      <c r="L94" s="7">
        <v>1</v>
      </c>
      <c r="M94" s="7">
        <v>4</v>
      </c>
      <c r="N94" s="7">
        <v>35</v>
      </c>
      <c r="O94" s="6" t="b">
        <v>0</v>
      </c>
      <c r="P94" s="6">
        <v>0</v>
      </c>
      <c r="Q94" s="6">
        <v>0</v>
      </c>
      <c r="R94" s="7">
        <v>49</v>
      </c>
      <c r="S94" s="5">
        <v>0</v>
      </c>
      <c r="T94" s="7">
        <v>0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7">
        <v>2900010001</v>
      </c>
      <c r="C95" s="7" t="s">
        <v>372</v>
      </c>
      <c r="D95" s="10" t="s">
        <v>425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2900010002</v>
      </c>
      <c r="C96" s="7" t="s">
        <v>1315</v>
      </c>
      <c r="D96" s="10" t="s">
        <v>425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2900010003</v>
      </c>
      <c r="C97" s="7" t="s">
        <v>1383</v>
      </c>
      <c r="D97" s="10" t="s">
        <v>425</v>
      </c>
      <c r="E97" s="7">
        <v>2</v>
      </c>
      <c r="F97" s="6">
        <v>0</v>
      </c>
      <c r="G97" s="7">
        <v>3</v>
      </c>
      <c r="H97" s="7">
        <v>25</v>
      </c>
      <c r="I97" s="6">
        <v>0</v>
      </c>
      <c r="J97" s="7">
        <v>2</v>
      </c>
      <c r="K97" s="6">
        <v>100</v>
      </c>
      <c r="L97" s="7">
        <v>1</v>
      </c>
      <c r="M97" s="7">
        <v>0</v>
      </c>
      <c r="N97" s="7">
        <v>22</v>
      </c>
      <c r="O97" s="6" t="b">
        <v>0</v>
      </c>
      <c r="P97" s="6">
        <v>0</v>
      </c>
      <c r="Q97" s="6">
        <v>0</v>
      </c>
      <c r="R97" s="7">
        <v>3</v>
      </c>
      <c r="S97" s="5">
        <v>5</v>
      </c>
      <c r="T97" s="7">
        <v>2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3000010001</v>
      </c>
      <c r="C98" s="7" t="s">
        <v>373</v>
      </c>
      <c r="D98" s="10" t="s">
        <v>807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3000010002</v>
      </c>
      <c r="C99" s="7" t="s">
        <v>1316</v>
      </c>
      <c r="D99" s="10" t="s">
        <v>807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3000010003</v>
      </c>
      <c r="C100" s="7" t="s">
        <v>1384</v>
      </c>
      <c r="D100" s="10" t="s">
        <v>807</v>
      </c>
      <c r="E100" s="7">
        <v>2</v>
      </c>
      <c r="F100" s="7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3100010001</v>
      </c>
      <c r="C101" s="7" t="s">
        <v>374</v>
      </c>
      <c r="D101" s="10" t="s">
        <v>808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3100010002</v>
      </c>
      <c r="C102" s="7" t="s">
        <v>1317</v>
      </c>
      <c r="D102" s="10" t="s">
        <v>808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5">
        <v>3100010003</v>
      </c>
      <c r="C103" s="7" t="s">
        <v>1385</v>
      </c>
      <c r="D103" s="10" t="s">
        <v>808</v>
      </c>
      <c r="E103" s="6">
        <v>2</v>
      </c>
      <c r="F103" s="6">
        <v>0</v>
      </c>
      <c r="G103" s="6">
        <v>2</v>
      </c>
      <c r="H103" s="6">
        <v>21</v>
      </c>
      <c r="I103" s="6">
        <v>31</v>
      </c>
      <c r="J103" s="6">
        <v>5</v>
      </c>
      <c r="K103" s="6">
        <v>100</v>
      </c>
      <c r="L103" s="6">
        <v>22</v>
      </c>
      <c r="M103" s="6">
        <v>4</v>
      </c>
      <c r="N103" s="6">
        <v>100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7">
        <v>3200010001</v>
      </c>
      <c r="C104" s="7" t="s">
        <v>375</v>
      </c>
      <c r="D104" s="10" t="s">
        <v>858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3200010002</v>
      </c>
      <c r="C105" s="7" t="s">
        <v>1318</v>
      </c>
      <c r="D105" s="10" t="s">
        <v>858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3200010003</v>
      </c>
      <c r="C106" s="7" t="s">
        <v>1386</v>
      </c>
      <c r="D106" s="10" t="s">
        <v>858</v>
      </c>
      <c r="E106" s="7">
        <v>2</v>
      </c>
      <c r="F106" s="7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60</v>
      </c>
      <c r="O106" s="6" t="b">
        <v>0</v>
      </c>
      <c r="P106" s="6">
        <v>0</v>
      </c>
      <c r="Q106" s="6">
        <v>0</v>
      </c>
      <c r="R106" s="7">
        <v>3</v>
      </c>
      <c r="S106" s="5">
        <v>68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3300010001</v>
      </c>
      <c r="C107" s="7" t="s">
        <v>376</v>
      </c>
      <c r="D107" s="10" t="s">
        <v>859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3300010002</v>
      </c>
      <c r="C108" s="7" t="s">
        <v>1319</v>
      </c>
      <c r="D108" s="10" t="s">
        <v>859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3300010003</v>
      </c>
      <c r="C109" s="7" t="s">
        <v>1387</v>
      </c>
      <c r="D109" s="10" t="s">
        <v>859</v>
      </c>
      <c r="E109" s="7">
        <v>2</v>
      </c>
      <c r="F109" s="6">
        <v>0</v>
      </c>
      <c r="G109" s="7">
        <v>3</v>
      </c>
      <c r="H109" s="7">
        <v>2</v>
      </c>
      <c r="I109" s="6">
        <v>0</v>
      </c>
      <c r="J109" s="7">
        <v>2</v>
      </c>
      <c r="K109" s="6">
        <v>100</v>
      </c>
      <c r="L109" s="7">
        <v>1</v>
      </c>
      <c r="M109" s="7">
        <v>0</v>
      </c>
      <c r="N109" s="7">
        <v>56</v>
      </c>
      <c r="O109" s="6" t="b">
        <v>0</v>
      </c>
      <c r="P109" s="6">
        <v>0</v>
      </c>
      <c r="Q109" s="6">
        <v>0</v>
      </c>
      <c r="R109" s="7">
        <v>3</v>
      </c>
      <c r="S109" s="5">
        <v>42</v>
      </c>
      <c r="T109" s="7">
        <v>-1</v>
      </c>
      <c r="U109" s="5" t="b">
        <v>0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3400010001</v>
      </c>
      <c r="C110" s="7" t="s">
        <v>377</v>
      </c>
      <c r="D110" s="10" t="s">
        <v>869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3400010002</v>
      </c>
      <c r="C111" s="7" t="s">
        <v>1320</v>
      </c>
      <c r="D111" s="10" t="s">
        <v>869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3400010003</v>
      </c>
      <c r="C112" s="7" t="s">
        <v>1388</v>
      </c>
      <c r="D112" s="10" t="s">
        <v>869</v>
      </c>
      <c r="E112" s="7">
        <v>1</v>
      </c>
      <c r="F112" s="7">
        <v>1</v>
      </c>
      <c r="G112" s="7">
        <v>3</v>
      </c>
      <c r="H112" s="7">
        <v>6</v>
      </c>
      <c r="I112" s="6">
        <v>0</v>
      </c>
      <c r="J112" s="7">
        <v>1</v>
      </c>
      <c r="K112" s="6">
        <v>100</v>
      </c>
      <c r="L112" s="7">
        <v>1</v>
      </c>
      <c r="M112" s="7">
        <v>4</v>
      </c>
      <c r="N112" s="7">
        <v>240</v>
      </c>
      <c r="O112" s="6" t="b">
        <v>0</v>
      </c>
      <c r="P112" s="6">
        <v>0</v>
      </c>
      <c r="Q112" s="6">
        <v>0</v>
      </c>
      <c r="R112" s="7">
        <v>49</v>
      </c>
      <c r="S112" s="5">
        <v>66</v>
      </c>
      <c r="T112" s="7">
        <v>3</v>
      </c>
      <c r="U112" s="5" t="b">
        <v>1</v>
      </c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3500010001</v>
      </c>
      <c r="C113" s="7" t="s">
        <v>378</v>
      </c>
      <c r="D113" s="10" t="s">
        <v>809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3500010002</v>
      </c>
      <c r="C114" s="7" t="s">
        <v>1321</v>
      </c>
      <c r="D114" s="10" t="s">
        <v>809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3500010003</v>
      </c>
      <c r="C115" s="7" t="s">
        <v>1389</v>
      </c>
      <c r="D115" s="10" t="s">
        <v>809</v>
      </c>
      <c r="E115" s="7">
        <v>2</v>
      </c>
      <c r="F115" s="6">
        <v>0</v>
      </c>
      <c r="G115" s="7">
        <v>3</v>
      </c>
      <c r="H115" s="7">
        <v>18</v>
      </c>
      <c r="I115" s="6">
        <v>0</v>
      </c>
      <c r="J115" s="7">
        <v>2</v>
      </c>
      <c r="K115" s="6">
        <v>100</v>
      </c>
      <c r="L115" s="7">
        <v>1</v>
      </c>
      <c r="M115" s="7">
        <v>0</v>
      </c>
      <c r="N115" s="7">
        <v>10</v>
      </c>
      <c r="O115" s="6" t="b">
        <v>0</v>
      </c>
      <c r="P115" s="6">
        <v>0</v>
      </c>
      <c r="Q115" s="6">
        <v>0</v>
      </c>
      <c r="R115" s="7">
        <v>3</v>
      </c>
      <c r="S115" s="5">
        <v>11</v>
      </c>
      <c r="T115" s="7">
        <v>1</v>
      </c>
      <c r="U115" s="5" t="b">
        <v>1</v>
      </c>
      <c r="V115" s="7">
        <v>2</v>
      </c>
      <c r="W115" s="7">
        <v>18</v>
      </c>
      <c r="X115" s="7">
        <v>5</v>
      </c>
      <c r="Y115" s="7">
        <v>100</v>
      </c>
      <c r="Z115" s="7">
        <v>1</v>
      </c>
      <c r="AA115" s="7">
        <v>4</v>
      </c>
      <c r="AB115" s="7">
        <v>100</v>
      </c>
      <c r="AC115" s="7" t="b">
        <v>0</v>
      </c>
      <c r="AD115" s="7">
        <v>0</v>
      </c>
      <c r="AE115" s="7">
        <v>0</v>
      </c>
      <c r="AF115" s="7">
        <v>2</v>
      </c>
      <c r="AG115" s="7">
        <v>0</v>
      </c>
      <c r="AH115" s="7">
        <v>0</v>
      </c>
      <c r="AI115" s="7" t="b">
        <v>1</v>
      </c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3600010001</v>
      </c>
      <c r="C116" s="7" t="s">
        <v>379</v>
      </c>
      <c r="D116" s="10" t="s">
        <v>860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3600010002</v>
      </c>
      <c r="C117" s="7" t="s">
        <v>1322</v>
      </c>
      <c r="D117" s="10" t="s">
        <v>860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3600010003</v>
      </c>
      <c r="C118" s="7" t="s">
        <v>1390</v>
      </c>
      <c r="D118" s="10" t="s">
        <v>860</v>
      </c>
      <c r="E118" s="6">
        <v>2</v>
      </c>
      <c r="F118" s="7">
        <v>0</v>
      </c>
      <c r="G118" s="6">
        <v>3</v>
      </c>
      <c r="H118" s="6">
        <v>2</v>
      </c>
      <c r="I118" s="6">
        <v>0</v>
      </c>
      <c r="J118" s="6">
        <v>2</v>
      </c>
      <c r="K118" s="6">
        <v>100</v>
      </c>
      <c r="L118" s="6">
        <v>1</v>
      </c>
      <c r="M118" s="6">
        <v>0</v>
      </c>
      <c r="N118" s="6">
        <v>80</v>
      </c>
      <c r="O118" s="6" t="b">
        <v>0</v>
      </c>
      <c r="P118" s="6">
        <v>0</v>
      </c>
      <c r="Q118" s="6">
        <v>0</v>
      </c>
      <c r="R118" s="5">
        <v>3</v>
      </c>
      <c r="S118" s="5">
        <v>44</v>
      </c>
      <c r="T118" s="5">
        <v>-1</v>
      </c>
      <c r="U118" s="5" t="b">
        <v>0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3700010001</v>
      </c>
      <c r="C119" s="7" t="s">
        <v>380</v>
      </c>
      <c r="D119" s="10" t="s">
        <v>516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3700010002</v>
      </c>
      <c r="C120" s="7" t="s">
        <v>1323</v>
      </c>
      <c r="D120" s="10" t="s">
        <v>516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53.25" customHeight="1">
      <c r="A121" s="8"/>
      <c r="B121" s="5">
        <v>3700010003</v>
      </c>
      <c r="C121" s="7" t="s">
        <v>1391</v>
      </c>
      <c r="D121" s="10" t="s">
        <v>516</v>
      </c>
      <c r="E121" s="7">
        <v>1</v>
      </c>
      <c r="F121" s="6">
        <v>1</v>
      </c>
      <c r="G121" s="7">
        <v>3</v>
      </c>
      <c r="H121" s="7">
        <v>6</v>
      </c>
      <c r="I121" s="6">
        <v>0</v>
      </c>
      <c r="J121" s="7">
        <v>2</v>
      </c>
      <c r="K121" s="6">
        <v>100</v>
      </c>
      <c r="L121" s="7">
        <v>39</v>
      </c>
      <c r="M121" s="7">
        <v>2</v>
      </c>
      <c r="N121" s="7">
        <v>100</v>
      </c>
      <c r="O121" s="6" t="b">
        <v>0</v>
      </c>
      <c r="P121" s="6">
        <v>0</v>
      </c>
      <c r="Q121" s="6">
        <v>0</v>
      </c>
      <c r="R121" s="7">
        <v>1</v>
      </c>
      <c r="S121" s="5">
        <v>64</v>
      </c>
      <c r="T121" s="7">
        <v>4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36" customHeight="1">
      <c r="A122" s="8"/>
      <c r="B122" s="7">
        <v>3800010001</v>
      </c>
      <c r="C122" s="7" t="s">
        <v>381</v>
      </c>
      <c r="D122" s="10" t="s">
        <v>810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B123" s="5">
        <v>3800010002</v>
      </c>
      <c r="C123" s="7" t="s">
        <v>1324</v>
      </c>
      <c r="D123" s="10" t="s">
        <v>810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1:46" ht="18.75" customHeight="1">
      <c r="B124" s="5">
        <v>3800010003</v>
      </c>
      <c r="C124" s="7" t="s">
        <v>1392</v>
      </c>
      <c r="D124" s="10" t="s">
        <v>810</v>
      </c>
      <c r="E124" s="7">
        <v>2</v>
      </c>
      <c r="F124" s="7">
        <v>0</v>
      </c>
      <c r="G124" s="7">
        <v>2</v>
      </c>
      <c r="H124" s="7">
        <v>27</v>
      </c>
      <c r="I124" s="6">
        <v>0</v>
      </c>
      <c r="J124" s="7">
        <v>5</v>
      </c>
      <c r="K124" s="6">
        <v>100</v>
      </c>
      <c r="L124" s="7">
        <v>1</v>
      </c>
      <c r="M124" s="7">
        <v>4</v>
      </c>
      <c r="N124" s="7">
        <v>45</v>
      </c>
      <c r="O124" s="6" t="b">
        <v>0</v>
      </c>
      <c r="P124" s="6">
        <v>0</v>
      </c>
      <c r="Q124" s="6">
        <v>0</v>
      </c>
      <c r="R124" s="7">
        <v>49</v>
      </c>
      <c r="S124" s="5">
        <v>0</v>
      </c>
      <c r="T124" s="7">
        <v>0</v>
      </c>
      <c r="U124" s="5" t="b">
        <v>1</v>
      </c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1:46" ht="18.75" customHeight="1">
      <c r="B125" s="5">
        <v>3900010001</v>
      </c>
      <c r="C125" s="7" t="s">
        <v>382</v>
      </c>
      <c r="D125" s="10" t="s">
        <v>583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29">
        <v>3</v>
      </c>
      <c r="W125" s="29">
        <v>6</v>
      </c>
      <c r="X125" s="29">
        <v>2</v>
      </c>
      <c r="Y125" s="29">
        <v>100</v>
      </c>
      <c r="Z125" s="29">
        <v>3</v>
      </c>
      <c r="AA125" s="29">
        <v>0</v>
      </c>
      <c r="AB125" s="29">
        <v>15</v>
      </c>
      <c r="AC125" s="29" t="b">
        <v>0</v>
      </c>
      <c r="AD125" s="29">
        <v>0</v>
      </c>
      <c r="AE125" s="29">
        <v>0</v>
      </c>
      <c r="AF125" s="29">
        <v>3</v>
      </c>
      <c r="AG125" s="29">
        <v>17</v>
      </c>
      <c r="AH125" s="29">
        <v>3</v>
      </c>
      <c r="AI125" s="29" t="b">
        <v>1</v>
      </c>
    </row>
    <row r="126" spans="1:46" ht="18.75" customHeight="1">
      <c r="B126" s="5">
        <v>3900010002</v>
      </c>
      <c r="C126" s="7" t="s">
        <v>1325</v>
      </c>
      <c r="D126" s="10" t="s">
        <v>583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29">
        <v>3</v>
      </c>
      <c r="W126" s="29">
        <v>6</v>
      </c>
      <c r="X126" s="29">
        <v>2</v>
      </c>
      <c r="Y126" s="29">
        <v>100</v>
      </c>
      <c r="Z126" s="29">
        <v>3</v>
      </c>
      <c r="AA126" s="29">
        <v>0</v>
      </c>
      <c r="AB126" s="29">
        <v>15</v>
      </c>
      <c r="AC126" s="29" t="b">
        <v>0</v>
      </c>
      <c r="AD126" s="29">
        <v>0</v>
      </c>
      <c r="AE126" s="29">
        <v>0</v>
      </c>
      <c r="AF126" s="29">
        <v>3</v>
      </c>
      <c r="AG126" s="29">
        <v>17</v>
      </c>
      <c r="AH126" s="29">
        <v>3</v>
      </c>
      <c r="AI126" s="29" t="b">
        <v>1</v>
      </c>
    </row>
    <row r="127" spans="1:46" ht="18.75" customHeight="1">
      <c r="B127" s="5">
        <v>3900010003</v>
      </c>
      <c r="C127" s="7" t="s">
        <v>1393</v>
      </c>
      <c r="D127" s="10" t="s">
        <v>583</v>
      </c>
      <c r="E127" s="7">
        <v>1</v>
      </c>
      <c r="F127" s="6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</v>
      </c>
      <c r="T127" s="7">
        <v>3</v>
      </c>
      <c r="U127" s="5" t="b">
        <v>1</v>
      </c>
      <c r="V127" s="29">
        <v>3</v>
      </c>
      <c r="W127" s="29">
        <v>6</v>
      </c>
      <c r="X127" s="29">
        <v>2</v>
      </c>
      <c r="Y127" s="29">
        <v>100</v>
      </c>
      <c r="Z127" s="29">
        <v>3</v>
      </c>
      <c r="AA127" s="29">
        <v>0</v>
      </c>
      <c r="AB127" s="29">
        <v>15</v>
      </c>
      <c r="AC127" s="29" t="b">
        <v>0</v>
      </c>
      <c r="AD127" s="29">
        <v>0</v>
      </c>
      <c r="AE127" s="29">
        <v>0</v>
      </c>
      <c r="AF127" s="29">
        <v>3</v>
      </c>
      <c r="AG127" s="29">
        <v>17</v>
      </c>
      <c r="AH127" s="29">
        <v>3</v>
      </c>
      <c r="AI127" s="29" t="b">
        <v>1</v>
      </c>
    </row>
    <row r="128" spans="1:46" ht="18.75" customHeight="1">
      <c r="B128" s="5">
        <v>4000010001</v>
      </c>
      <c r="C128" s="7" t="s">
        <v>383</v>
      </c>
      <c r="D128" s="10" t="s">
        <v>811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29">
        <v>2</v>
      </c>
      <c r="W128" s="29">
        <v>6</v>
      </c>
      <c r="X128" s="29">
        <v>5</v>
      </c>
      <c r="Y128" s="29">
        <v>100</v>
      </c>
      <c r="Z128" s="29">
        <v>1</v>
      </c>
      <c r="AA128" s="29">
        <v>4</v>
      </c>
      <c r="AB128" s="29">
        <v>100</v>
      </c>
      <c r="AC128" s="29" t="b">
        <v>0</v>
      </c>
      <c r="AD128" s="29">
        <v>0</v>
      </c>
      <c r="AE128" s="29">
        <v>0</v>
      </c>
      <c r="AF128" s="29">
        <v>2</v>
      </c>
      <c r="AG128" s="29">
        <v>0</v>
      </c>
      <c r="AH128" s="29">
        <v>0</v>
      </c>
      <c r="AI128" s="29" t="b">
        <v>1</v>
      </c>
    </row>
    <row r="129" spans="1:35" ht="18.75" customHeight="1">
      <c r="B129" s="5">
        <v>4000010002</v>
      </c>
      <c r="C129" s="7" t="s">
        <v>1326</v>
      </c>
      <c r="D129" s="10" t="s">
        <v>811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29">
        <v>2</v>
      </c>
      <c r="W129" s="29">
        <v>6</v>
      </c>
      <c r="X129" s="29">
        <v>5</v>
      </c>
      <c r="Y129" s="29">
        <v>100</v>
      </c>
      <c r="Z129" s="29">
        <v>1</v>
      </c>
      <c r="AA129" s="29">
        <v>4</v>
      </c>
      <c r="AB129" s="29">
        <v>100</v>
      </c>
      <c r="AC129" s="29" t="b">
        <v>0</v>
      </c>
      <c r="AD129" s="29">
        <v>0</v>
      </c>
      <c r="AE129" s="29">
        <v>0</v>
      </c>
      <c r="AF129" s="29">
        <v>2</v>
      </c>
      <c r="AG129" s="29">
        <v>0</v>
      </c>
      <c r="AH129" s="29">
        <v>0</v>
      </c>
      <c r="AI129" s="29" t="b">
        <v>1</v>
      </c>
    </row>
    <row r="130" spans="1:35" ht="18.75" customHeight="1">
      <c r="B130" s="5">
        <v>4000010003</v>
      </c>
      <c r="C130" s="7" t="s">
        <v>1394</v>
      </c>
      <c r="D130" s="10" t="s">
        <v>811</v>
      </c>
      <c r="E130" s="7">
        <v>1</v>
      </c>
      <c r="F130" s="7">
        <v>1</v>
      </c>
      <c r="G130" s="7">
        <v>3</v>
      </c>
      <c r="H130" s="7">
        <v>6</v>
      </c>
      <c r="I130" s="6">
        <v>0</v>
      </c>
      <c r="J130" s="7">
        <v>2</v>
      </c>
      <c r="K130" s="6">
        <v>100</v>
      </c>
      <c r="L130" s="7">
        <v>2</v>
      </c>
      <c r="M130" s="7">
        <v>0</v>
      </c>
      <c r="N130" s="7">
        <v>15</v>
      </c>
      <c r="O130" s="6" t="b">
        <v>0</v>
      </c>
      <c r="P130" s="6">
        <v>0</v>
      </c>
      <c r="Q130" s="6">
        <v>0</v>
      </c>
      <c r="R130" s="7">
        <v>3</v>
      </c>
      <c r="S130" s="5">
        <v>15</v>
      </c>
      <c r="T130" s="7">
        <v>3</v>
      </c>
      <c r="U130" s="5" t="b">
        <v>1</v>
      </c>
      <c r="V130" s="29">
        <v>2</v>
      </c>
      <c r="W130" s="29">
        <v>6</v>
      </c>
      <c r="X130" s="29">
        <v>5</v>
      </c>
      <c r="Y130" s="29">
        <v>100</v>
      </c>
      <c r="Z130" s="29">
        <v>1</v>
      </c>
      <c r="AA130" s="29">
        <v>4</v>
      </c>
      <c r="AB130" s="29">
        <v>100</v>
      </c>
      <c r="AC130" s="29" t="b">
        <v>0</v>
      </c>
      <c r="AD130" s="29">
        <v>0</v>
      </c>
      <c r="AE130" s="29">
        <v>0</v>
      </c>
      <c r="AF130" s="29">
        <v>2</v>
      </c>
      <c r="AG130" s="29">
        <v>0</v>
      </c>
      <c r="AH130" s="29">
        <v>0</v>
      </c>
      <c r="AI130" s="29" t="b">
        <v>1</v>
      </c>
    </row>
    <row r="131" spans="1:35" ht="18.75" customHeight="1">
      <c r="B131" s="7">
        <v>4100010001</v>
      </c>
      <c r="C131" s="7" t="s">
        <v>384</v>
      </c>
      <c r="D131" s="10" t="s">
        <v>586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B132" s="5">
        <v>4100010002</v>
      </c>
      <c r="C132" s="7" t="s">
        <v>1327</v>
      </c>
      <c r="D132" s="10" t="s">
        <v>586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4"/>
      <c r="B133" s="5">
        <v>4100010003</v>
      </c>
      <c r="C133" s="7" t="s">
        <v>1395</v>
      </c>
      <c r="D133" s="10" t="s">
        <v>586</v>
      </c>
      <c r="E133" s="6">
        <v>2</v>
      </c>
      <c r="F133" s="6">
        <v>0</v>
      </c>
      <c r="G133" s="6">
        <v>2</v>
      </c>
      <c r="H133" s="6">
        <v>3</v>
      </c>
      <c r="I133" s="6">
        <v>0</v>
      </c>
      <c r="J133" s="6">
        <v>5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</row>
    <row r="134" spans="1:35" ht="18.75" customHeight="1">
      <c r="A134" s="54"/>
      <c r="B134" s="5">
        <v>4200010001</v>
      </c>
      <c r="C134" s="7" t="s">
        <v>385</v>
      </c>
      <c r="D134" s="10" t="s">
        <v>587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4"/>
      <c r="B135" s="5">
        <v>4200010002</v>
      </c>
      <c r="C135" s="7" t="s">
        <v>1328</v>
      </c>
      <c r="D135" s="10" t="s">
        <v>587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4"/>
      <c r="B136" s="5">
        <v>4200010003</v>
      </c>
      <c r="C136" s="7" t="s">
        <v>1396</v>
      </c>
      <c r="D136" s="10" t="s">
        <v>587</v>
      </c>
      <c r="E136" s="7">
        <v>2</v>
      </c>
      <c r="F136" s="7">
        <v>0</v>
      </c>
      <c r="G136" s="7">
        <v>2</v>
      </c>
      <c r="H136" s="7">
        <v>4</v>
      </c>
      <c r="I136" s="6">
        <v>0</v>
      </c>
      <c r="J136" s="7">
        <v>5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</row>
    <row r="137" spans="1:35" ht="18.75" customHeight="1">
      <c r="A137" s="54"/>
      <c r="B137" s="5">
        <v>4300010001</v>
      </c>
      <c r="C137" s="7" t="s">
        <v>386</v>
      </c>
      <c r="D137" s="10" t="s">
        <v>588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4"/>
      <c r="B138" s="5">
        <v>4300010002</v>
      </c>
      <c r="C138" s="7" t="s">
        <v>1329</v>
      </c>
      <c r="D138" s="10" t="s">
        <v>588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4"/>
      <c r="B139" s="5">
        <v>4300010003</v>
      </c>
      <c r="C139" s="7" t="s">
        <v>1397</v>
      </c>
      <c r="D139" s="10" t="s">
        <v>588</v>
      </c>
      <c r="E139" s="7">
        <v>2</v>
      </c>
      <c r="F139" s="6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</row>
    <row r="140" spans="1:35" ht="18.75" customHeight="1">
      <c r="A140" s="54"/>
      <c r="B140" s="7">
        <v>4400010001</v>
      </c>
      <c r="C140" s="7" t="s">
        <v>387</v>
      </c>
      <c r="D140" s="10" t="s">
        <v>589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4"/>
      <c r="B141" s="5">
        <v>4400010002</v>
      </c>
      <c r="C141" s="7" t="s">
        <v>1330</v>
      </c>
      <c r="D141" s="10" t="s">
        <v>589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4"/>
      <c r="B142" s="5">
        <v>4400010003</v>
      </c>
      <c r="C142" s="7" t="s">
        <v>1398</v>
      </c>
      <c r="D142" s="10" t="s">
        <v>589</v>
      </c>
      <c r="E142" s="7">
        <v>1</v>
      </c>
      <c r="F142" s="7">
        <v>1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</row>
    <row r="143" spans="1:35" ht="18.75" customHeight="1">
      <c r="A143" s="54"/>
      <c r="B143" s="5">
        <v>4500010001</v>
      </c>
      <c r="C143" s="7" t="s">
        <v>388</v>
      </c>
      <c r="D143" s="10" t="s">
        <v>590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4"/>
      <c r="B144" s="5">
        <v>4500010002</v>
      </c>
      <c r="C144" s="7" t="s">
        <v>1331</v>
      </c>
      <c r="D144" s="10" t="s">
        <v>590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A145" s="54"/>
      <c r="B145" s="5">
        <v>4500010003</v>
      </c>
      <c r="C145" s="7" t="s">
        <v>1399</v>
      </c>
      <c r="D145" s="10" t="s">
        <v>590</v>
      </c>
      <c r="E145" s="7">
        <v>3</v>
      </c>
      <c r="F145" s="6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</row>
    <row r="146" spans="1:46" ht="18.75" customHeight="1">
      <c r="B146" s="5">
        <v>4600010001</v>
      </c>
      <c r="C146" s="7" t="s">
        <v>389</v>
      </c>
      <c r="D146" s="10" t="s">
        <v>591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4600010002</v>
      </c>
      <c r="C147" s="7" t="s">
        <v>1332</v>
      </c>
      <c r="D147" s="10" t="s">
        <v>591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5">
        <v>4600010003</v>
      </c>
      <c r="C148" s="7" t="s">
        <v>1400</v>
      </c>
      <c r="D148" s="10" t="s">
        <v>591</v>
      </c>
      <c r="E148" s="6">
        <v>2</v>
      </c>
      <c r="F148" s="7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</row>
    <row r="149" spans="1:46" ht="18.75" customHeight="1">
      <c r="B149" s="7">
        <v>4700010001</v>
      </c>
      <c r="C149" s="7" t="s">
        <v>390</v>
      </c>
      <c r="D149" s="10" t="s">
        <v>592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4700010002</v>
      </c>
      <c r="C150" s="7" t="s">
        <v>1333</v>
      </c>
      <c r="D150" s="10" t="s">
        <v>592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4700010003</v>
      </c>
      <c r="C151" s="7" t="s">
        <v>1401</v>
      </c>
      <c r="D151" s="10" t="s">
        <v>592</v>
      </c>
      <c r="E151" s="7">
        <v>2</v>
      </c>
      <c r="F151" s="6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</row>
    <row r="152" spans="1:46" ht="18.75" customHeight="1">
      <c r="B152" s="5">
        <v>4800010001</v>
      </c>
      <c r="C152" s="7" t="s">
        <v>391</v>
      </c>
      <c r="D152" s="10" t="s">
        <v>593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A153" s="8"/>
      <c r="B153" s="5">
        <v>4800010002</v>
      </c>
      <c r="C153" s="7" t="s">
        <v>1334</v>
      </c>
      <c r="D153" s="10" t="s">
        <v>593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4800010003</v>
      </c>
      <c r="C154" s="7" t="s">
        <v>1402</v>
      </c>
      <c r="D154" s="10" t="s">
        <v>593</v>
      </c>
      <c r="E154" s="7">
        <v>2</v>
      </c>
      <c r="F154" s="7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4900010001</v>
      </c>
      <c r="C155" s="7" t="s">
        <v>392</v>
      </c>
      <c r="D155" s="10" t="s">
        <v>594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4900010002</v>
      </c>
      <c r="C156" s="7" t="s">
        <v>1335</v>
      </c>
      <c r="D156" s="10" t="s">
        <v>594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5">
        <v>4900010003</v>
      </c>
      <c r="C157" s="7" t="s">
        <v>1403</v>
      </c>
      <c r="D157" s="10" t="s">
        <v>594</v>
      </c>
      <c r="E157" s="7">
        <v>1</v>
      </c>
      <c r="F157" s="6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7">
        <v>5000010001</v>
      </c>
      <c r="C158" s="7" t="s">
        <v>393</v>
      </c>
      <c r="D158" s="10" t="s">
        <v>595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5000010002</v>
      </c>
      <c r="C159" s="7" t="s">
        <v>1336</v>
      </c>
      <c r="D159" s="10" t="s">
        <v>595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5000010003</v>
      </c>
      <c r="C160" s="7" t="s">
        <v>1404</v>
      </c>
      <c r="D160" s="10" t="s">
        <v>595</v>
      </c>
      <c r="E160" s="7">
        <v>3</v>
      </c>
      <c r="F160" s="7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5100010001</v>
      </c>
      <c r="C161" s="7" t="s">
        <v>394</v>
      </c>
      <c r="D161" s="10" t="s">
        <v>596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5100010002</v>
      </c>
      <c r="C162" s="7" t="s">
        <v>1337</v>
      </c>
      <c r="D162" s="10" t="s">
        <v>596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5100010003</v>
      </c>
      <c r="C163" s="7" t="s">
        <v>1405</v>
      </c>
      <c r="D163" s="10" t="s">
        <v>596</v>
      </c>
      <c r="E163" s="6">
        <v>2</v>
      </c>
      <c r="F163" s="6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5200010001</v>
      </c>
      <c r="C164" s="7" t="s">
        <v>395</v>
      </c>
      <c r="D164" s="10" t="s">
        <v>597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5200010002</v>
      </c>
      <c r="C165" s="7" t="s">
        <v>1338</v>
      </c>
      <c r="D165" s="10" t="s">
        <v>597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5">
        <v>5200010003</v>
      </c>
      <c r="C166" s="7" t="s">
        <v>1406</v>
      </c>
      <c r="D166" s="10" t="s">
        <v>597</v>
      </c>
      <c r="E166" s="7">
        <v>2</v>
      </c>
      <c r="F166" s="7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7">
        <v>5300010001</v>
      </c>
      <c r="C167" s="7" t="s">
        <v>396</v>
      </c>
      <c r="D167" s="10" t="s">
        <v>598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5300010002</v>
      </c>
      <c r="C168" s="7" t="s">
        <v>1339</v>
      </c>
      <c r="D168" s="10" t="s">
        <v>598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5300010003</v>
      </c>
      <c r="C169" s="7" t="s">
        <v>1407</v>
      </c>
      <c r="D169" s="10" t="s">
        <v>598</v>
      </c>
      <c r="E169" s="7">
        <v>2</v>
      </c>
      <c r="F169" s="6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5400010001</v>
      </c>
      <c r="C170" s="7" t="s">
        <v>397</v>
      </c>
      <c r="D170" s="10" t="s">
        <v>599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5400010002</v>
      </c>
      <c r="C171" s="7" t="s">
        <v>1340</v>
      </c>
      <c r="D171" s="10" t="s">
        <v>599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5400010003</v>
      </c>
      <c r="C172" s="7" t="s">
        <v>1408</v>
      </c>
      <c r="D172" s="10" t="s">
        <v>599</v>
      </c>
      <c r="E172" s="7">
        <v>1</v>
      </c>
      <c r="F172" s="7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5500010001</v>
      </c>
      <c r="C173" s="7" t="s">
        <v>398</v>
      </c>
      <c r="D173" s="10" t="s">
        <v>600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5500010002</v>
      </c>
      <c r="C174" s="7" t="s">
        <v>1341</v>
      </c>
      <c r="D174" s="10" t="s">
        <v>600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5">
        <v>5500010003</v>
      </c>
      <c r="C175" s="7" t="s">
        <v>1409</v>
      </c>
      <c r="D175" s="10" t="s">
        <v>600</v>
      </c>
      <c r="E175" s="7">
        <v>3</v>
      </c>
      <c r="F175" s="6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7">
        <v>5600010001</v>
      </c>
      <c r="C176" s="7" t="s">
        <v>399</v>
      </c>
      <c r="D176" s="10" t="s">
        <v>601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5600010002</v>
      </c>
      <c r="C177" s="7" t="s">
        <v>1342</v>
      </c>
      <c r="D177" s="10" t="s">
        <v>601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5600010003</v>
      </c>
      <c r="C178" s="7" t="s">
        <v>1410</v>
      </c>
      <c r="D178" s="10" t="s">
        <v>601</v>
      </c>
      <c r="E178" s="6">
        <v>2</v>
      </c>
      <c r="F178" s="7">
        <v>0</v>
      </c>
      <c r="G178" s="6">
        <v>2</v>
      </c>
      <c r="H178" s="6">
        <v>3</v>
      </c>
      <c r="I178" s="6">
        <v>0</v>
      </c>
      <c r="J178" s="6">
        <v>2</v>
      </c>
      <c r="K178" s="6">
        <v>100</v>
      </c>
      <c r="L178" s="6">
        <v>1</v>
      </c>
      <c r="M178" s="6">
        <v>2</v>
      </c>
      <c r="N178" s="6">
        <v>120</v>
      </c>
      <c r="O178" s="6" t="b">
        <v>0</v>
      </c>
      <c r="P178" s="6">
        <v>0</v>
      </c>
      <c r="Q178" s="6">
        <v>0</v>
      </c>
      <c r="R178" s="5">
        <v>49</v>
      </c>
      <c r="S178" s="5">
        <v>0</v>
      </c>
      <c r="T178" s="5">
        <v>0</v>
      </c>
      <c r="U178" s="5" t="b">
        <v>1</v>
      </c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5700010001</v>
      </c>
      <c r="C179" s="7" t="s">
        <v>400</v>
      </c>
      <c r="D179" s="10" t="s">
        <v>602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5700010002</v>
      </c>
      <c r="C180" s="7" t="s">
        <v>1343</v>
      </c>
      <c r="D180" s="10" t="s">
        <v>602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5700010003</v>
      </c>
      <c r="C181" s="7" t="s">
        <v>1411</v>
      </c>
      <c r="D181" s="10" t="s">
        <v>602</v>
      </c>
      <c r="E181" s="7">
        <v>2</v>
      </c>
      <c r="F181" s="6">
        <v>0</v>
      </c>
      <c r="G181" s="7">
        <v>2</v>
      </c>
      <c r="H181" s="7">
        <v>4</v>
      </c>
      <c r="I181" s="6">
        <v>0</v>
      </c>
      <c r="J181" s="7">
        <v>2</v>
      </c>
      <c r="K181" s="6">
        <v>100</v>
      </c>
      <c r="L181" s="7">
        <v>1</v>
      </c>
      <c r="M181" s="7">
        <v>2</v>
      </c>
      <c r="N181" s="7">
        <v>150</v>
      </c>
      <c r="O181" s="6" t="b">
        <v>0</v>
      </c>
      <c r="P181" s="6">
        <v>0</v>
      </c>
      <c r="Q181" s="6">
        <v>0</v>
      </c>
      <c r="R181" s="7">
        <v>49</v>
      </c>
      <c r="S181" s="5">
        <v>0</v>
      </c>
      <c r="T181" s="7">
        <v>0</v>
      </c>
      <c r="U181" s="5" t="b">
        <v>1</v>
      </c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5800010001</v>
      </c>
      <c r="C182" s="7" t="s">
        <v>401</v>
      </c>
      <c r="D182" s="10" t="s">
        <v>603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5800010002</v>
      </c>
      <c r="C183" s="7" t="s">
        <v>1344</v>
      </c>
      <c r="D183" s="10" t="s">
        <v>603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5">
        <v>5800010003</v>
      </c>
      <c r="C184" s="7" t="s">
        <v>1412</v>
      </c>
      <c r="D184" s="10" t="s">
        <v>603</v>
      </c>
      <c r="E184" s="7">
        <v>2</v>
      </c>
      <c r="F184" s="7">
        <v>0</v>
      </c>
      <c r="G184" s="7">
        <v>1</v>
      </c>
      <c r="H184" s="7">
        <v>6</v>
      </c>
      <c r="I184" s="6">
        <v>0</v>
      </c>
      <c r="J184" s="7">
        <v>2</v>
      </c>
      <c r="K184" s="6">
        <v>100</v>
      </c>
      <c r="L184" s="7">
        <v>14</v>
      </c>
      <c r="M184" s="7">
        <v>2</v>
      </c>
      <c r="N184" s="7">
        <v>200</v>
      </c>
      <c r="O184" s="6" t="b">
        <v>0</v>
      </c>
      <c r="P184" s="6">
        <v>0</v>
      </c>
      <c r="Q184" s="6">
        <v>0</v>
      </c>
      <c r="R184" s="7">
        <v>1</v>
      </c>
      <c r="S184" s="5">
        <v>0</v>
      </c>
      <c r="T184" s="7">
        <v>0</v>
      </c>
      <c r="U184" s="5" t="b">
        <v>1</v>
      </c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7">
        <v>5900010001</v>
      </c>
      <c r="C185" s="7" t="s">
        <v>402</v>
      </c>
      <c r="D185" s="10" t="s">
        <v>604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5900010002</v>
      </c>
      <c r="C186" s="7" t="s">
        <v>1345</v>
      </c>
      <c r="D186" s="10" t="s">
        <v>604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5900010003</v>
      </c>
      <c r="C187" s="7" t="s">
        <v>1413</v>
      </c>
      <c r="D187" s="10" t="s">
        <v>604</v>
      </c>
      <c r="E187" s="7">
        <v>1</v>
      </c>
      <c r="F187" s="6">
        <v>0</v>
      </c>
      <c r="G187" s="7">
        <v>3</v>
      </c>
      <c r="H187" s="7">
        <v>1</v>
      </c>
      <c r="I187" s="6">
        <v>0</v>
      </c>
      <c r="J187" s="7">
        <v>1</v>
      </c>
      <c r="K187" s="6">
        <v>100</v>
      </c>
      <c r="L187" s="7">
        <v>1</v>
      </c>
      <c r="M187" s="7">
        <v>0</v>
      </c>
      <c r="N187" s="7">
        <v>25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-1</v>
      </c>
      <c r="U187" s="5" t="b">
        <v>1</v>
      </c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18.75" customHeight="1">
      <c r="A188" s="8"/>
      <c r="B188" s="5">
        <v>6000010001</v>
      </c>
      <c r="C188" s="7" t="s">
        <v>403</v>
      </c>
      <c r="D188" s="10" t="s">
        <v>605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53.25" customHeight="1">
      <c r="A189" s="8"/>
      <c r="B189" s="5">
        <v>6000010002</v>
      </c>
      <c r="C189" s="7" t="s">
        <v>1346</v>
      </c>
      <c r="D189" s="10" t="s">
        <v>605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36" customHeight="1">
      <c r="A190" s="8"/>
      <c r="B190" s="5">
        <v>6000010003</v>
      </c>
      <c r="C190" s="7" t="s">
        <v>1414</v>
      </c>
      <c r="D190" s="10" t="s">
        <v>605</v>
      </c>
      <c r="E190" s="7">
        <v>3</v>
      </c>
      <c r="F190" s="7">
        <v>0</v>
      </c>
      <c r="G190" s="7">
        <v>3</v>
      </c>
      <c r="H190" s="7">
        <v>7</v>
      </c>
      <c r="I190" s="6">
        <v>0</v>
      </c>
      <c r="J190" s="7">
        <v>2</v>
      </c>
      <c r="K190" s="6">
        <v>100</v>
      </c>
      <c r="L190" s="7">
        <v>2</v>
      </c>
      <c r="M190" s="7">
        <v>2</v>
      </c>
      <c r="N190" s="7">
        <v>400</v>
      </c>
      <c r="O190" s="6" t="b">
        <v>0</v>
      </c>
      <c r="P190" s="6">
        <v>0</v>
      </c>
      <c r="Q190" s="6">
        <v>0</v>
      </c>
      <c r="R190" s="7">
        <v>3</v>
      </c>
      <c r="S190" s="5">
        <v>0</v>
      </c>
      <c r="T190" s="7">
        <v>4</v>
      </c>
      <c r="U190" s="5" t="b">
        <v>1</v>
      </c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</row>
    <row r="191" spans="1:46" ht="18.75" customHeight="1">
      <c r="B191" s="5">
        <v>6100010001</v>
      </c>
      <c r="C191" s="7" t="s">
        <v>404</v>
      </c>
      <c r="D191" s="10" t="s">
        <v>606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</row>
    <row r="192" spans="1:46" ht="18.75" customHeight="1">
      <c r="B192" s="5">
        <v>6100010002</v>
      </c>
      <c r="C192" s="7" t="s">
        <v>1347</v>
      </c>
      <c r="D192" s="10" t="s">
        <v>606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</row>
    <row r="193" spans="1:35" ht="18.75" customHeight="1">
      <c r="B193" s="5">
        <v>6100010003</v>
      </c>
      <c r="C193" s="7" t="s">
        <v>1415</v>
      </c>
      <c r="D193" s="10" t="s">
        <v>606</v>
      </c>
      <c r="E193" s="6">
        <v>2</v>
      </c>
      <c r="F193" s="6">
        <v>0</v>
      </c>
      <c r="G193" s="6">
        <v>2</v>
      </c>
      <c r="H193" s="6">
        <v>3</v>
      </c>
      <c r="I193" s="6">
        <v>0</v>
      </c>
      <c r="J193" s="6">
        <v>2</v>
      </c>
      <c r="K193" s="6">
        <v>100</v>
      </c>
      <c r="L193" s="6">
        <v>1</v>
      </c>
      <c r="M193" s="6">
        <v>2</v>
      </c>
      <c r="N193" s="6">
        <v>120</v>
      </c>
      <c r="O193" s="6" t="b">
        <v>0</v>
      </c>
      <c r="P193" s="6">
        <v>0</v>
      </c>
      <c r="Q193" s="6">
        <v>0</v>
      </c>
      <c r="R193" s="5">
        <v>49</v>
      </c>
      <c r="S193" s="5">
        <v>0</v>
      </c>
      <c r="T193" s="5">
        <v>0</v>
      </c>
      <c r="U193" s="5" t="b">
        <v>1</v>
      </c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</row>
    <row r="194" spans="1:35" ht="18.75" customHeight="1">
      <c r="B194" s="7">
        <v>6200010001</v>
      </c>
      <c r="C194" s="7" t="s">
        <v>405</v>
      </c>
      <c r="D194" s="10" t="s">
        <v>607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</row>
    <row r="195" spans="1:35" ht="18.75" customHeight="1">
      <c r="B195" s="5">
        <v>6200010002</v>
      </c>
      <c r="C195" s="7" t="s">
        <v>1348</v>
      </c>
      <c r="D195" s="10" t="s">
        <v>607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</row>
    <row r="196" spans="1:35" ht="18.75" customHeight="1">
      <c r="B196" s="5">
        <v>6200010003</v>
      </c>
      <c r="C196" s="7" t="s">
        <v>1416</v>
      </c>
      <c r="D196" s="10" t="s">
        <v>607</v>
      </c>
      <c r="E196" s="7">
        <v>2</v>
      </c>
      <c r="F196" s="7">
        <v>0</v>
      </c>
      <c r="G196" s="7">
        <v>2</v>
      </c>
      <c r="H196" s="7">
        <v>4</v>
      </c>
      <c r="I196" s="6">
        <v>0</v>
      </c>
      <c r="J196" s="7">
        <v>2</v>
      </c>
      <c r="K196" s="6">
        <v>100</v>
      </c>
      <c r="L196" s="7">
        <v>1</v>
      </c>
      <c r="M196" s="7">
        <v>2</v>
      </c>
      <c r="N196" s="7">
        <v>150</v>
      </c>
      <c r="O196" s="6" t="b">
        <v>0</v>
      </c>
      <c r="P196" s="6">
        <v>0</v>
      </c>
      <c r="Q196" s="6">
        <v>0</v>
      </c>
      <c r="R196" s="7">
        <v>49</v>
      </c>
      <c r="S196" s="5">
        <v>0</v>
      </c>
      <c r="T196" s="7">
        <v>0</v>
      </c>
      <c r="U196" s="5" t="b">
        <v>1</v>
      </c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</row>
    <row r="197" spans="1:35" ht="18.75" customHeight="1">
      <c r="B197" s="5">
        <v>6300010001</v>
      </c>
      <c r="C197" s="7" t="s">
        <v>406</v>
      </c>
      <c r="D197" s="10" t="s">
        <v>608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</row>
    <row r="198" spans="1:35" ht="18.75" customHeight="1">
      <c r="B198" s="5">
        <v>6300010002</v>
      </c>
      <c r="C198" s="7" t="s">
        <v>1349</v>
      </c>
      <c r="D198" s="10" t="s">
        <v>608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</row>
    <row r="199" spans="1:35" ht="18.75" customHeight="1">
      <c r="B199" s="5">
        <v>6300010003</v>
      </c>
      <c r="C199" s="7" t="s">
        <v>1417</v>
      </c>
      <c r="D199" s="10" t="s">
        <v>608</v>
      </c>
      <c r="E199" s="7">
        <v>2</v>
      </c>
      <c r="F199" s="6">
        <v>0</v>
      </c>
      <c r="G199" s="7">
        <v>1</v>
      </c>
      <c r="H199" s="7">
        <v>6</v>
      </c>
      <c r="I199" s="6">
        <v>0</v>
      </c>
      <c r="J199" s="7">
        <v>2</v>
      </c>
      <c r="K199" s="6">
        <v>100</v>
      </c>
      <c r="L199" s="7">
        <v>14</v>
      </c>
      <c r="M199" s="7">
        <v>2</v>
      </c>
      <c r="N199" s="7">
        <v>200</v>
      </c>
      <c r="O199" s="6" t="b">
        <v>0</v>
      </c>
      <c r="P199" s="6">
        <v>0</v>
      </c>
      <c r="Q199" s="6">
        <v>0</v>
      </c>
      <c r="R199" s="7">
        <v>1</v>
      </c>
      <c r="S199" s="5">
        <v>0</v>
      </c>
      <c r="T199" s="7">
        <v>0</v>
      </c>
      <c r="U199" s="5" t="b">
        <v>1</v>
      </c>
    </row>
    <row r="200" spans="1:35" ht="18.75" customHeight="1">
      <c r="B200" s="5">
        <v>6400010001</v>
      </c>
      <c r="C200" s="7" t="s">
        <v>407</v>
      </c>
      <c r="D200" s="10" t="s">
        <v>609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4"/>
      <c r="B201" s="5">
        <v>6400010002</v>
      </c>
      <c r="C201" s="7" t="s">
        <v>1350</v>
      </c>
      <c r="D201" s="10" t="s">
        <v>609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4"/>
      <c r="B202" s="5">
        <v>6400010003</v>
      </c>
      <c r="C202" s="7" t="s">
        <v>1418</v>
      </c>
      <c r="D202" s="10" t="s">
        <v>609</v>
      </c>
      <c r="E202" s="7">
        <v>1</v>
      </c>
      <c r="F202" s="7">
        <v>0</v>
      </c>
      <c r="G202" s="7">
        <v>3</v>
      </c>
      <c r="H202" s="7">
        <v>1</v>
      </c>
      <c r="I202" s="6">
        <v>0</v>
      </c>
      <c r="J202" s="7">
        <v>1</v>
      </c>
      <c r="K202" s="6">
        <v>100</v>
      </c>
      <c r="L202" s="7">
        <v>1</v>
      </c>
      <c r="M202" s="7">
        <v>0</v>
      </c>
      <c r="N202" s="7">
        <v>25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-1</v>
      </c>
      <c r="U202" s="5" t="b">
        <v>1</v>
      </c>
    </row>
    <row r="203" spans="1:35" ht="18.75" customHeight="1">
      <c r="A203" s="54"/>
      <c r="B203" s="7">
        <v>6500010001</v>
      </c>
      <c r="C203" s="7" t="s">
        <v>408</v>
      </c>
      <c r="D203" s="10" t="s">
        <v>610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4"/>
      <c r="B204" s="5">
        <v>6500010002</v>
      </c>
      <c r="C204" s="7" t="s">
        <v>1351</v>
      </c>
      <c r="D204" s="10" t="s">
        <v>610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4"/>
      <c r="B205" s="5">
        <v>6500010003</v>
      </c>
      <c r="C205" s="7" t="s">
        <v>1419</v>
      </c>
      <c r="D205" s="10" t="s">
        <v>610</v>
      </c>
      <c r="E205" s="7">
        <v>3</v>
      </c>
      <c r="F205" s="6">
        <v>0</v>
      </c>
      <c r="G205" s="7">
        <v>3</v>
      </c>
      <c r="H205" s="7">
        <v>7</v>
      </c>
      <c r="I205" s="6">
        <v>0</v>
      </c>
      <c r="J205" s="7">
        <v>2</v>
      </c>
      <c r="K205" s="6">
        <v>100</v>
      </c>
      <c r="L205" s="7">
        <v>2</v>
      </c>
      <c r="M205" s="7">
        <v>2</v>
      </c>
      <c r="N205" s="7">
        <v>400</v>
      </c>
      <c r="O205" s="6" t="b">
        <v>0</v>
      </c>
      <c r="P205" s="6">
        <v>0</v>
      </c>
      <c r="Q205" s="6">
        <v>0</v>
      </c>
      <c r="R205" s="7">
        <v>3</v>
      </c>
      <c r="S205" s="5">
        <v>0</v>
      </c>
      <c r="T205" s="7">
        <v>4</v>
      </c>
      <c r="U205" s="5" t="b">
        <v>1</v>
      </c>
    </row>
    <row r="206" spans="1:35" ht="18.75" customHeight="1">
      <c r="A206" s="54"/>
      <c r="B206" s="5">
        <v>6600010001</v>
      </c>
      <c r="C206" s="7" t="s">
        <v>409</v>
      </c>
      <c r="D206" s="10" t="s">
        <v>611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4"/>
      <c r="B207" s="5">
        <v>6600010002</v>
      </c>
      <c r="C207" s="7" t="s">
        <v>1352</v>
      </c>
      <c r="D207" s="10" t="s">
        <v>611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4"/>
      <c r="B208" s="5">
        <v>6600010003</v>
      </c>
      <c r="C208" s="7" t="s">
        <v>1420</v>
      </c>
      <c r="D208" s="10" t="s">
        <v>611</v>
      </c>
      <c r="E208" s="6">
        <v>2</v>
      </c>
      <c r="F208" s="7">
        <v>0</v>
      </c>
      <c r="G208" s="6">
        <v>2</v>
      </c>
      <c r="H208" s="6">
        <v>3</v>
      </c>
      <c r="I208" s="6">
        <v>0</v>
      </c>
      <c r="J208" s="6">
        <v>2</v>
      </c>
      <c r="K208" s="6">
        <v>100</v>
      </c>
      <c r="L208" s="6">
        <v>1</v>
      </c>
      <c r="M208" s="6">
        <v>2</v>
      </c>
      <c r="N208" s="6">
        <v>120</v>
      </c>
      <c r="O208" s="6" t="b">
        <v>0</v>
      </c>
      <c r="P208" s="6">
        <v>0</v>
      </c>
      <c r="Q208" s="6">
        <v>0</v>
      </c>
      <c r="R208" s="5">
        <v>49</v>
      </c>
      <c r="S208" s="5">
        <v>0</v>
      </c>
      <c r="T208" s="5">
        <v>0</v>
      </c>
      <c r="U208" s="5" t="b">
        <v>1</v>
      </c>
    </row>
    <row r="209" spans="1:21" ht="18.75" customHeight="1">
      <c r="A209" s="54"/>
      <c r="B209" s="5">
        <v>6700010001</v>
      </c>
      <c r="C209" s="7" t="s">
        <v>410</v>
      </c>
      <c r="D209" s="10" t="s">
        <v>612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4"/>
      <c r="B210" s="5">
        <v>6700010002</v>
      </c>
      <c r="C210" s="7" t="s">
        <v>1353</v>
      </c>
      <c r="D210" s="10" t="s">
        <v>612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4"/>
      <c r="B211" s="5">
        <v>6700010003</v>
      </c>
      <c r="C211" s="7" t="s">
        <v>1421</v>
      </c>
      <c r="D211" s="10" t="s">
        <v>612</v>
      </c>
      <c r="E211" s="7">
        <v>2</v>
      </c>
      <c r="F211" s="6">
        <v>0</v>
      </c>
      <c r="G211" s="7">
        <v>2</v>
      </c>
      <c r="H211" s="7">
        <v>4</v>
      </c>
      <c r="I211" s="6">
        <v>0</v>
      </c>
      <c r="J211" s="7">
        <v>2</v>
      </c>
      <c r="K211" s="6">
        <v>100</v>
      </c>
      <c r="L211" s="7">
        <v>1</v>
      </c>
      <c r="M211" s="7">
        <v>2</v>
      </c>
      <c r="N211" s="7">
        <v>150</v>
      </c>
      <c r="O211" s="6" t="b">
        <v>0</v>
      </c>
      <c r="P211" s="6">
        <v>0</v>
      </c>
      <c r="Q211" s="6">
        <v>0</v>
      </c>
      <c r="R211" s="7">
        <v>49</v>
      </c>
      <c r="S211" s="5">
        <v>0</v>
      </c>
      <c r="T211" s="7">
        <v>0</v>
      </c>
      <c r="U211" s="5" t="b">
        <v>1</v>
      </c>
    </row>
    <row r="212" spans="1:21" ht="18.75" customHeight="1">
      <c r="A212" s="54"/>
      <c r="B212" s="7">
        <v>6800010001</v>
      </c>
      <c r="C212" s="7" t="s">
        <v>411</v>
      </c>
      <c r="D212" s="10" t="s">
        <v>613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6800010002</v>
      </c>
      <c r="C213" s="7" t="s">
        <v>1354</v>
      </c>
      <c r="D213" s="10" t="s">
        <v>613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6800010003</v>
      </c>
      <c r="C214" s="7" t="s">
        <v>1422</v>
      </c>
      <c r="D214" s="10" t="s">
        <v>613</v>
      </c>
      <c r="E214" s="7">
        <v>2</v>
      </c>
      <c r="F214" s="7">
        <v>0</v>
      </c>
      <c r="G214" s="7">
        <v>1</v>
      </c>
      <c r="H214" s="7">
        <v>6</v>
      </c>
      <c r="I214" s="6">
        <v>0</v>
      </c>
      <c r="J214" s="7">
        <v>2</v>
      </c>
      <c r="K214" s="6">
        <v>100</v>
      </c>
      <c r="L214" s="7">
        <v>14</v>
      </c>
      <c r="M214" s="7">
        <v>2</v>
      </c>
      <c r="N214" s="7">
        <v>200</v>
      </c>
      <c r="O214" s="6" t="b">
        <v>0</v>
      </c>
      <c r="P214" s="6">
        <v>0</v>
      </c>
      <c r="Q214" s="6">
        <v>0</v>
      </c>
      <c r="R214" s="7">
        <v>1</v>
      </c>
      <c r="S214" s="5">
        <v>0</v>
      </c>
      <c r="T214" s="7">
        <v>0</v>
      </c>
      <c r="U214" s="5" t="b">
        <v>1</v>
      </c>
    </row>
    <row r="215" spans="1:21" ht="18.75" customHeight="1">
      <c r="B215" s="5">
        <v>6900010001</v>
      </c>
      <c r="C215" s="7" t="s">
        <v>412</v>
      </c>
      <c r="D215" s="10" t="s">
        <v>614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6900010002</v>
      </c>
      <c r="C216" s="7" t="s">
        <v>1355</v>
      </c>
      <c r="D216" s="10" t="s">
        <v>614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6900010003</v>
      </c>
      <c r="C217" s="7" t="s">
        <v>1423</v>
      </c>
      <c r="D217" s="10" t="s">
        <v>614</v>
      </c>
      <c r="E217" s="7">
        <v>1</v>
      </c>
      <c r="F217" s="6">
        <v>0</v>
      </c>
      <c r="G217" s="7">
        <v>3</v>
      </c>
      <c r="H217" s="7">
        <v>1</v>
      </c>
      <c r="I217" s="6">
        <v>0</v>
      </c>
      <c r="J217" s="7">
        <v>1</v>
      </c>
      <c r="K217" s="6">
        <v>100</v>
      </c>
      <c r="L217" s="7">
        <v>1</v>
      </c>
      <c r="M217" s="7">
        <v>0</v>
      </c>
      <c r="N217" s="7">
        <v>25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-1</v>
      </c>
      <c r="U217" s="5" t="b">
        <v>1</v>
      </c>
    </row>
    <row r="218" spans="1:21" ht="18.75" customHeight="1">
      <c r="B218" s="5">
        <v>7000010001</v>
      </c>
      <c r="C218" s="7" t="s">
        <v>413</v>
      </c>
      <c r="D218" s="10" t="s">
        <v>615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7000010002</v>
      </c>
      <c r="C219" s="7" t="s">
        <v>1356</v>
      </c>
      <c r="D219" s="10" t="s">
        <v>615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>
        <v>7000010003</v>
      </c>
      <c r="C220" s="7" t="s">
        <v>1424</v>
      </c>
      <c r="D220" s="10" t="s">
        <v>615</v>
      </c>
      <c r="E220" s="7">
        <v>3</v>
      </c>
      <c r="F220" s="7">
        <v>0</v>
      </c>
      <c r="G220" s="7">
        <v>3</v>
      </c>
      <c r="H220" s="7">
        <v>7</v>
      </c>
      <c r="I220" s="6">
        <v>0</v>
      </c>
      <c r="J220" s="7">
        <v>2</v>
      </c>
      <c r="K220" s="6">
        <v>100</v>
      </c>
      <c r="L220" s="7">
        <v>2</v>
      </c>
      <c r="M220" s="7">
        <v>2</v>
      </c>
      <c r="N220" s="7">
        <v>400</v>
      </c>
      <c r="O220" s="6" t="b">
        <v>0</v>
      </c>
      <c r="P220" s="6">
        <v>0</v>
      </c>
      <c r="Q220" s="6">
        <v>0</v>
      </c>
      <c r="R220" s="7">
        <v>3</v>
      </c>
      <c r="S220" s="5">
        <v>0</v>
      </c>
      <c r="T220" s="7">
        <v>4</v>
      </c>
      <c r="U220" s="5" t="b">
        <v>1</v>
      </c>
    </row>
    <row r="221" spans="1:21" ht="18.75" customHeight="1">
      <c r="B221" s="5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7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5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7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5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7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5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7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5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7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5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7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5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7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5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7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18.7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3.5" customHeight="1">
      <c r="B241" s="5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49.5" customHeight="1">
      <c r="B242" s="7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57" customHeight="1">
      <c r="B243" s="5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60" customHeight="1">
      <c r="B244" s="7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5"/>
      <c r="C245" s="7"/>
      <c r="D245" s="10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7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5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7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5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>
      <c r="B250" s="7"/>
      <c r="C250" s="7"/>
      <c r="D250" s="7"/>
      <c r="E250" s="13"/>
      <c r="F250" s="13"/>
      <c r="H250" s="7"/>
      <c r="I250" s="13"/>
      <c r="J250" s="13"/>
      <c r="K250" s="13"/>
      <c r="L250" s="13"/>
    </row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I220">
    <sortCondition ref="B11:B220"/>
  </sortState>
  <phoneticPr fontId="3"/>
  <conditionalFormatting sqref="G26">
    <cfRule type="expression" dxfId="68" priority="13">
      <formula>CELL("ROW")=ROW()</formula>
    </cfRule>
  </conditionalFormatting>
  <conditionalFormatting sqref="E11:U29 E85:U97 F17:F220 I17:I220 E153:U165">
    <cfRule type="expression" dxfId="67" priority="12">
      <formula>CELL("ROW")=ROW()</formula>
    </cfRule>
  </conditionalFormatting>
  <conditionalFormatting sqref="A2:U9 A10:G10 V5:AI9 J10:K10 N10:O10 Q10:V10 AB10:AC10 AE10:AI10 X10:Z10 A11:U220">
    <cfRule type="expression" dxfId="66" priority="11">
      <formula>CELL("ROW")=ROW()</formula>
    </cfRule>
  </conditionalFormatting>
  <conditionalFormatting sqref="I10">
    <cfRule type="expression" dxfId="65" priority="10">
      <formula>CELL("ROW")=ROW()</formula>
    </cfRule>
  </conditionalFormatting>
  <conditionalFormatting sqref="W10">
    <cfRule type="expression" dxfId="64" priority="9">
      <formula>CELL("ROW")=ROW()</formula>
    </cfRule>
  </conditionalFormatting>
  <conditionalFormatting sqref="L10">
    <cfRule type="expression" dxfId="63" priority="8">
      <formula>CELL("ROW")=ROW()</formula>
    </cfRule>
  </conditionalFormatting>
  <conditionalFormatting sqref="M10">
    <cfRule type="expression" dxfId="62" priority="7">
      <formula>CELL("ROW")=ROW()</formula>
    </cfRule>
  </conditionalFormatting>
  <conditionalFormatting sqref="P10">
    <cfRule type="expression" dxfId="61" priority="6">
      <formula>CELL("ROW")=ROW()</formula>
    </cfRule>
  </conditionalFormatting>
  <conditionalFormatting sqref="AA10">
    <cfRule type="expression" dxfId="60" priority="5">
      <formula>CELL("ROW")=ROW()</formula>
    </cfRule>
  </conditionalFormatting>
  <conditionalFormatting sqref="AD10">
    <cfRule type="expression" dxfId="59" priority="4">
      <formula>CELL("ROW")=ROW()</formula>
    </cfRule>
  </conditionalFormatting>
  <conditionalFormatting sqref="H10">
    <cfRule type="expression" dxfId="58" priority="3">
      <formula>CELL("ROW")=ROW()</formula>
    </cfRule>
  </conditionalFormatting>
  <conditionalFormatting sqref="G94">
    <cfRule type="expression" dxfId="57" priority="2">
      <formula>CELL("ROW")=ROW()</formula>
    </cfRule>
  </conditionalFormatting>
  <conditionalFormatting sqref="G162">
    <cfRule type="expression" dxfId="56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2.75" style="36" customWidth="1"/>
    <col min="3" max="3" width="21.875" style="36" customWidth="1"/>
    <col min="4" max="4" width="89.625" style="36" customWidth="1"/>
    <col min="5" max="5" width="20.875" style="36" customWidth="1"/>
    <col min="6" max="6" width="18.875" style="36" customWidth="1"/>
    <col min="7" max="8" width="20.87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3.875" style="36" customWidth="1"/>
    <col min="23" max="23" width="13.625" style="36" customWidth="1"/>
    <col min="24" max="24" width="12.625" style="36" customWidth="1"/>
    <col min="25" max="27" width="18.875" style="36" customWidth="1"/>
    <col min="28" max="28" width="12.625" style="36" customWidth="1"/>
    <col min="29" max="29" width="18.875" style="36" customWidth="1"/>
    <col min="30" max="30" width="12.625" style="36" customWidth="1"/>
    <col min="31" max="31" width="17" style="36" customWidth="1"/>
    <col min="32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212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196</v>
      </c>
      <c r="G6" s="3" t="s">
        <v>208</v>
      </c>
      <c r="H6" s="3" t="s">
        <v>616</v>
      </c>
      <c r="I6" s="3" t="s">
        <v>194</v>
      </c>
      <c r="J6" s="3" t="s">
        <v>195</v>
      </c>
      <c r="K6" s="3" t="s">
        <v>197</v>
      </c>
      <c r="L6" s="3" t="s">
        <v>618</v>
      </c>
      <c r="M6" s="3" t="s">
        <v>620</v>
      </c>
      <c r="N6" s="3" t="s">
        <v>622</v>
      </c>
      <c r="O6" s="3" t="s">
        <v>217</v>
      </c>
      <c r="P6" s="3" t="s">
        <v>627</v>
      </c>
      <c r="Q6" s="3" t="s">
        <v>198</v>
      </c>
      <c r="R6" s="3" t="s">
        <v>624</v>
      </c>
      <c r="S6" s="3" t="s">
        <v>196</v>
      </c>
      <c r="T6" s="3" t="s">
        <v>208</v>
      </c>
      <c r="U6" s="3" t="s">
        <v>616</v>
      </c>
      <c r="V6" s="3" t="s">
        <v>194</v>
      </c>
      <c r="W6" s="3" t="s">
        <v>195</v>
      </c>
      <c r="X6" s="3" t="s">
        <v>197</v>
      </c>
      <c r="Y6" s="3" t="s">
        <v>618</v>
      </c>
      <c r="Z6" s="3" t="s">
        <v>620</v>
      </c>
      <c r="AA6" s="3" t="s">
        <v>622</v>
      </c>
      <c r="AB6" s="3" t="s">
        <v>217</v>
      </c>
      <c r="AC6" s="3" t="s">
        <v>627</v>
      </c>
      <c r="AD6" s="3" t="s">
        <v>198</v>
      </c>
      <c r="AE6" s="3" t="s">
        <v>624</v>
      </c>
      <c r="AF6" s="3" t="s">
        <v>196</v>
      </c>
      <c r="AG6" s="3" t="s">
        <v>208</v>
      </c>
      <c r="AH6" s="3" t="s">
        <v>616</v>
      </c>
      <c r="AI6" s="3" t="s">
        <v>194</v>
      </c>
      <c r="AJ6" s="3" t="s">
        <v>195</v>
      </c>
      <c r="AK6" s="3" t="s">
        <v>197</v>
      </c>
      <c r="AL6" s="3" t="s">
        <v>618</v>
      </c>
      <c r="AM6" s="3" t="s">
        <v>620</v>
      </c>
      <c r="AN6" s="3" t="s">
        <v>622</v>
      </c>
      <c r="AO6" s="3" t="s">
        <v>217</v>
      </c>
      <c r="AP6" s="3" t="s">
        <v>627</v>
      </c>
      <c r="AQ6" s="3" t="s">
        <v>198</v>
      </c>
      <c r="AR6" s="3" t="s">
        <v>624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7</v>
      </c>
      <c r="G8" s="4" t="s">
        <v>173</v>
      </c>
      <c r="H8" s="4" t="s">
        <v>173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7</v>
      </c>
      <c r="R8" s="4" t="s">
        <v>625</v>
      </c>
      <c r="S8" s="4" t="s">
        <v>7</v>
      </c>
      <c r="T8" s="4" t="s">
        <v>173</v>
      </c>
      <c r="U8" s="4" t="s">
        <v>173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173</v>
      </c>
      <c r="AA8" s="4" t="s">
        <v>173</v>
      </c>
      <c r="AB8" s="4" t="s">
        <v>173</v>
      </c>
      <c r="AC8" s="4" t="s">
        <v>173</v>
      </c>
      <c r="AD8" s="4" t="s">
        <v>7</v>
      </c>
      <c r="AE8" s="4" t="s">
        <v>625</v>
      </c>
      <c r="AF8" s="4" t="s">
        <v>7</v>
      </c>
      <c r="AG8" s="4" t="s">
        <v>173</v>
      </c>
      <c r="AH8" s="4" t="s">
        <v>173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173</v>
      </c>
      <c r="AN8" s="4" t="s">
        <v>173</v>
      </c>
      <c r="AO8" s="4" t="s">
        <v>173</v>
      </c>
      <c r="AP8" s="4" t="s">
        <v>173</v>
      </c>
      <c r="AQ8" s="4" t="s">
        <v>7</v>
      </c>
      <c r="AR8" s="4" t="s">
        <v>625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5" t="s">
        <v>205</v>
      </c>
      <c r="G9" s="9" t="s">
        <v>209</v>
      </c>
      <c r="H9" s="9" t="s">
        <v>617</v>
      </c>
      <c r="I9" s="9" t="s">
        <v>203</v>
      </c>
      <c r="J9" s="5" t="s">
        <v>204</v>
      </c>
      <c r="K9" s="6" t="s">
        <v>206</v>
      </c>
      <c r="L9" s="6" t="s">
        <v>619</v>
      </c>
      <c r="M9" s="6" t="s">
        <v>621</v>
      </c>
      <c r="N9" s="6" t="s">
        <v>623</v>
      </c>
      <c r="O9" s="6" t="s">
        <v>218</v>
      </c>
      <c r="P9" s="6" t="s">
        <v>628</v>
      </c>
      <c r="Q9" s="6" t="s">
        <v>207</v>
      </c>
      <c r="R9" s="6" t="s">
        <v>626</v>
      </c>
      <c r="S9" s="5" t="s">
        <v>205</v>
      </c>
      <c r="T9" s="9" t="s">
        <v>209</v>
      </c>
      <c r="U9" s="9" t="s">
        <v>617</v>
      </c>
      <c r="V9" s="9" t="s">
        <v>203</v>
      </c>
      <c r="W9" s="5" t="s">
        <v>204</v>
      </c>
      <c r="X9" s="6" t="s">
        <v>206</v>
      </c>
      <c r="Y9" s="6" t="s">
        <v>619</v>
      </c>
      <c r="Z9" s="6" t="s">
        <v>621</v>
      </c>
      <c r="AA9" s="6" t="s">
        <v>623</v>
      </c>
      <c r="AB9" s="6" t="s">
        <v>218</v>
      </c>
      <c r="AC9" s="6" t="s">
        <v>628</v>
      </c>
      <c r="AD9" s="6" t="s">
        <v>207</v>
      </c>
      <c r="AE9" s="6" t="s">
        <v>626</v>
      </c>
      <c r="AF9" s="5" t="s">
        <v>205</v>
      </c>
      <c r="AG9" s="9" t="s">
        <v>209</v>
      </c>
      <c r="AH9" s="9" t="s">
        <v>617</v>
      </c>
      <c r="AI9" s="9" t="s">
        <v>203</v>
      </c>
      <c r="AJ9" s="5" t="s">
        <v>204</v>
      </c>
      <c r="AK9" s="6" t="s">
        <v>206</v>
      </c>
      <c r="AL9" s="6" t="s">
        <v>619</v>
      </c>
      <c r="AM9" s="6" t="s">
        <v>621</v>
      </c>
      <c r="AN9" s="6" t="s">
        <v>623</v>
      </c>
      <c r="AO9" s="6" t="s">
        <v>218</v>
      </c>
      <c r="AP9" s="6" t="s">
        <v>628</v>
      </c>
      <c r="AQ9" s="6" t="s">
        <v>207</v>
      </c>
      <c r="AR9" s="6" t="s">
        <v>626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5" t="s">
        <v>12</v>
      </c>
      <c r="B10" s="6" t="s">
        <v>1426</v>
      </c>
      <c r="C10" s="6"/>
      <c r="D10" s="6"/>
      <c r="E10" s="6" t="s">
        <v>216</v>
      </c>
      <c r="F10" s="6" t="s">
        <v>210</v>
      </c>
      <c r="G10" s="6" t="s">
        <v>1274</v>
      </c>
      <c r="H10" s="6"/>
      <c r="I10" s="6" t="s">
        <v>800</v>
      </c>
      <c r="J10" s="6" t="s">
        <v>878</v>
      </c>
      <c r="K10" s="6"/>
      <c r="L10" s="6"/>
      <c r="M10" s="6" t="s">
        <v>878</v>
      </c>
      <c r="N10" s="6"/>
      <c r="O10" s="6"/>
      <c r="P10" s="6"/>
      <c r="Q10" s="6" t="s">
        <v>211</v>
      </c>
      <c r="R10" s="5"/>
      <c r="S10" s="6" t="s">
        <v>762</v>
      </c>
      <c r="T10" s="6" t="s">
        <v>1274</v>
      </c>
      <c r="U10" s="6"/>
      <c r="V10" s="6" t="s">
        <v>800</v>
      </c>
      <c r="W10" s="6" t="s">
        <v>878</v>
      </c>
      <c r="X10" s="6"/>
      <c r="Y10" s="6"/>
      <c r="Z10" s="6" t="s">
        <v>878</v>
      </c>
      <c r="AA10" s="6"/>
      <c r="AB10" s="5"/>
      <c r="AC10" s="5"/>
      <c r="AD10" s="6" t="s">
        <v>211</v>
      </c>
      <c r="AE10" s="5"/>
      <c r="AF10" s="6" t="s">
        <v>762</v>
      </c>
      <c r="AG10" s="6" t="s">
        <v>1274</v>
      </c>
      <c r="AH10" s="6"/>
      <c r="AI10" s="6" t="s">
        <v>215</v>
      </c>
      <c r="AJ10" s="6" t="s">
        <v>878</v>
      </c>
      <c r="AK10" s="6"/>
      <c r="AL10" s="6"/>
      <c r="AM10" s="6" t="s">
        <v>878</v>
      </c>
      <c r="AN10" s="6"/>
      <c r="AO10" s="5"/>
      <c r="AP10" s="5"/>
      <c r="AQ10" s="6" t="s">
        <v>211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272</v>
      </c>
      <c r="D11" s="6" t="s">
        <v>509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1427</v>
      </c>
      <c r="D12" s="6" t="s">
        <v>509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1497</v>
      </c>
      <c r="D13" s="6" t="s">
        <v>509</v>
      </c>
      <c r="E13" s="6">
        <v>2</v>
      </c>
      <c r="F13" s="6">
        <v>1</v>
      </c>
      <c r="G13" s="6">
        <v>2</v>
      </c>
      <c r="H13" s="6">
        <v>100</v>
      </c>
      <c r="I13" s="6">
        <v>21</v>
      </c>
      <c r="J13" s="6">
        <v>2</v>
      </c>
      <c r="K13" s="6">
        <v>100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25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49</v>
      </c>
      <c r="AC13" s="5">
        <v>31</v>
      </c>
      <c r="AD13" s="5">
        <v>1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273</v>
      </c>
      <c r="D14" s="7" t="s">
        <v>883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1428</v>
      </c>
      <c r="D15" s="7" t="s">
        <v>883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1498</v>
      </c>
      <c r="D16" s="7" t="s">
        <v>883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7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20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32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274</v>
      </c>
      <c r="D17" s="7" t="s">
        <v>268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1429</v>
      </c>
      <c r="D18" s="7" t="s">
        <v>268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1499</v>
      </c>
      <c r="D19" s="7" t="s">
        <v>268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37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275</v>
      </c>
      <c r="D20" s="7" t="s">
        <v>799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1430</v>
      </c>
      <c r="D21" s="7" t="s">
        <v>799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1500</v>
      </c>
      <c r="D22" s="7" t="s">
        <v>799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7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30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49</v>
      </c>
      <c r="AC22" s="5">
        <v>36</v>
      </c>
      <c r="AD22" s="7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276</v>
      </c>
      <c r="D23" s="7" t="s">
        <v>510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1431</v>
      </c>
      <c r="D24" s="7" t="s">
        <v>510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1501</v>
      </c>
      <c r="D25" s="7" t="s">
        <v>510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6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6">
        <v>3</v>
      </c>
      <c r="T25" s="6">
        <v>2</v>
      </c>
      <c r="U25" s="6">
        <v>10</v>
      </c>
      <c r="V25" s="5">
        <v>30</v>
      </c>
      <c r="W25" s="5">
        <v>0</v>
      </c>
      <c r="X25" s="5">
        <v>0</v>
      </c>
      <c r="Y25" s="6" t="b">
        <v>0</v>
      </c>
      <c r="Z25" s="6">
        <v>0</v>
      </c>
      <c r="AA25" s="6">
        <v>0</v>
      </c>
      <c r="AB25" s="5">
        <v>49</v>
      </c>
      <c r="AC25" s="5">
        <v>35</v>
      </c>
      <c r="AD25" s="5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60001</v>
      </c>
      <c r="C26" s="6" t="s">
        <v>277</v>
      </c>
      <c r="D26" s="7" t="s">
        <v>823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1432</v>
      </c>
      <c r="D27" s="7" t="s">
        <v>823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1502</v>
      </c>
      <c r="D28" s="7" t="s">
        <v>823</v>
      </c>
      <c r="E28" s="6">
        <v>2</v>
      </c>
      <c r="F28" s="6">
        <v>1</v>
      </c>
      <c r="G28" s="6">
        <v>2</v>
      </c>
      <c r="H28" s="6">
        <v>100</v>
      </c>
      <c r="I28" s="6">
        <v>21</v>
      </c>
      <c r="J28" s="6">
        <v>2</v>
      </c>
      <c r="K28" s="7">
        <v>100</v>
      </c>
      <c r="L28" s="6" t="b">
        <v>0</v>
      </c>
      <c r="M28" s="6">
        <v>0</v>
      </c>
      <c r="N28" s="6">
        <v>0</v>
      </c>
      <c r="O28" s="5">
        <v>1</v>
      </c>
      <c r="P28" s="5">
        <v>0</v>
      </c>
      <c r="Q28" s="5">
        <v>0</v>
      </c>
      <c r="R28" s="5" t="b">
        <v>1</v>
      </c>
      <c r="S28" s="7">
        <v>2</v>
      </c>
      <c r="T28" s="7">
        <v>5</v>
      </c>
      <c r="U28" s="6">
        <v>100</v>
      </c>
      <c r="V28" s="7">
        <v>1</v>
      </c>
      <c r="W28" s="7">
        <v>4</v>
      </c>
      <c r="X28" s="7">
        <v>20</v>
      </c>
      <c r="Y28" s="6" t="b">
        <v>0</v>
      </c>
      <c r="Z28" s="6">
        <v>0</v>
      </c>
      <c r="AA28" s="6">
        <v>0</v>
      </c>
      <c r="AB28" s="7">
        <v>49</v>
      </c>
      <c r="AC28" s="5">
        <v>0</v>
      </c>
      <c r="AD28" s="7">
        <v>0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278</v>
      </c>
      <c r="D29" s="7" t="s">
        <v>824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9.5" customHeight="1">
      <c r="A30" s="8"/>
      <c r="B30" s="5">
        <v>70002</v>
      </c>
      <c r="C30" s="6" t="s">
        <v>1433</v>
      </c>
      <c r="D30" s="7" t="s">
        <v>824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1503</v>
      </c>
      <c r="D31" s="7" t="s">
        <v>824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6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50</v>
      </c>
      <c r="V31" s="7">
        <v>30</v>
      </c>
      <c r="W31" s="7">
        <v>2</v>
      </c>
      <c r="X31" s="7">
        <v>24</v>
      </c>
      <c r="Y31" s="6" t="b">
        <v>0</v>
      </c>
      <c r="Z31" s="6">
        <v>0</v>
      </c>
      <c r="AA31" s="6">
        <v>0</v>
      </c>
      <c r="AB31" s="7">
        <v>49</v>
      </c>
      <c r="AC31" s="5">
        <v>64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80001</v>
      </c>
      <c r="C32" s="6" t="s">
        <v>279</v>
      </c>
      <c r="D32" s="6" t="s">
        <v>825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80002</v>
      </c>
      <c r="C33" s="6" t="s">
        <v>1434</v>
      </c>
      <c r="D33" s="6" t="s">
        <v>825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7">
        <v>80003</v>
      </c>
      <c r="C34" s="6" t="s">
        <v>1504</v>
      </c>
      <c r="D34" s="6" t="s">
        <v>825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25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5">
        <v>33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42" customHeight="1">
      <c r="A35" s="8"/>
      <c r="B35" s="5">
        <v>90001</v>
      </c>
      <c r="C35" s="6" t="s">
        <v>280</v>
      </c>
      <c r="D35" s="7" t="s">
        <v>826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1435</v>
      </c>
      <c r="D36" s="7" t="s">
        <v>826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1505</v>
      </c>
      <c r="D37" s="7" t="s">
        <v>826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6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6">
        <v>3</v>
      </c>
      <c r="T37" s="6">
        <v>2</v>
      </c>
      <c r="U37" s="6">
        <v>20</v>
      </c>
      <c r="V37" s="5">
        <v>30</v>
      </c>
      <c r="W37" s="5">
        <v>0</v>
      </c>
      <c r="X37" s="5">
        <v>0</v>
      </c>
      <c r="Y37" s="6" t="b">
        <v>0</v>
      </c>
      <c r="Z37" s="6">
        <v>0</v>
      </c>
      <c r="AA37" s="6">
        <v>0</v>
      </c>
      <c r="AB37" s="5">
        <v>49</v>
      </c>
      <c r="AC37" s="5">
        <v>34</v>
      </c>
      <c r="AD37" s="5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281</v>
      </c>
      <c r="D38" s="7" t="s">
        <v>268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100002</v>
      </c>
      <c r="C39" s="6" t="s">
        <v>1436</v>
      </c>
      <c r="D39" s="7" t="s">
        <v>268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7">
        <v>100003</v>
      </c>
      <c r="C40" s="6" t="s">
        <v>1506</v>
      </c>
      <c r="D40" s="7" t="s">
        <v>268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7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30</v>
      </c>
      <c r="V40" s="7">
        <v>30</v>
      </c>
      <c r="W40" s="7">
        <v>0</v>
      </c>
      <c r="X40" s="7">
        <v>0</v>
      </c>
      <c r="Y40" s="6" t="b">
        <v>0</v>
      </c>
      <c r="Z40" s="6">
        <v>0</v>
      </c>
      <c r="AA40" s="6">
        <v>0</v>
      </c>
      <c r="AB40" s="7">
        <v>49</v>
      </c>
      <c r="AC40" s="5">
        <v>37</v>
      </c>
      <c r="AD40" s="7">
        <v>1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110001</v>
      </c>
      <c r="C41" s="6" t="s">
        <v>282</v>
      </c>
      <c r="D41" s="7" t="s">
        <v>269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30.75" customHeight="1">
      <c r="A42" s="8"/>
      <c r="B42" s="5">
        <v>110002</v>
      </c>
      <c r="C42" s="6" t="s">
        <v>1437</v>
      </c>
      <c r="D42" s="7" t="s">
        <v>269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1507</v>
      </c>
      <c r="D43" s="7" t="s">
        <v>269</v>
      </c>
      <c r="E43" s="6">
        <v>2</v>
      </c>
      <c r="F43" s="6">
        <v>1</v>
      </c>
      <c r="G43" s="6">
        <v>2</v>
      </c>
      <c r="H43" s="6">
        <v>100</v>
      </c>
      <c r="I43" s="7">
        <v>21</v>
      </c>
      <c r="J43" s="6">
        <v>2</v>
      </c>
      <c r="K43" s="6">
        <v>100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7">
        <v>3</v>
      </c>
      <c r="T43" s="7">
        <v>2</v>
      </c>
      <c r="U43" s="6">
        <v>35</v>
      </c>
      <c r="V43" s="7">
        <v>30</v>
      </c>
      <c r="W43" s="7">
        <v>0</v>
      </c>
      <c r="X43" s="7">
        <v>20</v>
      </c>
      <c r="Y43" s="6" t="b">
        <v>0</v>
      </c>
      <c r="Z43" s="6">
        <v>0</v>
      </c>
      <c r="AA43" s="6">
        <v>0</v>
      </c>
      <c r="AB43" s="7">
        <v>3</v>
      </c>
      <c r="AC43" s="5">
        <v>21</v>
      </c>
      <c r="AD43" s="7">
        <v>3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120001</v>
      </c>
      <c r="C44" s="6" t="s">
        <v>283</v>
      </c>
      <c r="D44" s="7" t="s">
        <v>510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1438</v>
      </c>
      <c r="D45" s="7" t="s">
        <v>510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120003</v>
      </c>
      <c r="C46" s="6" t="s">
        <v>1508</v>
      </c>
      <c r="D46" s="7" t="s">
        <v>510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32</v>
      </c>
      <c r="AD46" s="7">
        <v>1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130001</v>
      </c>
      <c r="C47" s="6" t="s">
        <v>284</v>
      </c>
      <c r="D47" s="7" t="s">
        <v>270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1439</v>
      </c>
      <c r="D48" s="7" t="s">
        <v>270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1509</v>
      </c>
      <c r="D49" s="7" t="s">
        <v>270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6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6">
        <v>2</v>
      </c>
      <c r="T49" s="6">
        <v>5</v>
      </c>
      <c r="U49" s="6">
        <v>100</v>
      </c>
      <c r="V49" s="5">
        <v>1</v>
      </c>
      <c r="W49" s="5">
        <v>4</v>
      </c>
      <c r="X49" s="5">
        <v>20</v>
      </c>
      <c r="Y49" s="6" t="b">
        <v>0</v>
      </c>
      <c r="Z49" s="6">
        <v>0</v>
      </c>
      <c r="AA49" s="6">
        <v>0</v>
      </c>
      <c r="AB49" s="5">
        <v>49</v>
      </c>
      <c r="AC49" s="5">
        <v>0</v>
      </c>
      <c r="AD49" s="5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285</v>
      </c>
      <c r="D50" s="7" t="s">
        <v>271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1440</v>
      </c>
      <c r="D51" s="7" t="s">
        <v>271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1510</v>
      </c>
      <c r="D52" s="7" t="s">
        <v>271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50</v>
      </c>
      <c r="V52" s="7">
        <v>30</v>
      </c>
      <c r="W52" s="7">
        <v>2</v>
      </c>
      <c r="X52" s="7">
        <v>24</v>
      </c>
      <c r="Y52" s="6" t="b">
        <v>0</v>
      </c>
      <c r="Z52" s="6">
        <v>0</v>
      </c>
      <c r="AA52" s="6">
        <v>0</v>
      </c>
      <c r="AB52" s="7">
        <v>1</v>
      </c>
      <c r="AC52" s="5">
        <v>65</v>
      </c>
      <c r="AD52" s="7">
        <v>2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286</v>
      </c>
      <c r="D53" s="7" t="s">
        <v>342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29">
        <v>3</v>
      </c>
      <c r="AG53" s="29">
        <v>2</v>
      </c>
      <c r="AH53" s="29">
        <v>100</v>
      </c>
      <c r="AI53" s="29">
        <v>1</v>
      </c>
      <c r="AJ53" s="29">
        <v>0</v>
      </c>
      <c r="AK53" s="29">
        <v>10</v>
      </c>
      <c r="AL53" s="29" t="b">
        <v>0</v>
      </c>
      <c r="AM53" s="29">
        <v>0</v>
      </c>
      <c r="AN53" s="29">
        <v>0</v>
      </c>
      <c r="AO53" s="29">
        <v>3</v>
      </c>
      <c r="AP53" s="29">
        <v>2</v>
      </c>
      <c r="AQ53" s="29">
        <v>3</v>
      </c>
      <c r="AR53" s="29" t="b">
        <v>1</v>
      </c>
    </row>
    <row r="54" spans="1:52" ht="18.75" customHeight="1">
      <c r="B54" s="5">
        <v>150002</v>
      </c>
      <c r="C54" s="6" t="s">
        <v>1441</v>
      </c>
      <c r="D54" s="7" t="s">
        <v>342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29">
        <v>3</v>
      </c>
      <c r="AG54" s="29">
        <v>2</v>
      </c>
      <c r="AH54" s="29">
        <v>100</v>
      </c>
      <c r="AI54" s="29">
        <v>1</v>
      </c>
      <c r="AJ54" s="29">
        <v>0</v>
      </c>
      <c r="AK54" s="29">
        <v>10</v>
      </c>
      <c r="AL54" s="29" t="b">
        <v>0</v>
      </c>
      <c r="AM54" s="29">
        <v>0</v>
      </c>
      <c r="AN54" s="29">
        <v>0</v>
      </c>
      <c r="AO54" s="29">
        <v>3</v>
      </c>
      <c r="AP54" s="29">
        <v>2</v>
      </c>
      <c r="AQ54" s="29">
        <v>3</v>
      </c>
      <c r="AR54" s="29" t="b">
        <v>1</v>
      </c>
    </row>
    <row r="55" spans="1:52" ht="18.75" customHeight="1">
      <c r="B55" s="5">
        <v>150003</v>
      </c>
      <c r="C55" s="6" t="s">
        <v>1511</v>
      </c>
      <c r="D55" s="7" t="s">
        <v>342</v>
      </c>
      <c r="E55" s="7">
        <v>2</v>
      </c>
      <c r="F55" s="7">
        <v>1</v>
      </c>
      <c r="G55" s="7">
        <v>2</v>
      </c>
      <c r="H55" s="6">
        <v>100</v>
      </c>
      <c r="I55" s="7">
        <v>21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25</v>
      </c>
      <c r="V55" s="7">
        <v>30</v>
      </c>
      <c r="W55" s="7">
        <v>0</v>
      </c>
      <c r="X55" s="7">
        <v>10</v>
      </c>
      <c r="Y55" s="6" t="b">
        <v>0</v>
      </c>
      <c r="Z55" s="6">
        <v>0</v>
      </c>
      <c r="AA55" s="6">
        <v>0</v>
      </c>
      <c r="AB55" s="7">
        <v>3</v>
      </c>
      <c r="AC55" s="5">
        <v>17</v>
      </c>
      <c r="AD55" s="7">
        <v>3</v>
      </c>
      <c r="AE55" s="5" t="b">
        <v>1</v>
      </c>
      <c r="AF55" s="29">
        <v>3</v>
      </c>
      <c r="AG55" s="29">
        <v>2</v>
      </c>
      <c r="AH55" s="29">
        <v>100</v>
      </c>
      <c r="AI55" s="29">
        <v>1</v>
      </c>
      <c r="AJ55" s="29">
        <v>0</v>
      </c>
      <c r="AK55" s="29">
        <v>10</v>
      </c>
      <c r="AL55" s="29" t="b">
        <v>0</v>
      </c>
      <c r="AM55" s="29">
        <v>0</v>
      </c>
      <c r="AN55" s="29">
        <v>0</v>
      </c>
      <c r="AO55" s="29">
        <v>3</v>
      </c>
      <c r="AP55" s="29">
        <v>2</v>
      </c>
      <c r="AQ55" s="29">
        <v>3</v>
      </c>
      <c r="AR55" s="29" t="b">
        <v>1</v>
      </c>
    </row>
    <row r="56" spans="1:52" ht="18.75" customHeight="1">
      <c r="B56" s="7">
        <v>160001</v>
      </c>
      <c r="C56" s="7" t="s">
        <v>287</v>
      </c>
      <c r="D56" s="7" t="s">
        <v>838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</row>
    <row r="57" spans="1:52" ht="18.75" customHeight="1">
      <c r="B57" s="7">
        <v>160002</v>
      </c>
      <c r="C57" s="7" t="s">
        <v>1442</v>
      </c>
      <c r="D57" s="7" t="s">
        <v>838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</row>
    <row r="58" spans="1:52" ht="18.75" customHeight="1">
      <c r="B58" s="7">
        <v>160003</v>
      </c>
      <c r="C58" s="7" t="s">
        <v>1512</v>
      </c>
      <c r="D58" s="7" t="s">
        <v>838</v>
      </c>
      <c r="E58" s="6">
        <v>2</v>
      </c>
      <c r="F58" s="6">
        <v>1</v>
      </c>
      <c r="G58" s="6">
        <v>2</v>
      </c>
      <c r="H58" s="6">
        <v>100</v>
      </c>
      <c r="I58" s="7">
        <v>21</v>
      </c>
      <c r="J58" s="6">
        <v>2</v>
      </c>
      <c r="K58" s="7">
        <v>100</v>
      </c>
      <c r="L58" s="6" t="b">
        <v>0</v>
      </c>
      <c r="M58" s="6">
        <v>0</v>
      </c>
      <c r="N58" s="6">
        <v>0</v>
      </c>
      <c r="O58" s="5">
        <v>1</v>
      </c>
      <c r="P58" s="5">
        <v>0</v>
      </c>
      <c r="Q58" s="5">
        <v>0</v>
      </c>
      <c r="R58" s="5" t="b">
        <v>1</v>
      </c>
      <c r="S58" s="7">
        <v>3</v>
      </c>
      <c r="T58" s="7">
        <v>2</v>
      </c>
      <c r="U58" s="6">
        <v>50</v>
      </c>
      <c r="V58" s="7">
        <v>30</v>
      </c>
      <c r="W58" s="7">
        <v>2</v>
      </c>
      <c r="X58" s="7">
        <v>40</v>
      </c>
      <c r="Y58" s="6" t="b">
        <v>0</v>
      </c>
      <c r="Z58" s="6">
        <v>0</v>
      </c>
      <c r="AA58" s="6">
        <v>0</v>
      </c>
      <c r="AB58" s="7">
        <v>1</v>
      </c>
      <c r="AC58" s="5">
        <v>63</v>
      </c>
      <c r="AD58" s="7">
        <v>2</v>
      </c>
      <c r="AE58" s="5" t="b">
        <v>1</v>
      </c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</row>
    <row r="59" spans="1:52" ht="18.75" customHeight="1">
      <c r="B59" s="5">
        <v>170001</v>
      </c>
      <c r="C59" s="7" t="s">
        <v>288</v>
      </c>
      <c r="D59" s="7" t="s">
        <v>839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1443</v>
      </c>
      <c r="D60" s="7" t="s">
        <v>839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1513</v>
      </c>
      <c r="D61" s="7" t="s">
        <v>839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6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6">
        <v>2</v>
      </c>
      <c r="T61" s="6">
        <v>5</v>
      </c>
      <c r="U61" s="6">
        <v>100</v>
      </c>
      <c r="V61" s="5">
        <v>1</v>
      </c>
      <c r="W61" s="5">
        <v>4</v>
      </c>
      <c r="X61" s="5">
        <v>25</v>
      </c>
      <c r="Y61" s="6" t="b">
        <v>0</v>
      </c>
      <c r="Z61" s="6">
        <v>0</v>
      </c>
      <c r="AA61" s="6">
        <v>0</v>
      </c>
      <c r="AB61" s="5">
        <v>49</v>
      </c>
      <c r="AC61" s="5">
        <v>0</v>
      </c>
      <c r="AD61" s="5">
        <v>0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289</v>
      </c>
      <c r="D62" s="7" t="s">
        <v>840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1444</v>
      </c>
      <c r="D63" s="7" t="s">
        <v>840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1514</v>
      </c>
      <c r="D64" s="7" t="s">
        <v>840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33</v>
      </c>
      <c r="AD64" s="7">
        <v>1</v>
      </c>
      <c r="AE64" s="5" t="b">
        <v>1</v>
      </c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290</v>
      </c>
      <c r="D65" s="7" t="s">
        <v>343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1445</v>
      </c>
      <c r="D66" s="7" t="s">
        <v>343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1515</v>
      </c>
      <c r="D67" s="7" t="s">
        <v>343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20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5">
        <v>37</v>
      </c>
      <c r="AD67" s="7">
        <v>2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291</v>
      </c>
      <c r="D68" s="7" t="s">
        <v>841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1446</v>
      </c>
      <c r="D69" s="7" t="s">
        <v>841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1516</v>
      </c>
      <c r="D70" s="7" t="s">
        <v>841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50</v>
      </c>
      <c r="V70" s="7">
        <v>30</v>
      </c>
      <c r="W70" s="7">
        <v>2</v>
      </c>
      <c r="X70" s="7">
        <v>30</v>
      </c>
      <c r="Y70" s="6" t="b">
        <v>0</v>
      </c>
      <c r="Z70" s="6">
        <v>0</v>
      </c>
      <c r="AA70" s="6">
        <v>0</v>
      </c>
      <c r="AB70" s="7">
        <v>1</v>
      </c>
      <c r="AC70" s="5">
        <v>64</v>
      </c>
      <c r="AD70" s="7">
        <v>2</v>
      </c>
      <c r="AE70" s="5" t="b">
        <v>1</v>
      </c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292</v>
      </c>
      <c r="D71" s="7" t="s">
        <v>842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1447</v>
      </c>
      <c r="D72" s="7" t="s">
        <v>842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1517</v>
      </c>
      <c r="D73" s="7" t="s">
        <v>842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40</v>
      </c>
      <c r="V73" s="5">
        <v>30</v>
      </c>
      <c r="W73" s="5">
        <v>2</v>
      </c>
      <c r="X73" s="5">
        <v>22</v>
      </c>
      <c r="Y73" s="6" t="b">
        <v>0</v>
      </c>
      <c r="Z73" s="6">
        <v>0</v>
      </c>
      <c r="AA73" s="6">
        <v>0</v>
      </c>
      <c r="AB73" s="5">
        <v>1</v>
      </c>
      <c r="AC73" s="5">
        <v>64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293</v>
      </c>
      <c r="D74" s="10" t="s">
        <v>344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29">
        <v>3</v>
      </c>
      <c r="AG74" s="29">
        <v>2</v>
      </c>
      <c r="AH74" s="29">
        <v>100</v>
      </c>
      <c r="AI74" s="29">
        <v>1</v>
      </c>
      <c r="AJ74" s="29">
        <v>0</v>
      </c>
      <c r="AK74" s="29">
        <v>15</v>
      </c>
      <c r="AL74" s="29" t="b">
        <v>0</v>
      </c>
      <c r="AM74" s="29">
        <v>0</v>
      </c>
      <c r="AN74" s="29">
        <v>0</v>
      </c>
      <c r="AO74" s="29">
        <v>3</v>
      </c>
      <c r="AP74" s="29">
        <v>5</v>
      </c>
      <c r="AQ74" s="29">
        <v>3</v>
      </c>
      <c r="AR74" s="29" t="b">
        <v>1</v>
      </c>
    </row>
    <row r="75" spans="2:44" ht="18.75" customHeight="1">
      <c r="B75" s="7">
        <v>220002</v>
      </c>
      <c r="C75" s="7" t="s">
        <v>1448</v>
      </c>
      <c r="D75" s="10" t="s">
        <v>344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29">
        <v>3</v>
      </c>
      <c r="AG75" s="29">
        <v>2</v>
      </c>
      <c r="AH75" s="29">
        <v>100</v>
      </c>
      <c r="AI75" s="29">
        <v>1</v>
      </c>
      <c r="AJ75" s="29">
        <v>0</v>
      </c>
      <c r="AK75" s="29">
        <v>15</v>
      </c>
      <c r="AL75" s="29" t="b">
        <v>0</v>
      </c>
      <c r="AM75" s="29">
        <v>0</v>
      </c>
      <c r="AN75" s="29">
        <v>0</v>
      </c>
      <c r="AO75" s="29">
        <v>3</v>
      </c>
      <c r="AP75" s="29">
        <v>5</v>
      </c>
      <c r="AQ75" s="29">
        <v>3</v>
      </c>
      <c r="AR75" s="29" t="b">
        <v>1</v>
      </c>
    </row>
    <row r="76" spans="2:44" ht="18.75" customHeight="1">
      <c r="B76" s="7">
        <v>220003</v>
      </c>
      <c r="C76" s="7" t="s">
        <v>1518</v>
      </c>
      <c r="D76" s="10" t="s">
        <v>344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0</v>
      </c>
      <c r="X76" s="7">
        <v>15</v>
      </c>
      <c r="Y76" s="6" t="b">
        <v>0</v>
      </c>
      <c r="Z76" s="6">
        <v>0</v>
      </c>
      <c r="AA76" s="6">
        <v>0</v>
      </c>
      <c r="AB76" s="7">
        <v>3</v>
      </c>
      <c r="AC76" s="5">
        <v>20</v>
      </c>
      <c r="AD76" s="7">
        <v>3</v>
      </c>
      <c r="AE76" s="5" t="b">
        <v>1</v>
      </c>
      <c r="AF76" s="29">
        <v>3</v>
      </c>
      <c r="AG76" s="29">
        <v>2</v>
      </c>
      <c r="AH76" s="29">
        <v>100</v>
      </c>
      <c r="AI76" s="29">
        <v>1</v>
      </c>
      <c r="AJ76" s="29">
        <v>0</v>
      </c>
      <c r="AK76" s="29">
        <v>15</v>
      </c>
      <c r="AL76" s="29" t="b">
        <v>0</v>
      </c>
      <c r="AM76" s="29">
        <v>0</v>
      </c>
      <c r="AN76" s="29">
        <v>0</v>
      </c>
      <c r="AO76" s="29">
        <v>3</v>
      </c>
      <c r="AP76" s="29">
        <v>5</v>
      </c>
      <c r="AQ76" s="29">
        <v>3</v>
      </c>
      <c r="AR76" s="29" t="b">
        <v>1</v>
      </c>
    </row>
    <row r="77" spans="2:44" ht="18.75" customHeight="1">
      <c r="B77" s="5">
        <v>230001</v>
      </c>
      <c r="C77" s="7" t="s">
        <v>294</v>
      </c>
      <c r="D77" s="10" t="s">
        <v>843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1449</v>
      </c>
      <c r="D78" s="10" t="s">
        <v>843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1519</v>
      </c>
      <c r="D79" s="10" t="s">
        <v>843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50</v>
      </c>
      <c r="V79" s="7">
        <v>30</v>
      </c>
      <c r="W79" s="7">
        <v>2</v>
      </c>
      <c r="X79" s="7">
        <v>24</v>
      </c>
      <c r="Y79" s="6" t="b">
        <v>0</v>
      </c>
      <c r="Z79" s="6">
        <v>0</v>
      </c>
      <c r="AA79" s="6">
        <v>0</v>
      </c>
      <c r="AB79" s="7">
        <v>1</v>
      </c>
      <c r="AC79" s="5">
        <v>65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295</v>
      </c>
      <c r="D80" s="10" t="s">
        <v>844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1450</v>
      </c>
      <c r="D81" s="10" t="s">
        <v>844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1520</v>
      </c>
      <c r="D82" s="10" t="s">
        <v>844</v>
      </c>
      <c r="E82" s="7">
        <v>2</v>
      </c>
      <c r="F82" s="7">
        <v>1</v>
      </c>
      <c r="G82" s="7">
        <v>2</v>
      </c>
      <c r="H82" s="6">
        <v>100</v>
      </c>
      <c r="I82" s="7">
        <v>38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1</v>
      </c>
      <c r="W82" s="7">
        <v>0</v>
      </c>
      <c r="X82" s="7">
        <v>20</v>
      </c>
      <c r="Y82" s="6" t="b">
        <v>0</v>
      </c>
      <c r="Z82" s="6">
        <v>0</v>
      </c>
      <c r="AA82" s="6">
        <v>0</v>
      </c>
      <c r="AB82" s="7">
        <v>3</v>
      </c>
      <c r="AC82" s="5">
        <v>5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296</v>
      </c>
      <c r="D83" s="10" t="s">
        <v>845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1451</v>
      </c>
      <c r="D84" s="10" t="s">
        <v>845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1521</v>
      </c>
      <c r="D85" s="10" t="s">
        <v>845</v>
      </c>
      <c r="E85" s="7">
        <v>2</v>
      </c>
      <c r="F85" s="7">
        <v>1</v>
      </c>
      <c r="G85" s="7">
        <v>2</v>
      </c>
      <c r="H85" s="6">
        <v>100</v>
      </c>
      <c r="I85" s="7">
        <v>21</v>
      </c>
      <c r="J85" s="7">
        <v>2</v>
      </c>
      <c r="K85" s="6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6">
        <v>2</v>
      </c>
      <c r="T85" s="6">
        <v>5</v>
      </c>
      <c r="U85" s="6">
        <v>100</v>
      </c>
      <c r="V85" s="5">
        <v>31</v>
      </c>
      <c r="W85" s="5">
        <v>4</v>
      </c>
      <c r="X85" s="5">
        <v>35</v>
      </c>
      <c r="Y85" s="6" t="b">
        <v>0</v>
      </c>
      <c r="Z85" s="6">
        <v>0</v>
      </c>
      <c r="AA85" s="6">
        <v>0</v>
      </c>
      <c r="AB85" s="5">
        <v>49</v>
      </c>
      <c r="AC85" s="5">
        <v>0</v>
      </c>
      <c r="AD85" s="5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297</v>
      </c>
      <c r="D86" s="10" t="s">
        <v>839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1452</v>
      </c>
      <c r="D87" s="10" t="s">
        <v>839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1522</v>
      </c>
      <c r="D88" s="10" t="s">
        <v>839</v>
      </c>
      <c r="E88" s="6">
        <v>2</v>
      </c>
      <c r="F88" s="6">
        <v>1</v>
      </c>
      <c r="G88" s="6">
        <v>2</v>
      </c>
      <c r="H88" s="6">
        <v>100</v>
      </c>
      <c r="I88" s="7">
        <v>21</v>
      </c>
      <c r="J88" s="6">
        <v>2</v>
      </c>
      <c r="K88" s="7">
        <v>100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1</v>
      </c>
      <c r="W88" s="7">
        <v>4</v>
      </c>
      <c r="X88" s="7">
        <v>25</v>
      </c>
      <c r="Y88" s="6" t="b">
        <v>0</v>
      </c>
      <c r="Z88" s="6">
        <v>0</v>
      </c>
      <c r="AA88" s="6">
        <v>0</v>
      </c>
      <c r="AB88" s="7">
        <v>49</v>
      </c>
      <c r="AC88" s="5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298</v>
      </c>
      <c r="D89" s="10" t="s">
        <v>846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1453</v>
      </c>
      <c r="D90" s="10" t="s">
        <v>846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1523</v>
      </c>
      <c r="D91" s="10" t="s">
        <v>846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15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32</v>
      </c>
      <c r="AD91" s="7">
        <v>1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299</v>
      </c>
      <c r="D92" s="10" t="s">
        <v>343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1454</v>
      </c>
      <c r="D93" s="10" t="s">
        <v>343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1524</v>
      </c>
      <c r="D94" s="10" t="s">
        <v>343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20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5">
        <v>37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300</v>
      </c>
      <c r="D95" s="10" t="s">
        <v>847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290002</v>
      </c>
      <c r="C96" s="7" t="s">
        <v>1455</v>
      </c>
      <c r="D96" s="10" t="s">
        <v>847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1525</v>
      </c>
      <c r="D97" s="10" t="s">
        <v>847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6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6">
        <v>3</v>
      </c>
      <c r="T97" s="6">
        <v>2</v>
      </c>
      <c r="U97" s="6">
        <v>50</v>
      </c>
      <c r="V97" s="5">
        <v>30</v>
      </c>
      <c r="W97" s="5">
        <v>2</v>
      </c>
      <c r="X97" s="5">
        <v>30</v>
      </c>
      <c r="Y97" s="6" t="b">
        <v>0</v>
      </c>
      <c r="Z97" s="6">
        <v>0</v>
      </c>
      <c r="AA97" s="6">
        <v>0</v>
      </c>
      <c r="AB97" s="5">
        <v>1</v>
      </c>
      <c r="AC97" s="5">
        <v>63</v>
      </c>
      <c r="AD97" s="5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301</v>
      </c>
      <c r="D98" s="10" t="s">
        <v>848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1456</v>
      </c>
      <c r="D99" s="10" t="s">
        <v>848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9.5" customHeight="1">
      <c r="A100" s="8"/>
      <c r="B100" s="7">
        <v>300003</v>
      </c>
      <c r="C100" s="7" t="s">
        <v>1526</v>
      </c>
      <c r="D100" s="10" t="s">
        <v>848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40</v>
      </c>
      <c r="V100" s="7">
        <v>30</v>
      </c>
      <c r="W100" s="7">
        <v>2</v>
      </c>
      <c r="X100" s="7">
        <v>22</v>
      </c>
      <c r="Y100" s="6" t="b">
        <v>0</v>
      </c>
      <c r="Z100" s="6">
        <v>0</v>
      </c>
      <c r="AA100" s="6">
        <v>0</v>
      </c>
      <c r="AB100" s="7">
        <v>1</v>
      </c>
      <c r="AC100" s="5">
        <v>65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302</v>
      </c>
      <c r="D101" s="10" t="s">
        <v>512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310002</v>
      </c>
      <c r="C102" s="7" t="s">
        <v>1457</v>
      </c>
      <c r="D102" s="10" t="s">
        <v>512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5">
        <v>310003</v>
      </c>
      <c r="C103" s="7" t="s">
        <v>1527</v>
      </c>
      <c r="D103" s="10" t="s">
        <v>512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7">
        <v>3</v>
      </c>
      <c r="T103" s="7">
        <v>2</v>
      </c>
      <c r="U103" s="6">
        <v>15</v>
      </c>
      <c r="V103" s="7">
        <v>30</v>
      </c>
      <c r="W103" s="7">
        <v>0</v>
      </c>
      <c r="X103" s="7">
        <v>0</v>
      </c>
      <c r="Y103" s="6" t="b">
        <v>0</v>
      </c>
      <c r="Z103" s="6">
        <v>0</v>
      </c>
      <c r="AA103" s="6">
        <v>0</v>
      </c>
      <c r="AB103" s="7">
        <v>3</v>
      </c>
      <c r="AC103" s="5">
        <v>31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320001</v>
      </c>
      <c r="C104" s="7" t="s">
        <v>303</v>
      </c>
      <c r="D104" s="10" t="s">
        <v>870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42" customHeight="1">
      <c r="A105" s="8"/>
      <c r="B105" s="7">
        <v>320002</v>
      </c>
      <c r="C105" s="7" t="s">
        <v>1458</v>
      </c>
      <c r="D105" s="10" t="s">
        <v>870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1528</v>
      </c>
      <c r="D106" s="10" t="s">
        <v>870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25</v>
      </c>
      <c r="Y106" s="6" t="b">
        <v>0</v>
      </c>
      <c r="Z106" s="6">
        <v>0</v>
      </c>
      <c r="AA106" s="6">
        <v>0</v>
      </c>
      <c r="AB106" s="7">
        <v>1</v>
      </c>
      <c r="AC106" s="5">
        <v>65</v>
      </c>
      <c r="AD106" s="7">
        <v>4</v>
      </c>
      <c r="AE106" s="5" t="b">
        <v>1</v>
      </c>
      <c r="AF106" s="7">
        <v>3</v>
      </c>
      <c r="AG106" s="7">
        <v>2</v>
      </c>
      <c r="AH106" s="7">
        <v>100</v>
      </c>
      <c r="AI106" s="7">
        <v>1</v>
      </c>
      <c r="AJ106" s="7">
        <v>0</v>
      </c>
      <c r="AK106" s="7">
        <v>11</v>
      </c>
      <c r="AL106" s="7" t="b">
        <v>0</v>
      </c>
      <c r="AM106" s="7">
        <v>0</v>
      </c>
      <c r="AN106" s="7">
        <v>0</v>
      </c>
      <c r="AO106" s="7">
        <v>3</v>
      </c>
      <c r="AP106" s="7">
        <v>7</v>
      </c>
      <c r="AQ106" s="7">
        <v>4</v>
      </c>
      <c r="AR106" s="7" t="b">
        <v>1</v>
      </c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304</v>
      </c>
      <c r="D107" s="10" t="s">
        <v>871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1459</v>
      </c>
      <c r="D108" s="10" t="s">
        <v>871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5">
        <v>330003</v>
      </c>
      <c r="C109" s="7" t="s">
        <v>1529</v>
      </c>
      <c r="D109" s="10" t="s">
        <v>871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6">
        <v>3</v>
      </c>
      <c r="T109" s="6">
        <v>2</v>
      </c>
      <c r="U109" s="6">
        <v>40</v>
      </c>
      <c r="V109" s="5">
        <v>30</v>
      </c>
      <c r="W109" s="5">
        <v>0</v>
      </c>
      <c r="X109" s="5">
        <v>0</v>
      </c>
      <c r="Y109" s="6" t="b">
        <v>0</v>
      </c>
      <c r="Z109" s="6">
        <v>0</v>
      </c>
      <c r="AA109" s="6">
        <v>0</v>
      </c>
      <c r="AB109" s="5">
        <v>3</v>
      </c>
      <c r="AC109" s="5">
        <v>33</v>
      </c>
      <c r="AD109" s="5">
        <v>1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340001</v>
      </c>
      <c r="C110" s="7" t="s">
        <v>305</v>
      </c>
      <c r="D110" s="10" t="s">
        <v>872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340002</v>
      </c>
      <c r="C111" s="7" t="s">
        <v>1460</v>
      </c>
      <c r="D111" s="10" t="s">
        <v>872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30.75" customHeight="1">
      <c r="A112" s="8"/>
      <c r="B112" s="7">
        <v>340003</v>
      </c>
      <c r="C112" s="7" t="s">
        <v>1530</v>
      </c>
      <c r="D112" s="10" t="s">
        <v>872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10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5">
        <v>34</v>
      </c>
      <c r="AD112" s="7">
        <v>2</v>
      </c>
      <c r="AE112" s="5" t="b">
        <v>1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306</v>
      </c>
      <c r="D113" s="10" t="s">
        <v>514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350002</v>
      </c>
      <c r="C114" s="7" t="s">
        <v>1461</v>
      </c>
      <c r="D114" s="10" t="s">
        <v>514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1531</v>
      </c>
      <c r="D115" s="10" t="s">
        <v>514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6">
        <v>150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5"/>
      <c r="AD115" s="7"/>
      <c r="AE115" s="5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360001</v>
      </c>
      <c r="C116" s="7" t="s">
        <v>307</v>
      </c>
      <c r="D116" s="10" t="s">
        <v>518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360002</v>
      </c>
      <c r="C117" s="7" t="s">
        <v>1462</v>
      </c>
      <c r="D117" s="10" t="s">
        <v>518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1532</v>
      </c>
      <c r="D118" s="10" t="s">
        <v>518</v>
      </c>
      <c r="E118" s="6">
        <v>2</v>
      </c>
      <c r="F118" s="6">
        <v>1</v>
      </c>
      <c r="G118" s="6">
        <v>2</v>
      </c>
      <c r="H118" s="6">
        <v>100</v>
      </c>
      <c r="I118" s="7">
        <v>19</v>
      </c>
      <c r="J118" s="6">
        <v>2</v>
      </c>
      <c r="K118" s="7">
        <v>80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>
        <v>3</v>
      </c>
      <c r="T118" s="7">
        <v>2</v>
      </c>
      <c r="U118" s="6">
        <v>10</v>
      </c>
      <c r="V118" s="7">
        <v>30</v>
      </c>
      <c r="W118" s="7">
        <v>0</v>
      </c>
      <c r="X118" s="7">
        <v>0</v>
      </c>
      <c r="Y118" s="6" t="b">
        <v>0</v>
      </c>
      <c r="Z118" s="6">
        <v>0</v>
      </c>
      <c r="AA118" s="6">
        <v>0</v>
      </c>
      <c r="AB118" s="7">
        <v>3</v>
      </c>
      <c r="AC118" s="5">
        <v>35</v>
      </c>
      <c r="AD118" s="7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308</v>
      </c>
      <c r="D119" s="10" t="s">
        <v>517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1463</v>
      </c>
      <c r="D120" s="10" t="s">
        <v>517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1533</v>
      </c>
      <c r="D121" s="10" t="s">
        <v>517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6">
        <v>3</v>
      </c>
      <c r="T121" s="6">
        <v>2</v>
      </c>
      <c r="U121" s="6">
        <v>50</v>
      </c>
      <c r="V121" s="5">
        <v>30</v>
      </c>
      <c r="W121" s="5">
        <v>0</v>
      </c>
      <c r="X121" s="5">
        <v>0</v>
      </c>
      <c r="Y121" s="6" t="b">
        <v>0</v>
      </c>
      <c r="Z121" s="6">
        <v>0</v>
      </c>
      <c r="AA121" s="6">
        <v>0</v>
      </c>
      <c r="AB121" s="5">
        <v>3</v>
      </c>
      <c r="AC121" s="5">
        <v>31</v>
      </c>
      <c r="AD121" s="5">
        <v>2</v>
      </c>
      <c r="AE121" s="5" t="b">
        <v>1</v>
      </c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</row>
    <row r="122" spans="1:52" ht="18.75" customHeight="1">
      <c r="B122" s="7">
        <v>380001</v>
      </c>
      <c r="C122" s="7" t="s">
        <v>309</v>
      </c>
      <c r="D122" s="10" t="s">
        <v>873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1464</v>
      </c>
      <c r="D123" s="10" t="s">
        <v>873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1534</v>
      </c>
      <c r="D124" s="10" t="s">
        <v>873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24</v>
      </c>
      <c r="Y124" s="6" t="b">
        <v>0</v>
      </c>
      <c r="Z124" s="6">
        <v>0</v>
      </c>
      <c r="AA124" s="6">
        <v>0</v>
      </c>
      <c r="AB124" s="7">
        <v>49</v>
      </c>
      <c r="AC124" s="5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310</v>
      </c>
      <c r="D125" s="10" t="s">
        <v>584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1465</v>
      </c>
      <c r="D126" s="10" t="s">
        <v>584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1535</v>
      </c>
      <c r="D127" s="10" t="s">
        <v>584</v>
      </c>
      <c r="E127" s="7">
        <v>2</v>
      </c>
      <c r="F127" s="7">
        <v>1</v>
      </c>
      <c r="G127" s="7">
        <v>2</v>
      </c>
      <c r="H127" s="6">
        <v>100</v>
      </c>
      <c r="I127" s="7">
        <v>10</v>
      </c>
      <c r="J127" s="7">
        <v>2</v>
      </c>
      <c r="K127" s="6">
        <v>70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30</v>
      </c>
      <c r="W127" s="7">
        <v>0</v>
      </c>
      <c r="X127" s="7">
        <v>10</v>
      </c>
      <c r="Y127" s="6" t="b">
        <v>0</v>
      </c>
      <c r="Z127" s="6">
        <v>0</v>
      </c>
      <c r="AA127" s="6">
        <v>0</v>
      </c>
      <c r="AB127" s="7">
        <v>3</v>
      </c>
      <c r="AC127" s="5">
        <v>22</v>
      </c>
      <c r="AD127" s="7">
        <v>3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311</v>
      </c>
      <c r="D128" s="10" t="s">
        <v>874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1466</v>
      </c>
      <c r="D129" s="10" t="s">
        <v>874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1536</v>
      </c>
      <c r="D130" s="10" t="s">
        <v>874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>
        <v>3</v>
      </c>
      <c r="T130" s="7">
        <v>2</v>
      </c>
      <c r="U130" s="6">
        <v>100</v>
      </c>
      <c r="V130" s="7">
        <v>2</v>
      </c>
      <c r="W130" s="7">
        <v>4</v>
      </c>
      <c r="X130" s="7">
        <v>50</v>
      </c>
      <c r="Y130" s="6" t="b">
        <v>0</v>
      </c>
      <c r="Z130" s="6">
        <v>0</v>
      </c>
      <c r="AA130" s="6">
        <v>0</v>
      </c>
      <c r="AB130" s="7">
        <v>49</v>
      </c>
      <c r="AC130" s="5">
        <v>66</v>
      </c>
      <c r="AD130" s="7">
        <v>2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312</v>
      </c>
      <c r="D131" s="10" t="s">
        <v>586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1467</v>
      </c>
      <c r="D132" s="10" t="s">
        <v>586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1537</v>
      </c>
      <c r="D133" s="10" t="s">
        <v>586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313</v>
      </c>
      <c r="D134" s="10" t="s">
        <v>587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420002</v>
      </c>
      <c r="C135" s="7" t="s">
        <v>1468</v>
      </c>
      <c r="D135" s="10" t="s">
        <v>587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7">
        <v>420003</v>
      </c>
      <c r="C136" s="7" t="s">
        <v>1538</v>
      </c>
      <c r="D136" s="10" t="s">
        <v>587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430001</v>
      </c>
      <c r="C137" s="7" t="s">
        <v>314</v>
      </c>
      <c r="D137" s="10" t="s">
        <v>588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430002</v>
      </c>
      <c r="C138" s="7" t="s">
        <v>1469</v>
      </c>
      <c r="D138" s="10" t="s">
        <v>588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5">
        <v>430003</v>
      </c>
      <c r="C139" s="7" t="s">
        <v>1539</v>
      </c>
      <c r="D139" s="10" t="s">
        <v>588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440001</v>
      </c>
      <c r="C140" s="7" t="s">
        <v>315</v>
      </c>
      <c r="D140" s="10" t="s">
        <v>589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440002</v>
      </c>
      <c r="C141" s="7" t="s">
        <v>1470</v>
      </c>
      <c r="D141" s="10" t="s">
        <v>589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7">
        <v>440003</v>
      </c>
      <c r="C142" s="7" t="s">
        <v>1540</v>
      </c>
      <c r="D142" s="10" t="s">
        <v>589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</row>
    <row r="143" spans="2:44" ht="18.75" customHeight="1">
      <c r="B143" s="5">
        <v>450001</v>
      </c>
      <c r="C143" s="7" t="s">
        <v>316</v>
      </c>
      <c r="D143" s="10" t="s">
        <v>590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450002</v>
      </c>
      <c r="C144" s="7" t="s">
        <v>1471</v>
      </c>
      <c r="D144" s="10" t="s">
        <v>590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5">
        <v>450003</v>
      </c>
      <c r="C145" s="7" t="s">
        <v>1541</v>
      </c>
      <c r="D145" s="10" t="s">
        <v>590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460001</v>
      </c>
      <c r="C146" s="7" t="s">
        <v>317</v>
      </c>
      <c r="D146" s="10" t="s">
        <v>591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460002</v>
      </c>
      <c r="C147" s="7" t="s">
        <v>1472</v>
      </c>
      <c r="D147" s="10" t="s">
        <v>591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7">
        <v>460003</v>
      </c>
      <c r="C148" s="7" t="s">
        <v>1542</v>
      </c>
      <c r="D148" s="10" t="s">
        <v>591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470001</v>
      </c>
      <c r="C149" s="7" t="s">
        <v>318</v>
      </c>
      <c r="D149" s="10" t="s">
        <v>592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18.75" customHeight="1">
      <c r="B150" s="5">
        <v>470002</v>
      </c>
      <c r="C150" s="7" t="s">
        <v>1473</v>
      </c>
      <c r="D150" s="10" t="s">
        <v>592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1543</v>
      </c>
      <c r="D151" s="10" t="s">
        <v>592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319</v>
      </c>
      <c r="D152" s="10" t="s">
        <v>593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1474</v>
      </c>
      <c r="D153" s="10" t="s">
        <v>593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1544</v>
      </c>
      <c r="D154" s="10" t="s">
        <v>593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320</v>
      </c>
      <c r="D155" s="10" t="s">
        <v>594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1475</v>
      </c>
      <c r="D156" s="10" t="s">
        <v>594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1545</v>
      </c>
      <c r="D157" s="10" t="s">
        <v>594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6"/>
      <c r="T157" s="6"/>
      <c r="U157" s="6"/>
      <c r="V157" s="5"/>
      <c r="W157" s="5"/>
      <c r="X157" s="5"/>
      <c r="Y157" s="6"/>
      <c r="Z157" s="6"/>
      <c r="AA157" s="6"/>
      <c r="AB157" s="5"/>
      <c r="AC157" s="5"/>
      <c r="AD157" s="5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321</v>
      </c>
      <c r="D158" s="10" t="s">
        <v>595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1476</v>
      </c>
      <c r="D159" s="10" t="s">
        <v>595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1546</v>
      </c>
      <c r="D160" s="10" t="s">
        <v>595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322</v>
      </c>
      <c r="D161" s="10" t="s">
        <v>596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1477</v>
      </c>
      <c r="D162" s="10" t="s">
        <v>596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1547</v>
      </c>
      <c r="D163" s="10" t="s">
        <v>596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323</v>
      </c>
      <c r="D164" s="10" t="s">
        <v>597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1478</v>
      </c>
      <c r="D165" s="10" t="s">
        <v>597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7">
        <v>520003</v>
      </c>
      <c r="C166" s="7" t="s">
        <v>1548</v>
      </c>
      <c r="D166" s="10" t="s">
        <v>597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324</v>
      </c>
      <c r="D167" s="10" t="s">
        <v>598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1479</v>
      </c>
      <c r="D168" s="10" t="s">
        <v>598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1549</v>
      </c>
      <c r="D169" s="10" t="s">
        <v>598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6"/>
      <c r="T169" s="6"/>
      <c r="U169" s="6"/>
      <c r="V169" s="5"/>
      <c r="W169" s="5"/>
      <c r="X169" s="5"/>
      <c r="Y169" s="6"/>
      <c r="Z169" s="6"/>
      <c r="AA169" s="6"/>
      <c r="AB169" s="5"/>
      <c r="AC169" s="5"/>
      <c r="AD169" s="5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9.5" customHeight="1">
      <c r="A170" s="8"/>
      <c r="B170" s="7">
        <v>540001</v>
      </c>
      <c r="C170" s="7" t="s">
        <v>325</v>
      </c>
      <c r="D170" s="10" t="s">
        <v>599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1480</v>
      </c>
      <c r="D171" s="10" t="s">
        <v>599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7">
        <v>540003</v>
      </c>
      <c r="C172" s="7" t="s">
        <v>1550</v>
      </c>
      <c r="D172" s="10" t="s">
        <v>599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550001</v>
      </c>
      <c r="C173" s="7" t="s">
        <v>326</v>
      </c>
      <c r="D173" s="10" t="s">
        <v>600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550002</v>
      </c>
      <c r="C174" s="7" t="s">
        <v>1481</v>
      </c>
      <c r="D174" s="10" t="s">
        <v>600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42" customHeight="1">
      <c r="A175" s="8"/>
      <c r="B175" s="5">
        <v>550003</v>
      </c>
      <c r="C175" s="7" t="s">
        <v>1551</v>
      </c>
      <c r="D175" s="10" t="s">
        <v>600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327</v>
      </c>
      <c r="D176" s="10" t="s">
        <v>601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1482</v>
      </c>
      <c r="D177" s="10" t="s">
        <v>601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1552</v>
      </c>
      <c r="D178" s="10" t="s">
        <v>601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570001</v>
      </c>
      <c r="C179" s="7" t="s">
        <v>328</v>
      </c>
      <c r="D179" s="10" t="s">
        <v>602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570002</v>
      </c>
      <c r="C180" s="7" t="s">
        <v>1483</v>
      </c>
      <c r="D180" s="10" t="s">
        <v>602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5">
        <v>570003</v>
      </c>
      <c r="C181" s="7" t="s">
        <v>1553</v>
      </c>
      <c r="D181" s="10" t="s">
        <v>602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6"/>
      <c r="T181" s="6"/>
      <c r="U181" s="6"/>
      <c r="V181" s="5"/>
      <c r="W181" s="5"/>
      <c r="X181" s="5"/>
      <c r="Y181" s="6"/>
      <c r="Z181" s="6"/>
      <c r="AA181" s="6"/>
      <c r="AB181" s="5"/>
      <c r="AC181" s="5"/>
      <c r="AD181" s="5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30.75" customHeight="1">
      <c r="A182" s="8"/>
      <c r="B182" s="7">
        <v>580001</v>
      </c>
      <c r="C182" s="7" t="s">
        <v>329</v>
      </c>
      <c r="D182" s="10" t="s">
        <v>603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1484</v>
      </c>
      <c r="D183" s="10" t="s">
        <v>603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7">
        <v>580003</v>
      </c>
      <c r="C184" s="7" t="s">
        <v>1554</v>
      </c>
      <c r="D184" s="10" t="s">
        <v>603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330</v>
      </c>
      <c r="D185" s="10" t="s">
        <v>604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590002</v>
      </c>
      <c r="C186" s="7" t="s">
        <v>1485</v>
      </c>
      <c r="D186" s="10" t="s">
        <v>604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5">
        <v>590003</v>
      </c>
      <c r="C187" s="7" t="s">
        <v>1555</v>
      </c>
      <c r="D187" s="10" t="s">
        <v>604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331</v>
      </c>
      <c r="D188" s="10" t="s">
        <v>605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1486</v>
      </c>
      <c r="D189" s="10" t="s">
        <v>605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1556</v>
      </c>
      <c r="D190" s="10" t="s">
        <v>605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332</v>
      </c>
      <c r="D191" s="10" t="s">
        <v>606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1487</v>
      </c>
      <c r="D192" s="10" t="s">
        <v>606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1557</v>
      </c>
      <c r="D193" s="10" t="s">
        <v>606</v>
      </c>
      <c r="E193" s="6">
        <v>2</v>
      </c>
      <c r="F193" s="6">
        <v>1</v>
      </c>
      <c r="G193" s="6">
        <v>2</v>
      </c>
      <c r="H193" s="6">
        <v>100</v>
      </c>
      <c r="I193" s="7">
        <v>21</v>
      </c>
      <c r="J193" s="6">
        <v>2</v>
      </c>
      <c r="K193" s="6">
        <v>100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333</v>
      </c>
      <c r="D194" s="10" t="s">
        <v>607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620002</v>
      </c>
      <c r="C195" s="7" t="s">
        <v>1488</v>
      </c>
      <c r="D195" s="10" t="s">
        <v>607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7">
        <v>620003</v>
      </c>
      <c r="C196" s="7" t="s">
        <v>1558</v>
      </c>
      <c r="D196" s="10" t="s">
        <v>607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7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630001</v>
      </c>
      <c r="C197" s="7" t="s">
        <v>334</v>
      </c>
      <c r="D197" s="10" t="s">
        <v>608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630002</v>
      </c>
      <c r="C198" s="7" t="s">
        <v>1489</v>
      </c>
      <c r="D198" s="10" t="s">
        <v>608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5">
        <v>630003</v>
      </c>
      <c r="C199" s="7" t="s">
        <v>1559</v>
      </c>
      <c r="D199" s="10" t="s">
        <v>608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6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640001</v>
      </c>
      <c r="C200" s="7" t="s">
        <v>335</v>
      </c>
      <c r="D200" s="10" t="s">
        <v>609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640002</v>
      </c>
      <c r="C201" s="7" t="s">
        <v>1490</v>
      </c>
      <c r="D201" s="10" t="s">
        <v>609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7">
        <v>640003</v>
      </c>
      <c r="C202" s="7" t="s">
        <v>1560</v>
      </c>
      <c r="D202" s="10" t="s">
        <v>609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7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5"/>
      <c r="AD202" s="7"/>
      <c r="AE202" s="5"/>
    </row>
    <row r="203" spans="2:31" ht="18.75" customHeight="1">
      <c r="B203" s="5">
        <v>650001</v>
      </c>
      <c r="C203" s="7" t="s">
        <v>336</v>
      </c>
      <c r="D203" s="10" t="s">
        <v>610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650002</v>
      </c>
      <c r="C204" s="7" t="s">
        <v>1491</v>
      </c>
      <c r="D204" s="10" t="s">
        <v>610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5">
        <v>650003</v>
      </c>
      <c r="C205" s="7" t="s">
        <v>1561</v>
      </c>
      <c r="D205" s="10" t="s">
        <v>610</v>
      </c>
      <c r="E205" s="7">
        <v>2</v>
      </c>
      <c r="F205" s="7">
        <v>1</v>
      </c>
      <c r="G205" s="7">
        <v>2</v>
      </c>
      <c r="H205" s="6">
        <v>100</v>
      </c>
      <c r="I205" s="7">
        <v>21</v>
      </c>
      <c r="J205" s="7">
        <v>2</v>
      </c>
      <c r="K205" s="6">
        <v>100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660001</v>
      </c>
      <c r="C206" s="7" t="s">
        <v>337</v>
      </c>
      <c r="D206" s="10" t="s">
        <v>611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660002</v>
      </c>
      <c r="C207" s="7" t="s">
        <v>1492</v>
      </c>
      <c r="D207" s="10" t="s">
        <v>611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7">
        <v>660003</v>
      </c>
      <c r="C208" s="7" t="s">
        <v>1562</v>
      </c>
      <c r="D208" s="10" t="s">
        <v>611</v>
      </c>
      <c r="E208" s="6">
        <v>2</v>
      </c>
      <c r="F208" s="6">
        <v>1</v>
      </c>
      <c r="G208" s="6">
        <v>2</v>
      </c>
      <c r="H208" s="6">
        <v>100</v>
      </c>
      <c r="I208" s="7">
        <v>21</v>
      </c>
      <c r="J208" s="6">
        <v>2</v>
      </c>
      <c r="K208" s="7">
        <v>100</v>
      </c>
      <c r="L208" s="6" t="b">
        <v>0</v>
      </c>
      <c r="M208" s="6">
        <v>0</v>
      </c>
      <c r="N208" s="6">
        <v>0</v>
      </c>
      <c r="O208" s="5">
        <v>1</v>
      </c>
      <c r="P208" s="5">
        <v>0</v>
      </c>
      <c r="Q208" s="5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670001</v>
      </c>
      <c r="C209" s="7" t="s">
        <v>338</v>
      </c>
      <c r="D209" s="10" t="s">
        <v>612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670002</v>
      </c>
      <c r="C210" s="7" t="s">
        <v>1493</v>
      </c>
      <c r="D210" s="10" t="s">
        <v>612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5">
        <v>670003</v>
      </c>
      <c r="C211" s="7" t="s">
        <v>1563</v>
      </c>
      <c r="D211" s="10" t="s">
        <v>612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6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680001</v>
      </c>
      <c r="C212" s="7" t="s">
        <v>339</v>
      </c>
      <c r="D212" s="10" t="s">
        <v>613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680002</v>
      </c>
      <c r="C213" s="7" t="s">
        <v>1494</v>
      </c>
      <c r="D213" s="10" t="s">
        <v>613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7">
        <v>680003</v>
      </c>
      <c r="C214" s="7" t="s">
        <v>1564</v>
      </c>
      <c r="D214" s="10" t="s">
        <v>613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7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5"/>
      <c r="AD214" s="7"/>
      <c r="AE214" s="5"/>
    </row>
    <row r="215" spans="2:31" ht="18.75" customHeight="1">
      <c r="B215" s="5">
        <v>690001</v>
      </c>
      <c r="C215" s="7" t="s">
        <v>340</v>
      </c>
      <c r="D215" s="10" t="s">
        <v>614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690002</v>
      </c>
      <c r="C216" s="7" t="s">
        <v>1495</v>
      </c>
      <c r="D216" s="10" t="s">
        <v>614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5">
        <v>690003</v>
      </c>
      <c r="C217" s="7" t="s">
        <v>1565</v>
      </c>
      <c r="D217" s="10" t="s">
        <v>614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6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6"/>
      <c r="T217" s="6"/>
      <c r="U217" s="6"/>
      <c r="V217" s="5"/>
      <c r="W217" s="5"/>
      <c r="X217" s="5"/>
      <c r="Y217" s="6"/>
      <c r="Z217" s="6"/>
      <c r="AA217" s="6"/>
      <c r="AB217" s="5"/>
      <c r="AC217" s="5"/>
      <c r="AD217" s="5"/>
      <c r="AE217" s="5"/>
    </row>
    <row r="218" spans="2:31" ht="18.75" customHeight="1">
      <c r="B218" s="7">
        <v>700001</v>
      </c>
      <c r="C218" s="7" t="s">
        <v>341</v>
      </c>
      <c r="D218" s="10" t="s">
        <v>615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700002</v>
      </c>
      <c r="C219" s="7" t="s">
        <v>1496</v>
      </c>
      <c r="D219" s="10" t="s">
        <v>615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7">
        <v>700003</v>
      </c>
      <c r="C220" s="7" t="s">
        <v>1566</v>
      </c>
      <c r="D220" s="10" t="s">
        <v>615</v>
      </c>
      <c r="E220" s="7">
        <v>2</v>
      </c>
      <c r="F220" s="7">
        <v>1</v>
      </c>
      <c r="G220" s="7">
        <v>2</v>
      </c>
      <c r="H220" s="6">
        <v>100</v>
      </c>
      <c r="I220" s="7">
        <v>21</v>
      </c>
      <c r="J220" s="7">
        <v>2</v>
      </c>
      <c r="K220" s="7">
        <v>100</v>
      </c>
      <c r="L220" s="6" t="b">
        <v>0</v>
      </c>
      <c r="M220" s="6">
        <v>0</v>
      </c>
      <c r="N220" s="6">
        <v>0</v>
      </c>
      <c r="O220" s="7">
        <v>1</v>
      </c>
      <c r="P220" s="5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5"/>
      <c r="AD220" s="7"/>
      <c r="AE220" s="5"/>
    </row>
    <row r="221" spans="2:31" ht="18.75" customHeight="1">
      <c r="B221" s="5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7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5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7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5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7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5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7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5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7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5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7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5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7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5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7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5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7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5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7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5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7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5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7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5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K10:L10 X10:Y10 N10:S10 AA10:AF10 AK10:AL10 AN10:AR10 AH10:AI10 H10 U10 A11:AR220 A8:AR9">
    <cfRule type="expression" dxfId="55" priority="13">
      <formula>CELL("ROW")=ROW()</formula>
    </cfRule>
  </conditionalFormatting>
  <conditionalFormatting sqref="I10">
    <cfRule type="expression" dxfId="54" priority="12">
      <formula>CELL("ROW")=ROW()</formula>
    </cfRule>
  </conditionalFormatting>
  <conditionalFormatting sqref="V10">
    <cfRule type="expression" dxfId="53" priority="11">
      <formula>CELL("ROW")=ROW()</formula>
    </cfRule>
  </conditionalFormatting>
  <conditionalFormatting sqref="J10">
    <cfRule type="expression" dxfId="52" priority="10">
      <formula>CELL("ROW")=ROW()</formula>
    </cfRule>
  </conditionalFormatting>
  <conditionalFormatting sqref="M10">
    <cfRule type="expression" dxfId="51" priority="9">
      <formula>CELL("ROW")=ROW()</formula>
    </cfRule>
  </conditionalFormatting>
  <conditionalFormatting sqref="W10">
    <cfRule type="expression" dxfId="50" priority="8">
      <formula>CELL("ROW")=ROW()</formula>
    </cfRule>
  </conditionalFormatting>
  <conditionalFormatting sqref="Z10">
    <cfRule type="expression" dxfId="49" priority="7">
      <formula>CELL("ROW")=ROW()</formula>
    </cfRule>
  </conditionalFormatting>
  <conditionalFormatting sqref="AJ10">
    <cfRule type="expression" dxfId="48" priority="6">
      <formula>CELL("ROW")=ROW()</formula>
    </cfRule>
  </conditionalFormatting>
  <conditionalFormatting sqref="AM10">
    <cfRule type="expression" dxfId="47" priority="5">
      <formula>CELL("ROW")=ROW()</formula>
    </cfRule>
  </conditionalFormatting>
  <conditionalFormatting sqref="AG10">
    <cfRule type="expression" dxfId="46" priority="4">
      <formula>CELL("ROW")=ROW()</formula>
    </cfRule>
  </conditionalFormatting>
  <conditionalFormatting sqref="G10">
    <cfRule type="expression" dxfId="45" priority="3">
      <formula>CELL("ROW")=ROW()</formula>
    </cfRule>
  </conditionalFormatting>
  <conditionalFormatting sqref="T10">
    <cfRule type="expression" dxfId="44" priority="2">
      <formula>CELL("ROW")=ROW()</formula>
    </cfRule>
  </conditionalFormatting>
  <conditionalFormatting sqref="A7:AI7">
    <cfRule type="expression" dxfId="43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125" style="36" customWidth="1"/>
    <col min="3" max="3" width="26.75" style="36" customWidth="1"/>
    <col min="4" max="4" width="106.375" style="36" customWidth="1"/>
    <col min="5" max="5" width="19.625" style="36" customWidth="1"/>
    <col min="6" max="6" width="14.25" style="36" customWidth="1"/>
    <col min="7" max="7" width="18.875" style="36" customWidth="1"/>
    <col min="8" max="8" width="10.12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9.375" style="36" customWidth="1"/>
    <col min="23" max="23" width="13.625" style="36" customWidth="1"/>
    <col min="24" max="24" width="12.625" style="36" customWidth="1"/>
    <col min="25" max="27" width="18.875" style="36" customWidth="1"/>
    <col min="28" max="30" width="12.625" style="36" customWidth="1"/>
    <col min="31" max="31" width="17" style="36" customWidth="1"/>
    <col min="32" max="33" width="12.625" style="36" customWidth="1"/>
    <col min="34" max="34" width="10.25" style="36" customWidth="1"/>
    <col min="35" max="35" width="26.375" style="36" customWidth="1"/>
    <col min="36" max="36" width="19.75" style="36" customWidth="1"/>
    <col min="37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214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196</v>
      </c>
      <c r="G6" s="3" t="s">
        <v>208</v>
      </c>
      <c r="H6" s="3" t="s">
        <v>616</v>
      </c>
      <c r="I6" s="3" t="s">
        <v>194</v>
      </c>
      <c r="J6" s="3" t="s">
        <v>195</v>
      </c>
      <c r="K6" s="3" t="s">
        <v>197</v>
      </c>
      <c r="L6" s="3" t="s">
        <v>618</v>
      </c>
      <c r="M6" s="3" t="s">
        <v>620</v>
      </c>
      <c r="N6" s="3" t="s">
        <v>622</v>
      </c>
      <c r="O6" s="3" t="s">
        <v>217</v>
      </c>
      <c r="P6" s="3" t="s">
        <v>627</v>
      </c>
      <c r="Q6" s="3" t="s">
        <v>198</v>
      </c>
      <c r="R6" s="3" t="s">
        <v>624</v>
      </c>
      <c r="S6" s="3" t="s">
        <v>196</v>
      </c>
      <c r="T6" s="3" t="s">
        <v>208</v>
      </c>
      <c r="U6" s="3" t="s">
        <v>616</v>
      </c>
      <c r="V6" s="3" t="s">
        <v>194</v>
      </c>
      <c r="W6" s="3" t="s">
        <v>195</v>
      </c>
      <c r="X6" s="3" t="s">
        <v>197</v>
      </c>
      <c r="Y6" s="3" t="s">
        <v>618</v>
      </c>
      <c r="Z6" s="3" t="s">
        <v>620</v>
      </c>
      <c r="AA6" s="3" t="s">
        <v>622</v>
      </c>
      <c r="AB6" s="3" t="s">
        <v>217</v>
      </c>
      <c r="AC6" s="3" t="s">
        <v>627</v>
      </c>
      <c r="AD6" s="3" t="s">
        <v>198</v>
      </c>
      <c r="AE6" s="3" t="s">
        <v>624</v>
      </c>
      <c r="AF6" s="3" t="s">
        <v>196</v>
      </c>
      <c r="AG6" s="3" t="s">
        <v>208</v>
      </c>
      <c r="AH6" s="3" t="s">
        <v>616</v>
      </c>
      <c r="AI6" s="3" t="s">
        <v>194</v>
      </c>
      <c r="AJ6" s="3" t="s">
        <v>195</v>
      </c>
      <c r="AK6" s="3" t="s">
        <v>197</v>
      </c>
      <c r="AL6" s="3" t="s">
        <v>618</v>
      </c>
      <c r="AM6" s="3" t="s">
        <v>620</v>
      </c>
      <c r="AN6" s="3" t="s">
        <v>622</v>
      </c>
      <c r="AO6" s="3" t="s">
        <v>217</v>
      </c>
      <c r="AP6" s="3" t="s">
        <v>627</v>
      </c>
      <c r="AQ6" s="3" t="s">
        <v>198</v>
      </c>
      <c r="AR6" s="3" t="s">
        <v>624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7</v>
      </c>
      <c r="G8" s="4" t="s">
        <v>173</v>
      </c>
      <c r="H8" s="4" t="s">
        <v>173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7</v>
      </c>
      <c r="R8" s="4" t="s">
        <v>625</v>
      </c>
      <c r="S8" s="4" t="s">
        <v>7</v>
      </c>
      <c r="T8" s="4" t="s">
        <v>173</v>
      </c>
      <c r="U8" s="4" t="s">
        <v>173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173</v>
      </c>
      <c r="AA8" s="4" t="s">
        <v>173</v>
      </c>
      <c r="AB8" s="4" t="s">
        <v>173</v>
      </c>
      <c r="AC8" s="4" t="s">
        <v>173</v>
      </c>
      <c r="AD8" s="4" t="s">
        <v>7</v>
      </c>
      <c r="AE8" s="4" t="s">
        <v>625</v>
      </c>
      <c r="AF8" s="4" t="s">
        <v>7</v>
      </c>
      <c r="AG8" s="4" t="s">
        <v>173</v>
      </c>
      <c r="AH8" s="4" t="s">
        <v>173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173</v>
      </c>
      <c r="AN8" s="4" t="s">
        <v>173</v>
      </c>
      <c r="AO8" s="4" t="s">
        <v>173</v>
      </c>
      <c r="AP8" s="4" t="s">
        <v>173</v>
      </c>
      <c r="AQ8" s="4" t="s">
        <v>7</v>
      </c>
      <c r="AR8" s="4" t="s">
        <v>625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5" t="s">
        <v>205</v>
      </c>
      <c r="G9" s="9" t="s">
        <v>209</v>
      </c>
      <c r="H9" s="9" t="s">
        <v>617</v>
      </c>
      <c r="I9" s="9" t="s">
        <v>203</v>
      </c>
      <c r="J9" s="5" t="s">
        <v>204</v>
      </c>
      <c r="K9" s="6" t="s">
        <v>206</v>
      </c>
      <c r="L9" s="6" t="s">
        <v>619</v>
      </c>
      <c r="M9" s="6" t="s">
        <v>621</v>
      </c>
      <c r="N9" s="6" t="s">
        <v>623</v>
      </c>
      <c r="O9" s="6" t="s">
        <v>218</v>
      </c>
      <c r="P9" s="6" t="s">
        <v>628</v>
      </c>
      <c r="Q9" s="6" t="s">
        <v>207</v>
      </c>
      <c r="R9" s="6" t="s">
        <v>626</v>
      </c>
      <c r="S9" s="5" t="s">
        <v>205</v>
      </c>
      <c r="T9" s="9" t="s">
        <v>209</v>
      </c>
      <c r="U9" s="9" t="s">
        <v>617</v>
      </c>
      <c r="V9" s="9" t="s">
        <v>203</v>
      </c>
      <c r="W9" s="5" t="s">
        <v>204</v>
      </c>
      <c r="X9" s="6" t="s">
        <v>206</v>
      </c>
      <c r="Y9" s="6" t="s">
        <v>619</v>
      </c>
      <c r="Z9" s="6" t="s">
        <v>621</v>
      </c>
      <c r="AA9" s="6" t="s">
        <v>623</v>
      </c>
      <c r="AB9" s="6" t="s">
        <v>218</v>
      </c>
      <c r="AC9" s="6" t="s">
        <v>628</v>
      </c>
      <c r="AD9" s="6" t="s">
        <v>207</v>
      </c>
      <c r="AE9" s="6" t="s">
        <v>626</v>
      </c>
      <c r="AF9" s="5" t="s">
        <v>205</v>
      </c>
      <c r="AG9" s="9" t="s">
        <v>209</v>
      </c>
      <c r="AH9" s="9" t="s">
        <v>617</v>
      </c>
      <c r="AI9" s="9" t="s">
        <v>203</v>
      </c>
      <c r="AJ9" s="5" t="s">
        <v>204</v>
      </c>
      <c r="AK9" s="6" t="s">
        <v>206</v>
      </c>
      <c r="AL9" s="6" t="s">
        <v>619</v>
      </c>
      <c r="AM9" s="6" t="s">
        <v>621</v>
      </c>
      <c r="AN9" s="6" t="s">
        <v>623</v>
      </c>
      <c r="AO9" s="6" t="s">
        <v>218</v>
      </c>
      <c r="AP9" s="6" t="s">
        <v>628</v>
      </c>
      <c r="AQ9" s="6" t="s">
        <v>207</v>
      </c>
      <c r="AR9" s="6" t="s">
        <v>626</v>
      </c>
      <c r="AS9" s="5"/>
      <c r="AT9" s="5"/>
      <c r="AU9" s="5"/>
      <c r="AV9" s="5"/>
      <c r="AW9" s="5"/>
      <c r="AX9" s="5"/>
      <c r="AY9" s="5"/>
      <c r="AZ9" s="5"/>
    </row>
    <row r="10" spans="1:52" ht="255.75" customHeight="1">
      <c r="A10" s="55" t="s">
        <v>12</v>
      </c>
      <c r="B10" s="5"/>
      <c r="C10" s="6"/>
      <c r="D10" s="6"/>
      <c r="E10" s="6" t="s">
        <v>216</v>
      </c>
      <c r="F10" s="6" t="s">
        <v>762</v>
      </c>
      <c r="G10" s="6" t="s">
        <v>1274</v>
      </c>
      <c r="H10" s="6"/>
      <c r="I10" s="6" t="s">
        <v>800</v>
      </c>
      <c r="J10" s="6" t="s">
        <v>878</v>
      </c>
      <c r="K10" s="6"/>
      <c r="L10" s="6"/>
      <c r="M10" s="6" t="s">
        <v>878</v>
      </c>
      <c r="N10" s="6"/>
      <c r="O10" s="6"/>
      <c r="P10" s="6"/>
      <c r="Q10" s="6" t="s">
        <v>211</v>
      </c>
      <c r="R10" s="5"/>
      <c r="S10" s="6" t="s">
        <v>762</v>
      </c>
      <c r="T10" s="6" t="s">
        <v>1274</v>
      </c>
      <c r="U10" s="6"/>
      <c r="V10" s="6" t="s">
        <v>800</v>
      </c>
      <c r="W10" s="6" t="s">
        <v>878</v>
      </c>
      <c r="X10" s="6"/>
      <c r="Y10" s="6"/>
      <c r="Z10" s="6" t="s">
        <v>878</v>
      </c>
      <c r="AA10" s="6"/>
      <c r="AB10" s="5"/>
      <c r="AC10" s="5"/>
      <c r="AD10" s="6" t="s">
        <v>211</v>
      </c>
      <c r="AE10" s="5"/>
      <c r="AF10" s="6" t="s">
        <v>762</v>
      </c>
      <c r="AG10" s="6" t="s">
        <v>1274</v>
      </c>
      <c r="AH10" s="6"/>
      <c r="AI10" s="6" t="s">
        <v>215</v>
      </c>
      <c r="AJ10" s="6" t="s">
        <v>878</v>
      </c>
      <c r="AK10" s="6"/>
      <c r="AL10" s="6"/>
      <c r="AM10" s="6" t="s">
        <v>878</v>
      </c>
      <c r="AN10" s="6"/>
      <c r="AO10" s="6"/>
      <c r="AP10" s="6"/>
      <c r="AQ10" s="6" t="s">
        <v>211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426</v>
      </c>
      <c r="D11" s="6" t="s">
        <v>506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1567</v>
      </c>
      <c r="D12" s="6" t="s">
        <v>506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1637</v>
      </c>
      <c r="D13" s="6" t="s">
        <v>506</v>
      </c>
      <c r="E13" s="6">
        <v>2</v>
      </c>
      <c r="F13" s="6">
        <v>1</v>
      </c>
      <c r="G13" s="6">
        <v>2</v>
      </c>
      <c r="H13" s="6">
        <v>100</v>
      </c>
      <c r="I13" s="6">
        <v>18</v>
      </c>
      <c r="J13" s="6">
        <v>2</v>
      </c>
      <c r="K13" s="6">
        <v>77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35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3</v>
      </c>
      <c r="AC13" s="5">
        <v>31</v>
      </c>
      <c r="AD13" s="5">
        <v>2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427</v>
      </c>
      <c r="D14" s="10" t="s">
        <v>507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1568</v>
      </c>
      <c r="D15" s="10" t="s">
        <v>507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1638</v>
      </c>
      <c r="D16" s="10" t="s">
        <v>507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112</v>
      </c>
      <c r="L16" s="6" t="b">
        <v>0</v>
      </c>
      <c r="M16" s="6">
        <v>0</v>
      </c>
      <c r="N16" s="6">
        <v>0</v>
      </c>
      <c r="O16" s="7">
        <v>1</v>
      </c>
      <c r="P16" s="7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100</v>
      </c>
      <c r="V16" s="7">
        <v>30</v>
      </c>
      <c r="W16" s="7">
        <v>0</v>
      </c>
      <c r="X16" s="7">
        <v>21</v>
      </c>
      <c r="Y16" s="6" t="b">
        <v>0</v>
      </c>
      <c r="Z16" s="6">
        <v>0</v>
      </c>
      <c r="AA16" s="6">
        <v>0</v>
      </c>
      <c r="AB16" s="7">
        <v>3</v>
      </c>
      <c r="AC16" s="7">
        <v>17</v>
      </c>
      <c r="AD16" s="7">
        <v>2</v>
      </c>
      <c r="AE16" s="5" t="b">
        <v>1</v>
      </c>
      <c r="AF16" s="7">
        <v>3</v>
      </c>
      <c r="AG16" s="7">
        <v>2</v>
      </c>
      <c r="AH16" s="7">
        <v>50</v>
      </c>
      <c r="AI16" s="7">
        <v>30</v>
      </c>
      <c r="AJ16" s="7">
        <v>0</v>
      </c>
      <c r="AK16" s="7">
        <v>0</v>
      </c>
      <c r="AL16" s="7" t="b">
        <v>0</v>
      </c>
      <c r="AM16" s="7">
        <v>0</v>
      </c>
      <c r="AN16" s="7">
        <v>0</v>
      </c>
      <c r="AO16" s="7">
        <v>3</v>
      </c>
      <c r="AP16" s="7">
        <v>31</v>
      </c>
      <c r="AQ16" s="7">
        <v>1</v>
      </c>
      <c r="AR16" s="7" t="b">
        <v>1</v>
      </c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428</v>
      </c>
      <c r="D17" s="10" t="s">
        <v>497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1569</v>
      </c>
      <c r="D18" s="10" t="s">
        <v>497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1639</v>
      </c>
      <c r="D19" s="10" t="s">
        <v>497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147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/>
      <c r="T19" s="7"/>
      <c r="U19" s="6"/>
      <c r="V19" s="7"/>
      <c r="W19" s="7"/>
      <c r="X19" s="7"/>
      <c r="Y19" s="6"/>
      <c r="Z19" s="6"/>
      <c r="AA19" s="6"/>
      <c r="AB19" s="7"/>
      <c r="AC19" s="7"/>
      <c r="AD19" s="7"/>
      <c r="AE19" s="5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429</v>
      </c>
      <c r="D20" s="10" t="s">
        <v>508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1570</v>
      </c>
      <c r="D21" s="10" t="s">
        <v>508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1640</v>
      </c>
      <c r="D22" s="10" t="s">
        <v>508</v>
      </c>
      <c r="E22" s="7">
        <v>2</v>
      </c>
      <c r="F22" s="7">
        <v>1</v>
      </c>
      <c r="G22" s="7">
        <v>2</v>
      </c>
      <c r="H22" s="6">
        <v>100</v>
      </c>
      <c r="I22" s="7">
        <v>38</v>
      </c>
      <c r="J22" s="7">
        <v>2</v>
      </c>
      <c r="K22" s="7">
        <v>110</v>
      </c>
      <c r="L22" s="6" t="b">
        <v>0</v>
      </c>
      <c r="M22" s="6">
        <v>0</v>
      </c>
      <c r="N22" s="6">
        <v>0</v>
      </c>
      <c r="O22" s="7">
        <v>1</v>
      </c>
      <c r="P22" s="7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100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3</v>
      </c>
      <c r="AC22" s="7">
        <v>31</v>
      </c>
      <c r="AD22" s="7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430</v>
      </c>
      <c r="D23" s="10" t="s">
        <v>815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1571</v>
      </c>
      <c r="D24" s="10" t="s">
        <v>815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1641</v>
      </c>
      <c r="D25" s="10" t="s">
        <v>815</v>
      </c>
      <c r="E25" s="7">
        <v>2</v>
      </c>
      <c r="F25" s="7">
        <v>1</v>
      </c>
      <c r="G25" s="7">
        <v>2</v>
      </c>
      <c r="H25" s="6">
        <v>100</v>
      </c>
      <c r="I25" s="7">
        <v>18</v>
      </c>
      <c r="J25" s="7">
        <v>2</v>
      </c>
      <c r="K25" s="7">
        <v>112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16</v>
      </c>
      <c r="W25" s="7">
        <v>4</v>
      </c>
      <c r="X25" s="7">
        <v>44</v>
      </c>
      <c r="Y25" s="6" t="b">
        <v>0</v>
      </c>
      <c r="Z25" s="6">
        <v>0</v>
      </c>
      <c r="AA25" s="6">
        <v>0</v>
      </c>
      <c r="AB25" s="7">
        <v>49</v>
      </c>
      <c r="AC25" s="7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36" customHeight="1">
      <c r="A26" s="8"/>
      <c r="B26" s="7">
        <v>60001</v>
      </c>
      <c r="C26" s="6" t="s">
        <v>431</v>
      </c>
      <c r="D26" s="10" t="s">
        <v>496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1572</v>
      </c>
      <c r="D27" s="10" t="s">
        <v>496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1642</v>
      </c>
      <c r="D28" s="10" t="s">
        <v>496</v>
      </c>
      <c r="E28" s="6">
        <v>2</v>
      </c>
      <c r="F28" s="6">
        <v>1</v>
      </c>
      <c r="G28" s="6">
        <v>2</v>
      </c>
      <c r="H28" s="6">
        <v>100</v>
      </c>
      <c r="I28" s="6">
        <v>38</v>
      </c>
      <c r="J28" s="6">
        <v>2</v>
      </c>
      <c r="K28" s="6">
        <v>180</v>
      </c>
      <c r="L28" s="6" t="b">
        <v>0</v>
      </c>
      <c r="M28" s="6">
        <v>0</v>
      </c>
      <c r="N28" s="6">
        <v>0</v>
      </c>
      <c r="O28" s="5">
        <v>1</v>
      </c>
      <c r="P28" s="7">
        <v>0</v>
      </c>
      <c r="Q28" s="5">
        <v>0</v>
      </c>
      <c r="R28" s="5" t="b">
        <v>1</v>
      </c>
      <c r="S28" s="6">
        <v>3</v>
      </c>
      <c r="T28" s="6">
        <v>2</v>
      </c>
      <c r="U28" s="6">
        <v>100</v>
      </c>
      <c r="V28" s="5">
        <v>1</v>
      </c>
      <c r="W28" s="5">
        <v>0</v>
      </c>
      <c r="X28" s="5">
        <v>15</v>
      </c>
      <c r="Y28" s="6" t="b">
        <v>0</v>
      </c>
      <c r="Z28" s="6">
        <v>0</v>
      </c>
      <c r="AA28" s="6">
        <v>0</v>
      </c>
      <c r="AB28" s="5">
        <v>49</v>
      </c>
      <c r="AC28" s="5">
        <v>2</v>
      </c>
      <c r="AD28" s="5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432</v>
      </c>
      <c r="D29" s="10" t="s">
        <v>827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70002</v>
      </c>
      <c r="C30" s="6" t="s">
        <v>1573</v>
      </c>
      <c r="D30" s="10" t="s">
        <v>827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1643</v>
      </c>
      <c r="D31" s="10" t="s">
        <v>827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110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100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32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80001</v>
      </c>
      <c r="C32" s="6" t="s">
        <v>433</v>
      </c>
      <c r="D32" s="10" t="s">
        <v>828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80002</v>
      </c>
      <c r="C33" s="6" t="s">
        <v>1574</v>
      </c>
      <c r="D33" s="10" t="s">
        <v>828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80003</v>
      </c>
      <c r="C34" s="6" t="s">
        <v>1644</v>
      </c>
      <c r="D34" s="10" t="s">
        <v>828</v>
      </c>
      <c r="E34" s="7">
        <v>2</v>
      </c>
      <c r="F34" s="7">
        <v>1</v>
      </c>
      <c r="G34" s="7">
        <v>2</v>
      </c>
      <c r="H34" s="6">
        <v>100</v>
      </c>
      <c r="I34" s="7">
        <v>11</v>
      </c>
      <c r="J34" s="7">
        <v>2</v>
      </c>
      <c r="K34" s="7">
        <v>140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7">
        <v>33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90001</v>
      </c>
      <c r="C35" s="6" t="s">
        <v>434</v>
      </c>
      <c r="D35" s="10" t="s">
        <v>829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1575</v>
      </c>
      <c r="D36" s="10" t="s">
        <v>829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1645</v>
      </c>
      <c r="D37" s="10" t="s">
        <v>829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110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100</v>
      </c>
      <c r="V37" s="7">
        <v>30</v>
      </c>
      <c r="W37" s="7">
        <v>2</v>
      </c>
      <c r="X37" s="7">
        <v>60</v>
      </c>
      <c r="Y37" s="6" t="b">
        <v>0</v>
      </c>
      <c r="Z37" s="6">
        <v>0</v>
      </c>
      <c r="AA37" s="6">
        <v>0</v>
      </c>
      <c r="AB37" s="7">
        <v>49</v>
      </c>
      <c r="AC37" s="7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435</v>
      </c>
      <c r="D38" s="10" t="s">
        <v>498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100002</v>
      </c>
      <c r="C39" s="6" t="s">
        <v>1576</v>
      </c>
      <c r="D39" s="10" t="s">
        <v>498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100003</v>
      </c>
      <c r="C40" s="6" t="s">
        <v>1646</v>
      </c>
      <c r="D40" s="10" t="s">
        <v>498</v>
      </c>
      <c r="E40" s="7">
        <v>2</v>
      </c>
      <c r="F40" s="7">
        <v>1</v>
      </c>
      <c r="G40" s="7">
        <v>2</v>
      </c>
      <c r="H40" s="6">
        <v>100</v>
      </c>
      <c r="I40" s="7">
        <v>19</v>
      </c>
      <c r="J40" s="7">
        <v>2</v>
      </c>
      <c r="K40" s="7">
        <v>105</v>
      </c>
      <c r="L40" s="6" t="b">
        <v>0</v>
      </c>
      <c r="M40" s="6">
        <v>0</v>
      </c>
      <c r="N40" s="6">
        <v>0</v>
      </c>
      <c r="O40" s="7">
        <v>1</v>
      </c>
      <c r="P40" s="7">
        <v>0</v>
      </c>
      <c r="Q40" s="7">
        <v>0</v>
      </c>
      <c r="R40" s="5" t="b">
        <v>1</v>
      </c>
      <c r="S40" s="7"/>
      <c r="T40" s="7"/>
      <c r="U40" s="6"/>
      <c r="V40" s="7"/>
      <c r="W40" s="7"/>
      <c r="X40" s="7"/>
      <c r="Y40" s="6"/>
      <c r="Z40" s="6"/>
      <c r="AA40" s="6"/>
      <c r="AB40" s="7"/>
      <c r="AC40" s="7"/>
      <c r="AD40" s="7"/>
      <c r="AE40" s="5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7.5" customHeight="1">
      <c r="A41" s="8"/>
      <c r="B41" s="5">
        <v>110001</v>
      </c>
      <c r="C41" s="6" t="s">
        <v>436</v>
      </c>
      <c r="D41" s="10" t="s">
        <v>499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110002</v>
      </c>
      <c r="C42" s="6" t="s">
        <v>1577</v>
      </c>
      <c r="D42" s="10" t="s">
        <v>499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1647</v>
      </c>
      <c r="D43" s="10" t="s">
        <v>499</v>
      </c>
      <c r="E43" s="6">
        <v>2</v>
      </c>
      <c r="F43" s="6">
        <v>1</v>
      </c>
      <c r="G43" s="6">
        <v>2</v>
      </c>
      <c r="H43" s="6">
        <v>100</v>
      </c>
      <c r="I43" s="6">
        <v>21</v>
      </c>
      <c r="J43" s="6">
        <v>2</v>
      </c>
      <c r="K43" s="6">
        <v>36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6">
        <v>3</v>
      </c>
      <c r="T43" s="6">
        <v>2</v>
      </c>
      <c r="U43" s="6">
        <v>100</v>
      </c>
      <c r="V43" s="5">
        <v>30</v>
      </c>
      <c r="W43" s="5">
        <v>2</v>
      </c>
      <c r="X43" s="5">
        <v>36</v>
      </c>
      <c r="Y43" s="6" t="b">
        <v>0</v>
      </c>
      <c r="Z43" s="6">
        <v>0</v>
      </c>
      <c r="AA43" s="6">
        <v>0</v>
      </c>
      <c r="AB43" s="5">
        <v>1</v>
      </c>
      <c r="AC43" s="5">
        <v>63</v>
      </c>
      <c r="AD43" s="5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39" customHeight="1">
      <c r="A44" s="8"/>
      <c r="B44" s="7">
        <v>120001</v>
      </c>
      <c r="C44" s="6" t="s">
        <v>437</v>
      </c>
      <c r="D44" s="10" t="s">
        <v>500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1578</v>
      </c>
      <c r="D45" s="10" t="s">
        <v>500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7">
        <v>120003</v>
      </c>
      <c r="C46" s="6" t="s">
        <v>1648</v>
      </c>
      <c r="D46" s="10" t="s">
        <v>500</v>
      </c>
      <c r="E46" s="7">
        <v>2</v>
      </c>
      <c r="F46" s="7">
        <v>1</v>
      </c>
      <c r="G46" s="7">
        <v>2</v>
      </c>
      <c r="H46" s="6">
        <v>100</v>
      </c>
      <c r="I46" s="7">
        <v>18</v>
      </c>
      <c r="J46" s="7">
        <v>2</v>
      </c>
      <c r="K46" s="7">
        <v>70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100</v>
      </c>
      <c r="V46" s="7">
        <v>30</v>
      </c>
      <c r="W46" s="7">
        <v>2</v>
      </c>
      <c r="X46" s="7">
        <v>46</v>
      </c>
      <c r="Y46" s="6" t="b">
        <v>0</v>
      </c>
      <c r="Z46" s="6">
        <v>0</v>
      </c>
      <c r="AA46" s="6">
        <v>0</v>
      </c>
      <c r="AB46" s="7">
        <v>1</v>
      </c>
      <c r="AC46" s="7">
        <v>65</v>
      </c>
      <c r="AD46" s="7">
        <v>2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35.25" customHeight="1">
      <c r="A47" s="8"/>
      <c r="B47" s="5">
        <v>130001</v>
      </c>
      <c r="C47" s="6" t="s">
        <v>438</v>
      </c>
      <c r="D47" s="10" t="s">
        <v>501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1579</v>
      </c>
      <c r="D48" s="10" t="s">
        <v>501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1649</v>
      </c>
      <c r="D49" s="10" t="s">
        <v>501</v>
      </c>
      <c r="E49" s="7">
        <v>2</v>
      </c>
      <c r="F49" s="7">
        <v>1</v>
      </c>
      <c r="G49" s="7">
        <v>2</v>
      </c>
      <c r="H49" s="6">
        <v>100</v>
      </c>
      <c r="I49" s="7">
        <v>39</v>
      </c>
      <c r="J49" s="7">
        <v>2</v>
      </c>
      <c r="K49" s="7">
        <v>147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439</v>
      </c>
      <c r="D50" s="10" t="s">
        <v>816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1580</v>
      </c>
      <c r="D51" s="10" t="s">
        <v>816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1650</v>
      </c>
      <c r="D52" s="10" t="s">
        <v>816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167</v>
      </c>
      <c r="L52" s="6" t="b">
        <v>0</v>
      </c>
      <c r="M52" s="6">
        <v>0</v>
      </c>
      <c r="N52" s="6">
        <v>0</v>
      </c>
      <c r="O52" s="7">
        <v>1</v>
      </c>
      <c r="P52" s="7">
        <v>0</v>
      </c>
      <c r="Q52" s="7">
        <v>0</v>
      </c>
      <c r="R52" s="5" t="b">
        <v>1</v>
      </c>
      <c r="S52" s="7">
        <v>2</v>
      </c>
      <c r="T52" s="7">
        <v>5</v>
      </c>
      <c r="U52" s="6">
        <v>100</v>
      </c>
      <c r="V52" s="7">
        <v>31</v>
      </c>
      <c r="W52" s="7">
        <v>4</v>
      </c>
      <c r="X52" s="7">
        <v>75</v>
      </c>
      <c r="Y52" s="6" t="b">
        <v>0</v>
      </c>
      <c r="Z52" s="6">
        <v>0</v>
      </c>
      <c r="AA52" s="6">
        <v>0</v>
      </c>
      <c r="AB52" s="7">
        <v>49</v>
      </c>
      <c r="AC52" s="7">
        <v>0</v>
      </c>
      <c r="AD52" s="7">
        <v>0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440</v>
      </c>
      <c r="D53" s="10" t="s">
        <v>502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</row>
    <row r="54" spans="1:52" ht="18.75" customHeight="1">
      <c r="B54" s="5">
        <v>150002</v>
      </c>
      <c r="C54" s="6" t="s">
        <v>1581</v>
      </c>
      <c r="D54" s="10" t="s">
        <v>502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</row>
    <row r="55" spans="1:52" ht="18.75" customHeight="1">
      <c r="B55" s="5">
        <v>150003</v>
      </c>
      <c r="C55" s="6" t="s">
        <v>1651</v>
      </c>
      <c r="D55" s="10" t="s">
        <v>502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119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100</v>
      </c>
      <c r="V55" s="7">
        <v>30</v>
      </c>
      <c r="W55" s="7">
        <v>0</v>
      </c>
      <c r="X55" s="7">
        <v>21</v>
      </c>
      <c r="Y55" s="6" t="b">
        <v>0</v>
      </c>
      <c r="Z55" s="6">
        <v>0</v>
      </c>
      <c r="AA55" s="6">
        <v>0</v>
      </c>
      <c r="AB55" s="7">
        <v>3</v>
      </c>
      <c r="AC55" s="7">
        <v>17</v>
      </c>
      <c r="AD55" s="7">
        <v>2</v>
      </c>
      <c r="AE55" s="5" t="b">
        <v>1</v>
      </c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</row>
    <row r="56" spans="1:52" ht="18.75" customHeight="1">
      <c r="B56" s="7">
        <v>160001</v>
      </c>
      <c r="C56" s="7" t="s">
        <v>441</v>
      </c>
      <c r="D56" s="10" t="s">
        <v>817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29">
        <v>2</v>
      </c>
      <c r="AG56" s="29">
        <v>2</v>
      </c>
      <c r="AH56" s="29">
        <v>100</v>
      </c>
      <c r="AI56" s="29">
        <v>22</v>
      </c>
      <c r="AJ56" s="29">
        <v>4</v>
      </c>
      <c r="AK56" s="29">
        <v>90</v>
      </c>
      <c r="AL56" s="29" t="b">
        <v>0</v>
      </c>
      <c r="AM56" s="29">
        <v>0</v>
      </c>
      <c r="AN56" s="29">
        <v>0</v>
      </c>
      <c r="AO56" s="29">
        <v>49</v>
      </c>
      <c r="AP56" s="29">
        <v>0</v>
      </c>
      <c r="AQ56" s="29">
        <v>0</v>
      </c>
      <c r="AR56" s="29" t="b">
        <v>1</v>
      </c>
    </row>
    <row r="57" spans="1:52" ht="18.75" customHeight="1">
      <c r="B57" s="7">
        <v>160002</v>
      </c>
      <c r="C57" s="7" t="s">
        <v>1582</v>
      </c>
      <c r="D57" s="10" t="s">
        <v>817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29">
        <v>2</v>
      </c>
      <c r="AG57" s="29">
        <v>2</v>
      </c>
      <c r="AH57" s="29">
        <v>100</v>
      </c>
      <c r="AI57" s="29">
        <v>22</v>
      </c>
      <c r="AJ57" s="29">
        <v>4</v>
      </c>
      <c r="AK57" s="29">
        <v>90</v>
      </c>
      <c r="AL57" s="29" t="b">
        <v>0</v>
      </c>
      <c r="AM57" s="29">
        <v>0</v>
      </c>
      <c r="AN57" s="29">
        <v>0</v>
      </c>
      <c r="AO57" s="29">
        <v>49</v>
      </c>
      <c r="AP57" s="29">
        <v>0</v>
      </c>
      <c r="AQ57" s="29">
        <v>0</v>
      </c>
      <c r="AR57" s="29" t="b">
        <v>1</v>
      </c>
    </row>
    <row r="58" spans="1:52" ht="18.75" customHeight="1">
      <c r="B58" s="7">
        <v>160003</v>
      </c>
      <c r="C58" s="7" t="s">
        <v>1652</v>
      </c>
      <c r="D58" s="10" t="s">
        <v>817</v>
      </c>
      <c r="E58" s="6">
        <v>2</v>
      </c>
      <c r="F58" s="6">
        <v>1</v>
      </c>
      <c r="G58" s="6">
        <v>2</v>
      </c>
      <c r="H58" s="6">
        <v>100</v>
      </c>
      <c r="I58" s="6">
        <v>18</v>
      </c>
      <c r="J58" s="6">
        <v>2</v>
      </c>
      <c r="K58" s="6">
        <v>126</v>
      </c>
      <c r="L58" s="6" t="b">
        <v>0</v>
      </c>
      <c r="M58" s="6">
        <v>0</v>
      </c>
      <c r="N58" s="6">
        <v>0</v>
      </c>
      <c r="O58" s="5">
        <v>1</v>
      </c>
      <c r="P58" s="7">
        <v>0</v>
      </c>
      <c r="Q58" s="5">
        <v>0</v>
      </c>
      <c r="R58" s="5" t="b">
        <v>1</v>
      </c>
      <c r="S58" s="6">
        <v>3</v>
      </c>
      <c r="T58" s="6">
        <v>2</v>
      </c>
      <c r="U58" s="6">
        <v>30</v>
      </c>
      <c r="V58" s="5">
        <v>30</v>
      </c>
      <c r="W58" s="5">
        <v>0</v>
      </c>
      <c r="X58" s="5">
        <v>0</v>
      </c>
      <c r="Y58" s="6" t="b">
        <v>0</v>
      </c>
      <c r="Z58" s="6">
        <v>0</v>
      </c>
      <c r="AA58" s="6">
        <v>0</v>
      </c>
      <c r="AB58" s="5">
        <v>3</v>
      </c>
      <c r="AC58" s="5">
        <v>31</v>
      </c>
      <c r="AD58" s="5">
        <v>2</v>
      </c>
      <c r="AE58" s="5" t="b">
        <v>1</v>
      </c>
      <c r="AF58" s="29">
        <v>2</v>
      </c>
      <c r="AG58" s="29">
        <v>2</v>
      </c>
      <c r="AH58" s="29">
        <v>100</v>
      </c>
      <c r="AI58" s="29">
        <v>22</v>
      </c>
      <c r="AJ58" s="29">
        <v>4</v>
      </c>
      <c r="AK58" s="29">
        <v>90</v>
      </c>
      <c r="AL58" s="29" t="b">
        <v>0</v>
      </c>
      <c r="AM58" s="29">
        <v>0</v>
      </c>
      <c r="AN58" s="29">
        <v>0</v>
      </c>
      <c r="AO58" s="29">
        <v>49</v>
      </c>
      <c r="AP58" s="29">
        <v>0</v>
      </c>
      <c r="AQ58" s="29">
        <v>0</v>
      </c>
      <c r="AR58" s="29" t="b">
        <v>1</v>
      </c>
    </row>
    <row r="59" spans="1:52" ht="18.75" customHeight="1">
      <c r="B59" s="5">
        <v>170001</v>
      </c>
      <c r="C59" s="7" t="s">
        <v>442</v>
      </c>
      <c r="D59" s="10" t="s">
        <v>849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1583</v>
      </c>
      <c r="D60" s="10" t="s">
        <v>849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1653</v>
      </c>
      <c r="D61" s="10" t="s">
        <v>849</v>
      </c>
      <c r="E61" s="7">
        <v>2</v>
      </c>
      <c r="F61" s="7">
        <v>1</v>
      </c>
      <c r="G61" s="7">
        <v>2</v>
      </c>
      <c r="H61" s="6">
        <v>100</v>
      </c>
      <c r="I61" s="7">
        <v>39</v>
      </c>
      <c r="J61" s="7">
        <v>2</v>
      </c>
      <c r="K61" s="7">
        <v>144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100</v>
      </c>
      <c r="V61" s="7">
        <v>30</v>
      </c>
      <c r="W61" s="7">
        <v>2</v>
      </c>
      <c r="X61" s="7">
        <v>13</v>
      </c>
      <c r="Y61" s="6" t="b">
        <v>0</v>
      </c>
      <c r="Z61" s="6">
        <v>0</v>
      </c>
      <c r="AA61" s="6">
        <v>0</v>
      </c>
      <c r="AB61" s="7">
        <v>1</v>
      </c>
      <c r="AC61" s="7">
        <v>65</v>
      </c>
      <c r="AD61" s="7">
        <v>15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443</v>
      </c>
      <c r="D62" s="10" t="s">
        <v>503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1584</v>
      </c>
      <c r="D63" s="10" t="s">
        <v>503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1654</v>
      </c>
      <c r="D64" s="10" t="s">
        <v>503</v>
      </c>
      <c r="E64" s="7">
        <v>2</v>
      </c>
      <c r="F64" s="7">
        <v>1</v>
      </c>
      <c r="G64" s="7">
        <v>2</v>
      </c>
      <c r="H64" s="6">
        <v>100</v>
      </c>
      <c r="I64" s="7">
        <v>19</v>
      </c>
      <c r="J64" s="7">
        <v>2</v>
      </c>
      <c r="K64" s="7">
        <v>120</v>
      </c>
      <c r="L64" s="6" t="b">
        <v>0</v>
      </c>
      <c r="M64" s="6">
        <v>0</v>
      </c>
      <c r="N64" s="6">
        <v>0</v>
      </c>
      <c r="O64" s="7">
        <v>1</v>
      </c>
      <c r="P64" s="7">
        <v>0</v>
      </c>
      <c r="Q64" s="7">
        <v>0</v>
      </c>
      <c r="R64" s="5" t="b">
        <v>1</v>
      </c>
      <c r="S64" s="7"/>
      <c r="T64" s="7"/>
      <c r="U64" s="6"/>
      <c r="V64" s="7"/>
      <c r="W64" s="7"/>
      <c r="X64" s="7"/>
      <c r="Y64" s="6"/>
      <c r="Z64" s="6"/>
      <c r="AA64" s="6"/>
      <c r="AB64" s="7"/>
      <c r="AC64" s="7"/>
      <c r="AD64" s="7"/>
      <c r="AE64" s="5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444</v>
      </c>
      <c r="D65" s="10" t="s">
        <v>818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1585</v>
      </c>
      <c r="D66" s="10" t="s">
        <v>818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1655</v>
      </c>
      <c r="D67" s="10" t="s">
        <v>818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180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2</v>
      </c>
      <c r="T67" s="7">
        <v>5</v>
      </c>
      <c r="U67" s="6">
        <v>100</v>
      </c>
      <c r="V67" s="7">
        <v>1</v>
      </c>
      <c r="W67" s="7">
        <v>4</v>
      </c>
      <c r="X67" s="7">
        <v>75</v>
      </c>
      <c r="Y67" s="6" t="b">
        <v>0</v>
      </c>
      <c r="Z67" s="6">
        <v>0</v>
      </c>
      <c r="AA67" s="6">
        <v>0</v>
      </c>
      <c r="AB67" s="7">
        <v>49</v>
      </c>
      <c r="AC67" s="7">
        <v>0</v>
      </c>
      <c r="AD67" s="7">
        <v>0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445</v>
      </c>
      <c r="D68" s="10" t="s">
        <v>504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1586</v>
      </c>
      <c r="D69" s="10" t="s">
        <v>504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1656</v>
      </c>
      <c r="D70" s="10" t="s">
        <v>504</v>
      </c>
      <c r="E70" s="7">
        <v>2</v>
      </c>
      <c r="F70" s="7">
        <v>1</v>
      </c>
      <c r="G70" s="7">
        <v>2</v>
      </c>
      <c r="H70" s="6">
        <v>100</v>
      </c>
      <c r="I70" s="7">
        <v>12</v>
      </c>
      <c r="J70" s="7">
        <v>2</v>
      </c>
      <c r="K70" s="7">
        <v>182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/>
      <c r="T70" s="7"/>
      <c r="U70" s="6"/>
      <c r="V70" s="7"/>
      <c r="W70" s="7"/>
      <c r="X70" s="7"/>
      <c r="Y70" s="6"/>
      <c r="Z70" s="6"/>
      <c r="AA70" s="6"/>
      <c r="AB70" s="7"/>
      <c r="AC70" s="7"/>
      <c r="AD70" s="7"/>
      <c r="AE70" s="5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446</v>
      </c>
      <c r="D71" s="10" t="s">
        <v>505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1587</v>
      </c>
      <c r="D72" s="10" t="s">
        <v>505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1657</v>
      </c>
      <c r="D73" s="10" t="s">
        <v>505</v>
      </c>
      <c r="E73" s="6">
        <v>2</v>
      </c>
      <c r="F73" s="6">
        <v>1</v>
      </c>
      <c r="G73" s="6">
        <v>2</v>
      </c>
      <c r="H73" s="6">
        <v>100</v>
      </c>
      <c r="I73" s="6">
        <v>3</v>
      </c>
      <c r="J73" s="6">
        <v>2</v>
      </c>
      <c r="K73" s="6">
        <v>51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15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447</v>
      </c>
      <c r="D74" s="10" t="s">
        <v>850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</row>
    <row r="75" spans="2:44" ht="18.75" customHeight="1">
      <c r="B75" s="7">
        <v>220002</v>
      </c>
      <c r="C75" s="7" t="s">
        <v>1588</v>
      </c>
      <c r="D75" s="10" t="s">
        <v>850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</row>
    <row r="76" spans="2:44" ht="18.75" customHeight="1">
      <c r="B76" s="7">
        <v>220003</v>
      </c>
      <c r="C76" s="7" t="s">
        <v>1658</v>
      </c>
      <c r="D76" s="10" t="s">
        <v>850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7">
        <v>135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43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</row>
    <row r="77" spans="2:44" ht="18.75" customHeight="1">
      <c r="B77" s="5">
        <v>230001</v>
      </c>
      <c r="C77" s="7" t="s">
        <v>448</v>
      </c>
      <c r="D77" s="10" t="s">
        <v>851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1589</v>
      </c>
      <c r="D78" s="10" t="s">
        <v>851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1659</v>
      </c>
      <c r="D79" s="10" t="s">
        <v>851</v>
      </c>
      <c r="E79" s="7">
        <v>2</v>
      </c>
      <c r="F79" s="7">
        <v>1</v>
      </c>
      <c r="G79" s="7">
        <v>2</v>
      </c>
      <c r="H79" s="6">
        <v>100</v>
      </c>
      <c r="I79" s="7">
        <v>18</v>
      </c>
      <c r="J79" s="7">
        <v>2</v>
      </c>
      <c r="K79" s="7">
        <v>84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35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449</v>
      </c>
      <c r="D80" s="10" t="s">
        <v>819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1590</v>
      </c>
      <c r="D81" s="10" t="s">
        <v>819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1660</v>
      </c>
      <c r="D82" s="10" t="s">
        <v>819</v>
      </c>
      <c r="E82" s="7">
        <v>2</v>
      </c>
      <c r="F82" s="7">
        <v>1</v>
      </c>
      <c r="G82" s="7">
        <v>2</v>
      </c>
      <c r="H82" s="6">
        <v>100</v>
      </c>
      <c r="I82" s="7">
        <v>26</v>
      </c>
      <c r="J82" s="7">
        <v>2</v>
      </c>
      <c r="K82" s="7">
        <v>162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2</v>
      </c>
      <c r="T82" s="7">
        <v>5</v>
      </c>
      <c r="U82" s="6">
        <v>100</v>
      </c>
      <c r="V82" s="7">
        <v>1</v>
      </c>
      <c r="W82" s="7">
        <v>4</v>
      </c>
      <c r="X82" s="7">
        <v>75</v>
      </c>
      <c r="Y82" s="6" t="b">
        <v>0</v>
      </c>
      <c r="Z82" s="6">
        <v>0</v>
      </c>
      <c r="AA82" s="6">
        <v>0</v>
      </c>
      <c r="AB82" s="7">
        <v>3</v>
      </c>
      <c r="AC82" s="7">
        <v>0</v>
      </c>
      <c r="AD82" s="7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450</v>
      </c>
      <c r="D83" s="10" t="s">
        <v>511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1591</v>
      </c>
      <c r="D84" s="10" t="s">
        <v>511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1661</v>
      </c>
      <c r="D85" s="10" t="s">
        <v>511</v>
      </c>
      <c r="E85" s="7">
        <v>2</v>
      </c>
      <c r="F85" s="7">
        <v>1</v>
      </c>
      <c r="G85" s="7">
        <v>2</v>
      </c>
      <c r="H85" s="6">
        <v>100</v>
      </c>
      <c r="I85" s="7">
        <v>12</v>
      </c>
      <c r="J85" s="7">
        <v>2</v>
      </c>
      <c r="K85" s="7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3</v>
      </c>
      <c r="T85" s="7">
        <v>2</v>
      </c>
      <c r="U85" s="6">
        <v>100</v>
      </c>
      <c r="V85" s="7">
        <v>30</v>
      </c>
      <c r="W85" s="7">
        <v>0</v>
      </c>
      <c r="X85" s="7">
        <v>12</v>
      </c>
      <c r="Y85" s="6" t="b">
        <v>0</v>
      </c>
      <c r="Z85" s="6">
        <v>0</v>
      </c>
      <c r="AA85" s="6">
        <v>0</v>
      </c>
      <c r="AB85" s="7">
        <v>3</v>
      </c>
      <c r="AC85" s="7">
        <v>22</v>
      </c>
      <c r="AD85" s="7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451</v>
      </c>
      <c r="D86" s="10" t="s">
        <v>852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1592</v>
      </c>
      <c r="D87" s="10" t="s">
        <v>852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1662</v>
      </c>
      <c r="D88" s="10" t="s">
        <v>852</v>
      </c>
      <c r="E88" s="6">
        <v>2</v>
      </c>
      <c r="F88" s="6">
        <v>1</v>
      </c>
      <c r="G88" s="6">
        <v>2</v>
      </c>
      <c r="H88" s="6">
        <v>100</v>
      </c>
      <c r="I88" s="6">
        <v>12</v>
      </c>
      <c r="J88" s="6">
        <v>2</v>
      </c>
      <c r="K88" s="6">
        <v>50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2</v>
      </c>
      <c r="X88" s="5">
        <v>45</v>
      </c>
      <c r="Y88" s="6" t="b">
        <v>0</v>
      </c>
      <c r="Z88" s="6">
        <v>0</v>
      </c>
      <c r="AA88" s="6">
        <v>0</v>
      </c>
      <c r="AB88" s="5">
        <v>1</v>
      </c>
      <c r="AC88" s="5">
        <v>63</v>
      </c>
      <c r="AD88" s="5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452</v>
      </c>
      <c r="D89" s="10" t="s">
        <v>820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1593</v>
      </c>
      <c r="D90" s="10" t="s">
        <v>820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1663</v>
      </c>
      <c r="D91" s="10" t="s">
        <v>820</v>
      </c>
      <c r="E91" s="7">
        <v>2</v>
      </c>
      <c r="F91" s="7">
        <v>1</v>
      </c>
      <c r="G91" s="7">
        <v>2</v>
      </c>
      <c r="H91" s="6">
        <v>100</v>
      </c>
      <c r="I91" s="7">
        <v>39</v>
      </c>
      <c r="J91" s="7">
        <v>2</v>
      </c>
      <c r="K91" s="7">
        <v>132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2</v>
      </c>
      <c r="T91" s="7">
        <v>5</v>
      </c>
      <c r="U91" s="6">
        <v>100</v>
      </c>
      <c r="V91" s="7">
        <v>34</v>
      </c>
      <c r="W91" s="7">
        <v>4</v>
      </c>
      <c r="X91" s="7">
        <v>160</v>
      </c>
      <c r="Y91" s="6" t="b">
        <v>0</v>
      </c>
      <c r="Z91" s="6">
        <v>0</v>
      </c>
      <c r="AA91" s="6">
        <v>0</v>
      </c>
      <c r="AB91" s="7">
        <v>49</v>
      </c>
      <c r="AC91" s="7">
        <v>0</v>
      </c>
      <c r="AD91" s="7">
        <v>0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453</v>
      </c>
      <c r="D92" s="10" t="s">
        <v>853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1594</v>
      </c>
      <c r="D93" s="10" t="s">
        <v>853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1666</v>
      </c>
      <c r="D94" s="10" t="s">
        <v>853</v>
      </c>
      <c r="E94" s="7">
        <v>2</v>
      </c>
      <c r="F94" s="7">
        <v>1</v>
      </c>
      <c r="G94" s="7">
        <v>2</v>
      </c>
      <c r="H94" s="6">
        <v>100</v>
      </c>
      <c r="I94" s="7">
        <v>26</v>
      </c>
      <c r="J94" s="7">
        <v>2</v>
      </c>
      <c r="K94" s="7">
        <v>180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2</v>
      </c>
      <c r="X94" s="7">
        <v>30</v>
      </c>
      <c r="Y94" s="6" t="b">
        <v>0</v>
      </c>
      <c r="Z94" s="6">
        <v>0</v>
      </c>
      <c r="AA94" s="6">
        <v>0</v>
      </c>
      <c r="AB94" s="7">
        <v>1</v>
      </c>
      <c r="AC94" s="7">
        <v>65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454</v>
      </c>
      <c r="D95" s="10" t="s">
        <v>854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36" customHeight="1">
      <c r="A96" s="8"/>
      <c r="B96" s="5">
        <v>290002</v>
      </c>
      <c r="C96" s="7" t="s">
        <v>1595</v>
      </c>
      <c r="D96" s="10" t="s">
        <v>854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1664</v>
      </c>
      <c r="D97" s="10" t="s">
        <v>854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120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0</v>
      </c>
      <c r="Y97" s="6" t="b">
        <v>0</v>
      </c>
      <c r="Z97" s="6">
        <v>0</v>
      </c>
      <c r="AA97" s="6">
        <v>0</v>
      </c>
      <c r="AB97" s="7">
        <v>3</v>
      </c>
      <c r="AC97" s="7">
        <v>34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455</v>
      </c>
      <c r="D98" s="10" t="s">
        <v>821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1596</v>
      </c>
      <c r="D99" s="10" t="s">
        <v>821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7">
        <v>300003</v>
      </c>
      <c r="C100" s="7" t="s">
        <v>1665</v>
      </c>
      <c r="D100" s="10" t="s">
        <v>821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150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16</v>
      </c>
      <c r="W100" s="7">
        <v>4</v>
      </c>
      <c r="X100" s="7">
        <v>70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456</v>
      </c>
      <c r="D101" s="10" t="s">
        <v>513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310002</v>
      </c>
      <c r="C102" s="7" t="s">
        <v>1597</v>
      </c>
      <c r="D102" s="10" t="s">
        <v>513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5">
        <v>310003</v>
      </c>
      <c r="C103" s="7" t="s">
        <v>1667</v>
      </c>
      <c r="D103" s="10" t="s">
        <v>513</v>
      </c>
      <c r="E103" s="6">
        <v>2</v>
      </c>
      <c r="F103" s="6">
        <v>1</v>
      </c>
      <c r="G103" s="6">
        <v>2</v>
      </c>
      <c r="H103" s="6">
        <v>100</v>
      </c>
      <c r="I103" s="6">
        <v>18</v>
      </c>
      <c r="J103" s="6">
        <v>2</v>
      </c>
      <c r="K103" s="6">
        <v>150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>
        <v>3</v>
      </c>
      <c r="T103" s="6">
        <v>2</v>
      </c>
      <c r="U103" s="6">
        <v>20</v>
      </c>
      <c r="V103" s="5">
        <v>30</v>
      </c>
      <c r="W103" s="5">
        <v>0</v>
      </c>
      <c r="X103" s="5">
        <v>0</v>
      </c>
      <c r="Y103" s="6" t="b">
        <v>0</v>
      </c>
      <c r="Z103" s="6">
        <v>0</v>
      </c>
      <c r="AA103" s="6">
        <v>0</v>
      </c>
      <c r="AB103" s="5">
        <v>3</v>
      </c>
      <c r="AC103" s="5">
        <v>31</v>
      </c>
      <c r="AD103" s="5">
        <v>2</v>
      </c>
      <c r="AE103" s="5" t="b">
        <v>1</v>
      </c>
      <c r="AF103" s="7">
        <v>3</v>
      </c>
      <c r="AG103" s="7">
        <v>2</v>
      </c>
      <c r="AH103" s="7">
        <v>100</v>
      </c>
      <c r="AI103" s="7">
        <v>7</v>
      </c>
      <c r="AJ103" s="7">
        <v>0</v>
      </c>
      <c r="AK103" s="7">
        <v>15</v>
      </c>
      <c r="AL103" s="7" t="b">
        <v>0</v>
      </c>
      <c r="AM103" s="7">
        <v>0</v>
      </c>
      <c r="AN103" s="7">
        <v>0</v>
      </c>
      <c r="AO103" s="7">
        <v>3</v>
      </c>
      <c r="AP103" s="7">
        <v>2</v>
      </c>
      <c r="AQ103" s="7">
        <v>3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320001</v>
      </c>
      <c r="C104" s="7" t="s">
        <v>457</v>
      </c>
      <c r="D104" s="10" t="s">
        <v>875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320002</v>
      </c>
      <c r="C105" s="7" t="s">
        <v>1598</v>
      </c>
      <c r="D105" s="10" t="s">
        <v>875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1668</v>
      </c>
      <c r="D106" s="10" t="s">
        <v>875</v>
      </c>
      <c r="E106" s="7">
        <v>2</v>
      </c>
      <c r="F106" s="7">
        <v>1</v>
      </c>
      <c r="G106" s="7">
        <v>2</v>
      </c>
      <c r="H106" s="6">
        <v>100</v>
      </c>
      <c r="I106" s="7">
        <v>10</v>
      </c>
      <c r="J106" s="7">
        <v>2</v>
      </c>
      <c r="K106" s="7">
        <v>132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60</v>
      </c>
      <c r="Y106" s="6" t="b">
        <v>0</v>
      </c>
      <c r="Z106" s="6">
        <v>0</v>
      </c>
      <c r="AA106" s="6">
        <v>0</v>
      </c>
      <c r="AB106" s="7">
        <v>1</v>
      </c>
      <c r="AC106" s="7">
        <v>64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458</v>
      </c>
      <c r="D107" s="10" t="s">
        <v>876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1599</v>
      </c>
      <c r="D108" s="10" t="s">
        <v>876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5">
        <v>330003</v>
      </c>
      <c r="C109" s="7" t="s">
        <v>1669</v>
      </c>
      <c r="D109" s="10" t="s">
        <v>876</v>
      </c>
      <c r="E109" s="7">
        <v>2</v>
      </c>
      <c r="F109" s="7">
        <v>1</v>
      </c>
      <c r="G109" s="7">
        <v>2</v>
      </c>
      <c r="H109" s="6">
        <v>100</v>
      </c>
      <c r="I109" s="7">
        <v>11</v>
      </c>
      <c r="J109" s="7">
        <v>2</v>
      </c>
      <c r="K109" s="7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60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33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18.75" customHeight="1">
      <c r="A110" s="8"/>
      <c r="B110" s="7">
        <v>340001</v>
      </c>
      <c r="C110" s="7" t="s">
        <v>459</v>
      </c>
      <c r="D110" s="10" t="s">
        <v>877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37.5" customHeight="1">
      <c r="A111" s="8"/>
      <c r="B111" s="7">
        <v>340002</v>
      </c>
      <c r="C111" s="7" t="s">
        <v>1600</v>
      </c>
      <c r="D111" s="10" t="s">
        <v>877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7">
        <v>340003</v>
      </c>
      <c r="C112" s="7" t="s">
        <v>1670</v>
      </c>
      <c r="D112" s="10" t="s">
        <v>877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122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40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7">
        <v>34</v>
      </c>
      <c r="AD112" s="7">
        <v>2</v>
      </c>
      <c r="AE112" s="5" t="b">
        <v>1</v>
      </c>
      <c r="AF112" s="7">
        <v>2</v>
      </c>
      <c r="AG112" s="7">
        <v>5</v>
      </c>
      <c r="AH112" s="7">
        <v>100</v>
      </c>
      <c r="AI112" s="7">
        <v>1</v>
      </c>
      <c r="AJ112" s="7">
        <v>6</v>
      </c>
      <c r="AK112" s="7">
        <v>10</v>
      </c>
      <c r="AL112" s="7" t="b">
        <v>0</v>
      </c>
      <c r="AM112" s="7">
        <v>0</v>
      </c>
      <c r="AN112" s="7">
        <v>0</v>
      </c>
      <c r="AO112" s="7">
        <v>49</v>
      </c>
      <c r="AP112" s="7">
        <v>0</v>
      </c>
      <c r="AQ112" s="7">
        <v>0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460</v>
      </c>
      <c r="D113" s="10" t="s">
        <v>812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39" customHeight="1">
      <c r="A114" s="8"/>
      <c r="B114" s="5">
        <v>350002</v>
      </c>
      <c r="C114" s="7" t="s">
        <v>1601</v>
      </c>
      <c r="D114" s="10" t="s">
        <v>812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1671</v>
      </c>
      <c r="D115" s="10" t="s">
        <v>812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7">
        <v>280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>
        <v>2</v>
      </c>
      <c r="T115" s="7">
        <v>5</v>
      </c>
      <c r="U115" s="6">
        <v>100</v>
      </c>
      <c r="V115" s="7">
        <v>1</v>
      </c>
      <c r="W115" s="7">
        <v>4</v>
      </c>
      <c r="X115" s="7">
        <v>120</v>
      </c>
      <c r="Y115" s="6" t="b">
        <v>0</v>
      </c>
      <c r="Z115" s="6">
        <v>0</v>
      </c>
      <c r="AA115" s="6">
        <v>0</v>
      </c>
      <c r="AB115" s="7">
        <v>49</v>
      </c>
      <c r="AC115" s="7">
        <v>0</v>
      </c>
      <c r="AD115" s="7">
        <v>0</v>
      </c>
      <c r="AE115" s="5" t="b">
        <v>1</v>
      </c>
      <c r="AF115" s="7">
        <v>3</v>
      </c>
      <c r="AG115" s="7">
        <v>2</v>
      </c>
      <c r="AH115" s="7">
        <v>100</v>
      </c>
      <c r="AI115" s="7">
        <v>1</v>
      </c>
      <c r="AJ115" s="7">
        <v>0</v>
      </c>
      <c r="AK115" s="7">
        <v>40</v>
      </c>
      <c r="AL115" s="7" t="b">
        <v>0</v>
      </c>
      <c r="AM115" s="7">
        <v>0</v>
      </c>
      <c r="AN115" s="7">
        <v>0</v>
      </c>
      <c r="AO115" s="7">
        <v>3</v>
      </c>
      <c r="AP115" s="7">
        <v>1</v>
      </c>
      <c r="AQ115" s="7">
        <v>6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360001</v>
      </c>
      <c r="C116" s="7" t="s">
        <v>461</v>
      </c>
      <c r="D116" s="10" t="s">
        <v>515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35.25" customHeight="1">
      <c r="A117" s="8"/>
      <c r="B117" s="7">
        <v>360002</v>
      </c>
      <c r="C117" s="7" t="s">
        <v>1602</v>
      </c>
      <c r="D117" s="10" t="s">
        <v>515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1672</v>
      </c>
      <c r="D118" s="10" t="s">
        <v>515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110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>
        <v>3</v>
      </c>
      <c r="T118" s="6">
        <v>2</v>
      </c>
      <c r="U118" s="6">
        <v>100</v>
      </c>
      <c r="V118" s="5">
        <v>30</v>
      </c>
      <c r="W118" s="5">
        <v>0</v>
      </c>
      <c r="X118" s="5">
        <v>15</v>
      </c>
      <c r="Y118" s="6" t="b">
        <v>0</v>
      </c>
      <c r="Z118" s="6">
        <v>0</v>
      </c>
      <c r="AA118" s="6">
        <v>0</v>
      </c>
      <c r="AB118" s="5">
        <v>3</v>
      </c>
      <c r="AC118" s="5">
        <v>17</v>
      </c>
      <c r="AD118" s="5">
        <v>3</v>
      </c>
      <c r="AE118" s="5" t="b">
        <v>1</v>
      </c>
      <c r="AF118" s="7">
        <v>3</v>
      </c>
      <c r="AG118" s="7">
        <v>2</v>
      </c>
      <c r="AH118" s="7">
        <v>22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35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462</v>
      </c>
      <c r="D119" s="10" t="s">
        <v>519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1603</v>
      </c>
      <c r="D120" s="10" t="s">
        <v>519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7">
        <v>3</v>
      </c>
      <c r="AG120" s="7">
        <v>2</v>
      </c>
      <c r="AH120" s="7">
        <v>35</v>
      </c>
      <c r="AI120" s="7">
        <v>30</v>
      </c>
      <c r="AJ120" s="7">
        <v>0</v>
      </c>
      <c r="AK120" s="7">
        <v>0</v>
      </c>
      <c r="AL120" s="7" t="b">
        <v>0</v>
      </c>
      <c r="AM120" s="7">
        <v>0</v>
      </c>
      <c r="AN120" s="7">
        <v>0</v>
      </c>
      <c r="AO120" s="7">
        <v>3</v>
      </c>
      <c r="AP120" s="7">
        <v>31</v>
      </c>
      <c r="AQ120" s="7">
        <v>2</v>
      </c>
      <c r="AR120" s="7" t="b">
        <v>1</v>
      </c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1673</v>
      </c>
      <c r="D121" s="10" t="s">
        <v>519</v>
      </c>
      <c r="E121" s="7">
        <v>2</v>
      </c>
      <c r="F121" s="7">
        <v>1</v>
      </c>
      <c r="G121" s="7">
        <v>2</v>
      </c>
      <c r="H121" s="6">
        <v>100</v>
      </c>
      <c r="I121" s="7">
        <v>38</v>
      </c>
      <c r="J121" s="7">
        <v>2</v>
      </c>
      <c r="K121" s="7">
        <v>180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3</v>
      </c>
      <c r="T121" s="7">
        <v>2</v>
      </c>
      <c r="U121" s="6">
        <v>100</v>
      </c>
      <c r="V121" s="7">
        <v>30</v>
      </c>
      <c r="W121" s="7">
        <v>2</v>
      </c>
      <c r="X121" s="7">
        <v>45</v>
      </c>
      <c r="Y121" s="6" t="b">
        <v>0</v>
      </c>
      <c r="Z121" s="6">
        <v>0</v>
      </c>
      <c r="AA121" s="6">
        <v>0</v>
      </c>
      <c r="AB121" s="7">
        <v>1</v>
      </c>
      <c r="AC121" s="7">
        <v>64</v>
      </c>
      <c r="AD121" s="7">
        <v>6</v>
      </c>
      <c r="AE121" s="5" t="b">
        <v>1</v>
      </c>
      <c r="AF121" s="29">
        <v>3</v>
      </c>
      <c r="AG121" s="29">
        <v>2</v>
      </c>
      <c r="AH121" s="29">
        <v>35</v>
      </c>
      <c r="AI121" s="29">
        <v>30</v>
      </c>
      <c r="AJ121" s="29">
        <v>0</v>
      </c>
      <c r="AK121" s="29">
        <v>0</v>
      </c>
      <c r="AL121" s="29" t="b">
        <v>0</v>
      </c>
      <c r="AM121" s="29">
        <v>0</v>
      </c>
      <c r="AN121" s="29">
        <v>0</v>
      </c>
      <c r="AO121" s="29">
        <v>3</v>
      </c>
      <c r="AP121" s="29">
        <v>31</v>
      </c>
      <c r="AQ121" s="29">
        <v>2</v>
      </c>
      <c r="AR121" s="29" t="b">
        <v>1</v>
      </c>
    </row>
    <row r="122" spans="1:52" ht="18.75" customHeight="1">
      <c r="B122" s="7">
        <v>380001</v>
      </c>
      <c r="C122" s="7" t="s">
        <v>463</v>
      </c>
      <c r="D122" s="10" t="s">
        <v>813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1604</v>
      </c>
      <c r="D123" s="10" t="s">
        <v>813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1674</v>
      </c>
      <c r="D124" s="10" t="s">
        <v>813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80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80</v>
      </c>
      <c r="Y124" s="6" t="b">
        <v>0</v>
      </c>
      <c r="Z124" s="6">
        <v>0</v>
      </c>
      <c r="AA124" s="6">
        <v>0</v>
      </c>
      <c r="AB124" s="7">
        <v>49</v>
      </c>
      <c r="AC124" s="7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464</v>
      </c>
      <c r="D125" s="10" t="s">
        <v>585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1605</v>
      </c>
      <c r="D126" s="10" t="s">
        <v>585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1675</v>
      </c>
      <c r="D127" s="10" t="s">
        <v>585</v>
      </c>
      <c r="E127" s="7">
        <v>2</v>
      </c>
      <c r="F127" s="7">
        <v>1</v>
      </c>
      <c r="G127" s="7">
        <v>2</v>
      </c>
      <c r="H127" s="6">
        <v>100</v>
      </c>
      <c r="I127" s="7">
        <v>19</v>
      </c>
      <c r="J127" s="7">
        <v>2</v>
      </c>
      <c r="K127" s="7">
        <v>110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17</v>
      </c>
      <c r="W127" s="7">
        <v>0</v>
      </c>
      <c r="X127" s="7">
        <v>5</v>
      </c>
      <c r="Y127" s="6" t="b">
        <v>0</v>
      </c>
      <c r="Z127" s="6">
        <v>0</v>
      </c>
      <c r="AA127" s="6">
        <v>0</v>
      </c>
      <c r="AB127" s="7">
        <v>3</v>
      </c>
      <c r="AC127" s="7">
        <v>4</v>
      </c>
      <c r="AD127" s="7">
        <v>2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465</v>
      </c>
      <c r="D128" s="10" t="s">
        <v>814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1606</v>
      </c>
      <c r="D129" s="10" t="s">
        <v>814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1677</v>
      </c>
      <c r="D130" s="10" t="s">
        <v>814</v>
      </c>
      <c r="E130" s="7">
        <v>2</v>
      </c>
      <c r="F130" s="7">
        <v>1</v>
      </c>
      <c r="G130" s="7">
        <v>2</v>
      </c>
      <c r="H130" s="6">
        <v>100</v>
      </c>
      <c r="I130" s="7">
        <v>39</v>
      </c>
      <c r="J130" s="7">
        <v>2</v>
      </c>
      <c r="K130" s="7">
        <v>108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>
        <v>2</v>
      </c>
      <c r="T130" s="7">
        <v>5</v>
      </c>
      <c r="U130" s="6">
        <v>100</v>
      </c>
      <c r="V130" s="7">
        <v>22</v>
      </c>
      <c r="W130" s="7">
        <v>4</v>
      </c>
      <c r="X130" s="7">
        <v>250</v>
      </c>
      <c r="Y130" s="6" t="b">
        <v>0</v>
      </c>
      <c r="Z130" s="6">
        <v>0</v>
      </c>
      <c r="AA130" s="6">
        <v>0</v>
      </c>
      <c r="AB130" s="7">
        <v>49</v>
      </c>
      <c r="AC130" s="7">
        <v>0</v>
      </c>
      <c r="AD130" s="7">
        <v>0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466</v>
      </c>
      <c r="D131" s="10" t="s">
        <v>586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1607</v>
      </c>
      <c r="D132" s="10" t="s">
        <v>586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1676</v>
      </c>
      <c r="D133" s="10" t="s">
        <v>586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467</v>
      </c>
      <c r="D134" s="10" t="s">
        <v>587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420002</v>
      </c>
      <c r="C135" s="7" t="s">
        <v>1608</v>
      </c>
      <c r="D135" s="10" t="s">
        <v>587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7">
        <v>420003</v>
      </c>
      <c r="C136" s="7" t="s">
        <v>1678</v>
      </c>
      <c r="D136" s="10" t="s">
        <v>587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430001</v>
      </c>
      <c r="C137" s="7" t="s">
        <v>468</v>
      </c>
      <c r="D137" s="10" t="s">
        <v>588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430002</v>
      </c>
      <c r="C138" s="7" t="s">
        <v>1609</v>
      </c>
      <c r="D138" s="10" t="s">
        <v>588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5">
        <v>430003</v>
      </c>
      <c r="C139" s="7" t="s">
        <v>1679</v>
      </c>
      <c r="D139" s="10" t="s">
        <v>588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440001</v>
      </c>
      <c r="C140" s="7" t="s">
        <v>469</v>
      </c>
      <c r="D140" s="10" t="s">
        <v>589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440002</v>
      </c>
      <c r="C141" s="7" t="s">
        <v>1610</v>
      </c>
      <c r="D141" s="10" t="s">
        <v>589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7">
        <v>440003</v>
      </c>
      <c r="C142" s="7" t="s">
        <v>1680</v>
      </c>
      <c r="D142" s="10" t="s">
        <v>589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450001</v>
      </c>
      <c r="C143" s="7" t="s">
        <v>470</v>
      </c>
      <c r="D143" s="10" t="s">
        <v>590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450002</v>
      </c>
      <c r="C144" s="7" t="s">
        <v>1611</v>
      </c>
      <c r="D144" s="10" t="s">
        <v>590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5">
        <v>450003</v>
      </c>
      <c r="C145" s="7" t="s">
        <v>1681</v>
      </c>
      <c r="D145" s="10" t="s">
        <v>590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</row>
    <row r="146" spans="1:52" ht="18.75" customHeight="1">
      <c r="B146" s="7">
        <v>460001</v>
      </c>
      <c r="C146" s="7" t="s">
        <v>471</v>
      </c>
      <c r="D146" s="10" t="s">
        <v>591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460002</v>
      </c>
      <c r="C147" s="7" t="s">
        <v>1612</v>
      </c>
      <c r="D147" s="10" t="s">
        <v>591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7">
        <v>460003</v>
      </c>
      <c r="C148" s="7" t="s">
        <v>1682</v>
      </c>
      <c r="D148" s="10" t="s">
        <v>591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</row>
    <row r="149" spans="1:52" ht="18.75" customHeight="1">
      <c r="B149" s="5">
        <v>470001</v>
      </c>
      <c r="C149" s="7" t="s">
        <v>472</v>
      </c>
      <c r="D149" s="10" t="s">
        <v>592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18.75" customHeight="1">
      <c r="B150" s="5">
        <v>470002</v>
      </c>
      <c r="C150" s="7" t="s">
        <v>1613</v>
      </c>
      <c r="D150" s="10" t="s">
        <v>592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1683</v>
      </c>
      <c r="D151" s="10" t="s">
        <v>592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473</v>
      </c>
      <c r="D152" s="10" t="s">
        <v>593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1614</v>
      </c>
      <c r="D153" s="10" t="s">
        <v>593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1684</v>
      </c>
      <c r="D154" s="10" t="s">
        <v>593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474</v>
      </c>
      <c r="D155" s="10" t="s">
        <v>594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1615</v>
      </c>
      <c r="D156" s="10" t="s">
        <v>594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1685</v>
      </c>
      <c r="D157" s="10" t="s">
        <v>594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475</v>
      </c>
      <c r="D158" s="10" t="s">
        <v>595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1616</v>
      </c>
      <c r="D159" s="10" t="s">
        <v>595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1686</v>
      </c>
      <c r="D160" s="10" t="s">
        <v>595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476</v>
      </c>
      <c r="D161" s="10" t="s">
        <v>596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1617</v>
      </c>
      <c r="D162" s="10" t="s">
        <v>596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1687</v>
      </c>
      <c r="D163" s="10" t="s">
        <v>596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477</v>
      </c>
      <c r="D164" s="10" t="s">
        <v>597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1618</v>
      </c>
      <c r="D165" s="10" t="s">
        <v>597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36" customHeight="1">
      <c r="A166" s="8"/>
      <c r="B166" s="7">
        <v>520003</v>
      </c>
      <c r="C166" s="7" t="s">
        <v>1688</v>
      </c>
      <c r="D166" s="10" t="s">
        <v>597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478</v>
      </c>
      <c r="D167" s="10" t="s">
        <v>598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1619</v>
      </c>
      <c r="D168" s="10" t="s">
        <v>598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1689</v>
      </c>
      <c r="D169" s="10" t="s">
        <v>598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540001</v>
      </c>
      <c r="C170" s="7" t="s">
        <v>479</v>
      </c>
      <c r="D170" s="10" t="s">
        <v>599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1620</v>
      </c>
      <c r="D171" s="10" t="s">
        <v>599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7">
        <v>540003</v>
      </c>
      <c r="C172" s="7" t="s">
        <v>1690</v>
      </c>
      <c r="D172" s="10" t="s">
        <v>599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550001</v>
      </c>
      <c r="C173" s="7" t="s">
        <v>480</v>
      </c>
      <c r="D173" s="10" t="s">
        <v>600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550002</v>
      </c>
      <c r="C174" s="7" t="s">
        <v>1621</v>
      </c>
      <c r="D174" s="10" t="s">
        <v>600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5">
        <v>550003</v>
      </c>
      <c r="C175" s="7" t="s">
        <v>1691</v>
      </c>
      <c r="D175" s="10" t="s">
        <v>600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481</v>
      </c>
      <c r="D176" s="10" t="s">
        <v>601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1622</v>
      </c>
      <c r="D177" s="10" t="s">
        <v>601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1692</v>
      </c>
      <c r="D178" s="10" t="s">
        <v>601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570001</v>
      </c>
      <c r="C179" s="7" t="s">
        <v>482</v>
      </c>
      <c r="D179" s="10" t="s">
        <v>602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18.75" customHeight="1">
      <c r="A180" s="8"/>
      <c r="B180" s="5">
        <v>570002</v>
      </c>
      <c r="C180" s="7" t="s">
        <v>1623</v>
      </c>
      <c r="D180" s="10" t="s">
        <v>602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7.5" customHeight="1">
      <c r="A181" s="8"/>
      <c r="B181" s="5">
        <v>570003</v>
      </c>
      <c r="C181" s="7" t="s">
        <v>1693</v>
      </c>
      <c r="D181" s="10" t="s">
        <v>602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580001</v>
      </c>
      <c r="C182" s="7" t="s">
        <v>483</v>
      </c>
      <c r="D182" s="10" t="s">
        <v>603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1624</v>
      </c>
      <c r="D183" s="10" t="s">
        <v>603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39" customHeight="1">
      <c r="A184" s="8"/>
      <c r="B184" s="7">
        <v>580003</v>
      </c>
      <c r="C184" s="7" t="s">
        <v>1694</v>
      </c>
      <c r="D184" s="10" t="s">
        <v>603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484</v>
      </c>
      <c r="D185" s="10" t="s">
        <v>604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590002</v>
      </c>
      <c r="C186" s="7" t="s">
        <v>1625</v>
      </c>
      <c r="D186" s="10" t="s">
        <v>604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35.25" customHeight="1">
      <c r="A187" s="8"/>
      <c r="B187" s="5">
        <v>590003</v>
      </c>
      <c r="C187" s="7" t="s">
        <v>1695</v>
      </c>
      <c r="D187" s="10" t="s">
        <v>604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485</v>
      </c>
      <c r="D188" s="10" t="s">
        <v>605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1626</v>
      </c>
      <c r="D189" s="10" t="s">
        <v>605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1696</v>
      </c>
      <c r="D190" s="10" t="s">
        <v>605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486</v>
      </c>
      <c r="D191" s="10" t="s">
        <v>606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1627</v>
      </c>
      <c r="D192" s="10" t="s">
        <v>606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1697</v>
      </c>
      <c r="D193" s="10" t="s">
        <v>606</v>
      </c>
      <c r="E193" s="6">
        <v>2</v>
      </c>
      <c r="F193" s="6">
        <v>1</v>
      </c>
      <c r="G193" s="6">
        <v>2</v>
      </c>
      <c r="H193" s="6">
        <v>100</v>
      </c>
      <c r="I193" s="6">
        <v>19</v>
      </c>
      <c r="J193" s="6">
        <v>2</v>
      </c>
      <c r="K193" s="6">
        <v>200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487</v>
      </c>
      <c r="D194" s="10" t="s">
        <v>607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620002</v>
      </c>
      <c r="C195" s="7" t="s">
        <v>1628</v>
      </c>
      <c r="D195" s="10" t="s">
        <v>607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7">
        <v>620003</v>
      </c>
      <c r="C196" s="7" t="s">
        <v>1698</v>
      </c>
      <c r="D196" s="10" t="s">
        <v>607</v>
      </c>
      <c r="E196" s="7">
        <v>2</v>
      </c>
      <c r="F196" s="7">
        <v>1</v>
      </c>
      <c r="G196" s="7">
        <v>2</v>
      </c>
      <c r="H196" s="6">
        <v>100</v>
      </c>
      <c r="I196" s="7">
        <v>11</v>
      </c>
      <c r="J196" s="7">
        <v>2</v>
      </c>
      <c r="K196" s="7">
        <v>200</v>
      </c>
      <c r="L196" s="6" t="b">
        <v>0</v>
      </c>
      <c r="M196" s="6">
        <v>0</v>
      </c>
      <c r="N196" s="6">
        <v>0</v>
      </c>
      <c r="O196" s="7">
        <v>1</v>
      </c>
      <c r="P196" s="7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630001</v>
      </c>
      <c r="C197" s="7" t="s">
        <v>488</v>
      </c>
      <c r="D197" s="10" t="s">
        <v>608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630002</v>
      </c>
      <c r="C198" s="7" t="s">
        <v>1629</v>
      </c>
      <c r="D198" s="10" t="s">
        <v>608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5">
        <v>630003</v>
      </c>
      <c r="C199" s="7" t="s">
        <v>1699</v>
      </c>
      <c r="D199" s="10" t="s">
        <v>608</v>
      </c>
      <c r="E199" s="7">
        <v>2</v>
      </c>
      <c r="F199" s="7">
        <v>1</v>
      </c>
      <c r="G199" s="7">
        <v>2</v>
      </c>
      <c r="H199" s="6">
        <v>100</v>
      </c>
      <c r="I199" s="7">
        <v>12</v>
      </c>
      <c r="J199" s="7">
        <v>2</v>
      </c>
      <c r="K199" s="7">
        <v>272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640001</v>
      </c>
      <c r="C200" s="7" t="s">
        <v>489</v>
      </c>
      <c r="D200" s="10" t="s">
        <v>609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640002</v>
      </c>
      <c r="C201" s="7" t="s">
        <v>1630</v>
      </c>
      <c r="D201" s="10" t="s">
        <v>609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7">
        <v>640003</v>
      </c>
      <c r="C202" s="7" t="s">
        <v>1700</v>
      </c>
      <c r="D202" s="10" t="s">
        <v>609</v>
      </c>
      <c r="E202" s="7">
        <v>2</v>
      </c>
      <c r="F202" s="7">
        <v>1</v>
      </c>
      <c r="G202" s="7">
        <v>2</v>
      </c>
      <c r="H202" s="6">
        <v>100</v>
      </c>
      <c r="I202" s="7">
        <v>3</v>
      </c>
      <c r="J202" s="7">
        <v>2</v>
      </c>
      <c r="K202" s="7">
        <v>95</v>
      </c>
      <c r="L202" s="6" t="b">
        <v>0</v>
      </c>
      <c r="M202" s="6">
        <v>0</v>
      </c>
      <c r="N202" s="6">
        <v>0</v>
      </c>
      <c r="O202" s="7">
        <v>1</v>
      </c>
      <c r="P202" s="7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650001</v>
      </c>
      <c r="C203" s="7" t="s">
        <v>490</v>
      </c>
      <c r="D203" s="10" t="s">
        <v>610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650002</v>
      </c>
      <c r="C204" s="7" t="s">
        <v>1631</v>
      </c>
      <c r="D204" s="10" t="s">
        <v>610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5">
        <v>650003</v>
      </c>
      <c r="C205" s="7" t="s">
        <v>1701</v>
      </c>
      <c r="D205" s="10" t="s">
        <v>610</v>
      </c>
      <c r="E205" s="7">
        <v>2</v>
      </c>
      <c r="F205" s="7">
        <v>1</v>
      </c>
      <c r="G205" s="7">
        <v>2</v>
      </c>
      <c r="H205" s="6">
        <v>100</v>
      </c>
      <c r="I205" s="7">
        <v>12</v>
      </c>
      <c r="J205" s="7">
        <v>2</v>
      </c>
      <c r="K205" s="7">
        <v>182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7"/>
      <c r="AD205" s="7"/>
      <c r="AE205" s="5"/>
    </row>
    <row r="206" spans="2:31" ht="18.75" customHeight="1">
      <c r="B206" s="7">
        <v>660001</v>
      </c>
      <c r="C206" s="7" t="s">
        <v>491</v>
      </c>
      <c r="D206" s="10" t="s">
        <v>611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660002</v>
      </c>
      <c r="C207" s="7" t="s">
        <v>1632</v>
      </c>
      <c r="D207" s="10" t="s">
        <v>611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7">
        <v>660003</v>
      </c>
      <c r="C208" s="7" t="s">
        <v>1702</v>
      </c>
      <c r="D208" s="10" t="s">
        <v>611</v>
      </c>
      <c r="E208" s="6">
        <v>2</v>
      </c>
      <c r="F208" s="6">
        <v>1</v>
      </c>
      <c r="G208" s="6">
        <v>2</v>
      </c>
      <c r="H208" s="6">
        <v>100</v>
      </c>
      <c r="I208" s="6">
        <v>19</v>
      </c>
      <c r="J208" s="6">
        <v>2</v>
      </c>
      <c r="K208" s="6">
        <v>200</v>
      </c>
      <c r="L208" s="6" t="b">
        <v>0</v>
      </c>
      <c r="M208" s="6">
        <v>0</v>
      </c>
      <c r="N208" s="6">
        <v>0</v>
      </c>
      <c r="O208" s="5">
        <v>1</v>
      </c>
      <c r="P208" s="7">
        <v>0</v>
      </c>
      <c r="Q208" s="5">
        <v>0</v>
      </c>
      <c r="R208" s="5" t="b">
        <v>1</v>
      </c>
      <c r="S208" s="6"/>
      <c r="T208" s="6"/>
      <c r="U208" s="6"/>
      <c r="V208" s="5"/>
      <c r="W208" s="5"/>
      <c r="X208" s="5"/>
      <c r="Y208" s="6"/>
      <c r="Z208" s="6"/>
      <c r="AA208" s="6"/>
      <c r="AB208" s="5"/>
      <c r="AC208" s="5"/>
      <c r="AD208" s="5"/>
      <c r="AE208" s="5"/>
    </row>
    <row r="209" spans="2:31" ht="18.75" customHeight="1">
      <c r="B209" s="5">
        <v>670001</v>
      </c>
      <c r="C209" s="7" t="s">
        <v>492</v>
      </c>
      <c r="D209" s="10" t="s">
        <v>612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670002</v>
      </c>
      <c r="C210" s="7" t="s">
        <v>1633</v>
      </c>
      <c r="D210" s="10" t="s">
        <v>612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5">
        <v>670003</v>
      </c>
      <c r="C211" s="7" t="s">
        <v>1703</v>
      </c>
      <c r="D211" s="10" t="s">
        <v>612</v>
      </c>
      <c r="E211" s="7">
        <v>2</v>
      </c>
      <c r="F211" s="7">
        <v>1</v>
      </c>
      <c r="G211" s="7">
        <v>2</v>
      </c>
      <c r="H211" s="6">
        <v>100</v>
      </c>
      <c r="I211" s="7">
        <v>11</v>
      </c>
      <c r="J211" s="7">
        <v>2</v>
      </c>
      <c r="K211" s="7">
        <v>200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680001</v>
      </c>
      <c r="C212" s="7" t="s">
        <v>493</v>
      </c>
      <c r="D212" s="10" t="s">
        <v>613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680002</v>
      </c>
      <c r="C213" s="7" t="s">
        <v>1634</v>
      </c>
      <c r="D213" s="10" t="s">
        <v>613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7">
        <v>680003</v>
      </c>
      <c r="C214" s="7" t="s">
        <v>1704</v>
      </c>
      <c r="D214" s="10" t="s">
        <v>613</v>
      </c>
      <c r="E214" s="7">
        <v>2</v>
      </c>
      <c r="F214" s="7">
        <v>1</v>
      </c>
      <c r="G214" s="7">
        <v>2</v>
      </c>
      <c r="H214" s="6">
        <v>100</v>
      </c>
      <c r="I214" s="7">
        <v>12</v>
      </c>
      <c r="J214" s="7">
        <v>2</v>
      </c>
      <c r="K214" s="7">
        <v>272</v>
      </c>
      <c r="L214" s="6" t="b">
        <v>0</v>
      </c>
      <c r="M214" s="6">
        <v>0</v>
      </c>
      <c r="N214" s="6">
        <v>0</v>
      </c>
      <c r="O214" s="7">
        <v>1</v>
      </c>
      <c r="P214" s="7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690001</v>
      </c>
      <c r="C215" s="7" t="s">
        <v>494</v>
      </c>
      <c r="D215" s="10" t="s">
        <v>614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690002</v>
      </c>
      <c r="C216" s="7" t="s">
        <v>1635</v>
      </c>
      <c r="D216" s="10" t="s">
        <v>614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5">
        <v>690003</v>
      </c>
      <c r="C217" s="7" t="s">
        <v>1705</v>
      </c>
      <c r="D217" s="10" t="s">
        <v>614</v>
      </c>
      <c r="E217" s="7">
        <v>2</v>
      </c>
      <c r="F217" s="7">
        <v>1</v>
      </c>
      <c r="G217" s="7">
        <v>2</v>
      </c>
      <c r="H217" s="6">
        <v>100</v>
      </c>
      <c r="I217" s="7">
        <v>3</v>
      </c>
      <c r="J217" s="7">
        <v>2</v>
      </c>
      <c r="K217" s="7">
        <v>95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700001</v>
      </c>
      <c r="C218" s="7" t="s">
        <v>495</v>
      </c>
      <c r="D218" s="10" t="s">
        <v>615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700002</v>
      </c>
      <c r="C219" s="7" t="s">
        <v>1636</v>
      </c>
      <c r="D219" s="10" t="s">
        <v>615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7">
        <v>700003</v>
      </c>
      <c r="C220" s="7" t="s">
        <v>1706</v>
      </c>
      <c r="D220" s="10" t="s">
        <v>615</v>
      </c>
      <c r="E220" s="7">
        <v>2</v>
      </c>
      <c r="F220" s="7">
        <v>1</v>
      </c>
      <c r="G220" s="7">
        <v>2</v>
      </c>
      <c r="H220" s="6">
        <v>100</v>
      </c>
      <c r="I220" s="7">
        <v>12</v>
      </c>
      <c r="J220" s="7">
        <v>2</v>
      </c>
      <c r="K220" s="7">
        <v>182</v>
      </c>
      <c r="L220" s="6" t="b">
        <v>0</v>
      </c>
      <c r="M220" s="6">
        <v>0</v>
      </c>
      <c r="N220" s="6">
        <v>0</v>
      </c>
      <c r="O220" s="7">
        <v>1</v>
      </c>
      <c r="P220" s="7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7"/>
      <c r="AD220" s="7"/>
      <c r="AE220" s="5"/>
    </row>
    <row r="221" spans="2:31" ht="18.75" customHeight="1">
      <c r="B221" s="5"/>
      <c r="C221" s="7"/>
      <c r="D221" s="10"/>
      <c r="E221" s="6"/>
      <c r="F221" s="6"/>
      <c r="G221" s="6"/>
      <c r="H221" s="13"/>
      <c r="I221" s="6"/>
      <c r="J221" s="6"/>
      <c r="K221" s="6"/>
      <c r="O221" s="5"/>
      <c r="P221" s="5"/>
      <c r="Q221" s="5"/>
      <c r="S221" s="6"/>
      <c r="T221" s="6"/>
      <c r="U221" s="13"/>
      <c r="V221" s="5"/>
      <c r="W221" s="5"/>
      <c r="X221" s="5"/>
      <c r="AB221" s="5"/>
      <c r="AC221" s="5"/>
      <c r="AD221" s="5"/>
    </row>
    <row r="222" spans="2:31" ht="18.75" customHeight="1">
      <c r="B222" s="7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5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7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7"/>
      <c r="F225" s="7"/>
      <c r="G225" s="7"/>
      <c r="H225" s="13"/>
      <c r="I225" s="7"/>
      <c r="J225" s="7"/>
      <c r="K225" s="7"/>
      <c r="O225" s="7"/>
      <c r="P225" s="7"/>
      <c r="Q225" s="7"/>
      <c r="S225" s="7"/>
      <c r="T225" s="7"/>
      <c r="U225" s="13"/>
      <c r="V225" s="7"/>
      <c r="W225" s="7"/>
      <c r="X225" s="7"/>
      <c r="AB225" s="7"/>
      <c r="AC225" s="7"/>
      <c r="AD225" s="7"/>
    </row>
    <row r="226" spans="2:30" ht="18.75" customHeight="1">
      <c r="B226" s="5"/>
      <c r="C226" s="7"/>
      <c r="D226" s="10"/>
      <c r="E226" s="6"/>
      <c r="F226" s="6"/>
      <c r="G226" s="6"/>
      <c r="H226" s="13"/>
      <c r="I226" s="6"/>
      <c r="J226" s="6"/>
      <c r="K226" s="6"/>
      <c r="O226" s="5"/>
      <c r="P226" s="5"/>
      <c r="Q226" s="5"/>
      <c r="S226" s="6"/>
      <c r="T226" s="6"/>
      <c r="U226" s="13"/>
      <c r="V226" s="5"/>
      <c r="W226" s="5"/>
      <c r="X226" s="5"/>
      <c r="AB226" s="5"/>
      <c r="AC226" s="5"/>
      <c r="AD226" s="5"/>
    </row>
    <row r="227" spans="2:30" ht="18.75" customHeight="1">
      <c r="B227" s="7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5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7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7"/>
      <c r="F230" s="7"/>
      <c r="G230" s="7"/>
      <c r="H230" s="13"/>
      <c r="I230" s="7"/>
      <c r="J230" s="7"/>
      <c r="K230" s="7"/>
      <c r="O230" s="7"/>
      <c r="P230" s="7"/>
      <c r="Q230" s="7"/>
      <c r="S230" s="7"/>
      <c r="T230" s="7"/>
      <c r="U230" s="13"/>
      <c r="V230" s="7"/>
      <c r="W230" s="7"/>
      <c r="X230" s="7"/>
      <c r="AB230" s="7"/>
      <c r="AC230" s="7"/>
      <c r="AD230" s="7"/>
    </row>
    <row r="231" spans="2:30" ht="18.75" customHeight="1">
      <c r="B231" s="5"/>
      <c r="C231" s="7"/>
      <c r="D231" s="10"/>
      <c r="E231" s="6"/>
      <c r="F231" s="6"/>
      <c r="G231" s="6"/>
      <c r="H231" s="13"/>
      <c r="I231" s="6"/>
      <c r="J231" s="6"/>
      <c r="K231" s="6"/>
      <c r="O231" s="5"/>
      <c r="P231" s="5"/>
      <c r="Q231" s="5"/>
      <c r="S231" s="6"/>
      <c r="T231" s="6"/>
      <c r="U231" s="13"/>
      <c r="V231" s="5"/>
      <c r="W231" s="5"/>
      <c r="X231" s="5"/>
      <c r="AB231" s="5"/>
      <c r="AC231" s="5"/>
      <c r="AD231" s="5"/>
    </row>
    <row r="232" spans="2:30" ht="18.75" customHeight="1">
      <c r="B232" s="7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5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7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7"/>
      <c r="F235" s="7"/>
      <c r="G235" s="7"/>
      <c r="H235" s="13"/>
      <c r="I235" s="7"/>
      <c r="J235" s="7"/>
      <c r="K235" s="7"/>
      <c r="O235" s="7"/>
      <c r="P235" s="7"/>
      <c r="Q235" s="7"/>
      <c r="S235" s="7"/>
      <c r="T235" s="7"/>
      <c r="U235" s="13"/>
      <c r="V235" s="7"/>
      <c r="W235" s="7"/>
      <c r="X235" s="7"/>
      <c r="AB235" s="7"/>
      <c r="AC235" s="7"/>
      <c r="AD235" s="7"/>
    </row>
    <row r="236" spans="2:30" ht="18.75" customHeight="1">
      <c r="B236" s="5"/>
      <c r="C236" s="7"/>
      <c r="D236" s="10"/>
      <c r="E236" s="6"/>
      <c r="F236" s="6"/>
      <c r="G236" s="6"/>
      <c r="H236" s="13"/>
      <c r="I236" s="6"/>
      <c r="J236" s="6"/>
      <c r="K236" s="6"/>
      <c r="O236" s="5"/>
      <c r="P236" s="5"/>
      <c r="Q236" s="5"/>
      <c r="S236" s="6"/>
      <c r="T236" s="6"/>
      <c r="U236" s="13"/>
      <c r="V236" s="5"/>
      <c r="W236" s="5"/>
      <c r="X236" s="5"/>
      <c r="AB236" s="5"/>
      <c r="AC236" s="5"/>
      <c r="AD236" s="5"/>
    </row>
    <row r="237" spans="2:30" ht="18.75" customHeight="1">
      <c r="B237" s="7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5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7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18.75" customHeight="1">
      <c r="B240" s="5"/>
      <c r="C240" s="7"/>
      <c r="D240" s="10"/>
      <c r="E240" s="7"/>
      <c r="F240" s="7"/>
      <c r="G240" s="7"/>
      <c r="H240" s="13"/>
      <c r="I240" s="7"/>
      <c r="J240" s="7"/>
      <c r="K240" s="7"/>
      <c r="O240" s="7"/>
      <c r="P240" s="7"/>
      <c r="Q240" s="7"/>
      <c r="S240" s="7"/>
      <c r="T240" s="7"/>
      <c r="U240" s="13"/>
      <c r="V240" s="7"/>
      <c r="W240" s="7"/>
      <c r="X240" s="7"/>
      <c r="AB240" s="7"/>
      <c r="AC240" s="7"/>
      <c r="AD240" s="7"/>
    </row>
    <row r="241" spans="2:21" ht="72" customHeight="1">
      <c r="B241" s="5"/>
      <c r="C241" s="7"/>
      <c r="D241" s="10"/>
      <c r="E241" s="13"/>
      <c r="G241" s="13"/>
      <c r="H241" s="13"/>
      <c r="I241" s="13"/>
      <c r="T241" s="13"/>
      <c r="U241" s="13"/>
    </row>
    <row r="242" spans="2:21" ht="69.75" customHeight="1">
      <c r="B242" s="7"/>
      <c r="C242" s="7"/>
      <c r="D242" s="10"/>
      <c r="E242" s="13"/>
      <c r="G242" s="13"/>
      <c r="H242" s="13"/>
      <c r="I242" s="13"/>
      <c r="T242" s="13"/>
      <c r="U242" s="13"/>
    </row>
    <row r="243" spans="2:21" ht="63.75" customHeight="1">
      <c r="B243" s="5"/>
      <c r="C243" s="7"/>
      <c r="D243" s="10"/>
      <c r="E243" s="13"/>
      <c r="G243" s="13"/>
      <c r="H243" s="13"/>
      <c r="I243" s="13"/>
      <c r="T243" s="13"/>
      <c r="U243" s="13"/>
    </row>
    <row r="244" spans="2:21" ht="62.25" customHeight="1">
      <c r="B244" s="7"/>
      <c r="C244" s="7"/>
      <c r="D244" s="10"/>
      <c r="E244" s="13"/>
      <c r="G244" s="13"/>
      <c r="H244" s="13"/>
      <c r="I244" s="13"/>
      <c r="T244" s="13"/>
      <c r="U244" s="13"/>
    </row>
    <row r="245" spans="2:21" ht="49.5" customHeight="1">
      <c r="B245" s="5"/>
      <c r="C245" s="7"/>
      <c r="D245" s="10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H10:S10 U10:AF10 AH10:AR10 A11:AR220 A8:AR9">
    <cfRule type="expression" dxfId="42" priority="5">
      <formula>CELL("ROW")=ROW()</formula>
    </cfRule>
  </conditionalFormatting>
  <conditionalFormatting sqref="G10">
    <cfRule type="expression" dxfId="41" priority="4">
      <formula>CELL("ROW")=ROW()</formula>
    </cfRule>
  </conditionalFormatting>
  <conditionalFormatting sqref="T10">
    <cfRule type="expression" dxfId="40" priority="3">
      <formula>CELL("ROW")=ROW()</formula>
    </cfRule>
  </conditionalFormatting>
  <conditionalFormatting sqref="AG10">
    <cfRule type="expression" dxfId="39" priority="2">
      <formula>CELL("ROW")=ROW()</formula>
    </cfRule>
  </conditionalFormatting>
  <conditionalFormatting sqref="A7:AI7">
    <cfRule type="expression" dxfId="38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8.5" style="36" customWidth="1"/>
    <col min="3" max="3" width="25.125" style="36" customWidth="1"/>
    <col min="4" max="10" width="9.875" style="36" customWidth="1"/>
    <col min="11" max="12" width="18.875" style="36" customWidth="1"/>
    <col min="13" max="13" width="39.375" style="36" customWidth="1"/>
    <col min="14" max="14" width="20.875" style="36" customWidth="1"/>
    <col min="15" max="15" width="13.625" style="36" customWidth="1"/>
    <col min="16" max="16" width="12.625" style="36" customWidth="1"/>
    <col min="17" max="17" width="13.25" style="36" customWidth="1"/>
    <col min="18" max="18" width="16.375" style="36" customWidth="1"/>
    <col min="19" max="41" width="12.625" style="36" customWidth="1"/>
    <col min="42" max="16384" width="12.625" style="36"/>
  </cols>
  <sheetData>
    <row r="1" spans="1:42" ht="12" customHeight="1"/>
    <row r="2" spans="1:42" ht="40.5" customHeight="1">
      <c r="A2" s="55" t="s">
        <v>0</v>
      </c>
      <c r="B2" s="7" t="s">
        <v>219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5" t="s">
        <v>2</v>
      </c>
      <c r="B4" s="3" t="s">
        <v>3</v>
      </c>
      <c r="C4" s="3" t="s">
        <v>193</v>
      </c>
      <c r="D4" s="3" t="s">
        <v>889</v>
      </c>
      <c r="E4" s="3" t="s">
        <v>890</v>
      </c>
      <c r="F4" s="3" t="s">
        <v>893</v>
      </c>
      <c r="G4" s="3" t="s">
        <v>894</v>
      </c>
      <c r="H4" s="3" t="s">
        <v>895</v>
      </c>
      <c r="I4" s="3" t="s">
        <v>887</v>
      </c>
      <c r="J4" s="3" t="s">
        <v>885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884</v>
      </c>
      <c r="G8" s="4" t="s">
        <v>884</v>
      </c>
      <c r="H8" s="4" t="s">
        <v>884</v>
      </c>
      <c r="I8" s="4" t="s">
        <v>884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5" t="s">
        <v>10</v>
      </c>
      <c r="B9" s="5" t="s">
        <v>11</v>
      </c>
      <c r="C9" s="6" t="s">
        <v>201</v>
      </c>
      <c r="D9" s="6" t="s">
        <v>891</v>
      </c>
      <c r="E9" s="6" t="s">
        <v>892</v>
      </c>
      <c r="F9" s="6" t="s">
        <v>896</v>
      </c>
      <c r="G9" s="6" t="s">
        <v>897</v>
      </c>
      <c r="H9" s="6" t="s">
        <v>898</v>
      </c>
      <c r="I9" s="5" t="s">
        <v>888</v>
      </c>
      <c r="J9" s="6" t="s">
        <v>886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1275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6" t="s">
        <v>107</v>
      </c>
      <c r="B11" s="5">
        <v>1</v>
      </c>
      <c r="C11" s="6" t="s">
        <v>899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6"/>
      <c r="B12" s="7">
        <v>2</v>
      </c>
      <c r="C12" s="7" t="s">
        <v>916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901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902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903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904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906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905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907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908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917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918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919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920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921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922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923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924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925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926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927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928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929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930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931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932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933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934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935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936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937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938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939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940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941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942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943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944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945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946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947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948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949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950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951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952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953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954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909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955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956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957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958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959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960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961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962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963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964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965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966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967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968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910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911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912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913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914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915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969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970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971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972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973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974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975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976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977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978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979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980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981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982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983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984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985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986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987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988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989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990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991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992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993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994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995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996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997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998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999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1000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1001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1002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1003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1004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1005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1006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1007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1008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1009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1010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1011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1012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1013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1014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1015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1016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1017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1018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1019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1020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1021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1022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1023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1024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1025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1026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1027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1028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1029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1030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1031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1032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1033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1034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1035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1036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1037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1038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1039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1040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1041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1042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1043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1044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1045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1046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1047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1048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1049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1050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1051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1052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1053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1054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1055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1056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1057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1058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1059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1060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1061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1062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1063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1064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1065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1066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1067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1068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1069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1070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1071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1072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1073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1074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1075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1076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1077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1078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1079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1080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1081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1082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1083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1084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1085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1086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1087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1088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1089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1090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1091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1092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1093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1094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1095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1096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1097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1098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1099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1100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1101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1102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1103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1104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1105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1106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1107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1108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1109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1110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1111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1112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1113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1114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1115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1116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1117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1118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1119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1120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1121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1122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1123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1124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1125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1126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1127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1128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1129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1130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1131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1132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1133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1134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1135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1136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1137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1138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1139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1140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1141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1142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1143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1144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1145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1146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1147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1148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1149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1150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1151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1152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1153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1154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1155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1156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1157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1158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1159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1160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1161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1162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1163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1164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1165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1166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1167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1168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1169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1170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1171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1172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1173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1174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1175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1176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1177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1178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1179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1180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1181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1182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1183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1184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1185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1186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1187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1188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1189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1190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1191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1192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1193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1194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1195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1196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1197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1198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1199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1200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1201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900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1202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1203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1204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1205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1206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1207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1208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1209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1210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1211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1211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1211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1212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1212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1212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1213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1213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1213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1214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1214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1215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1215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1216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1216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1217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1217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1218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1218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1219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1219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1220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1220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1221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1221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1222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1222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1223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1223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1224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1224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1225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1225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1226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1226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1227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1227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1228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1228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1229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1229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1230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1230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1231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1231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1232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1232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1233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1233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1234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1234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1235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1235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1236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1236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1237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1238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1239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1240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1240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1241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1241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1242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1242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1243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1243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1244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1244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1245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1245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1246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1246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1247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1247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1248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1248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1249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1249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1250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1250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1251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1252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1251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1252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1253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1253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1254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1254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1255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1255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1256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1256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1257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1257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1258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1258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1259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1259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1260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1260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1261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1261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1262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1262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1263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1263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1264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1264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1265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1266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1267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1268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1269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1270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1271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1271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44.75" style="36" customWidth="1"/>
    <col min="5" max="5" width="19" style="36" customWidth="1"/>
    <col min="6" max="8" width="15.375" style="36" customWidth="1"/>
    <col min="9" max="12" width="18.625" style="36" customWidth="1"/>
    <col min="13" max="13" width="18.375" style="36" customWidth="1"/>
    <col min="14" max="14" width="18.625" style="36" customWidth="1"/>
    <col min="15" max="16" width="18.375" style="36" customWidth="1"/>
    <col min="17" max="17" width="18.625" style="36" customWidth="1"/>
    <col min="18" max="19" width="18.375" style="36" customWidth="1"/>
    <col min="20" max="20" width="18.625" style="36" customWidth="1"/>
    <col min="21" max="38" width="12.625" style="36" customWidth="1"/>
    <col min="39" max="16384" width="12.625" style="36"/>
  </cols>
  <sheetData>
    <row r="1" spans="1:44" ht="12" customHeight="1"/>
    <row r="2" spans="1:44" ht="40.5" customHeight="1">
      <c r="A2" s="55" t="s">
        <v>0</v>
      </c>
      <c r="B2" s="7" t="s">
        <v>225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55" t="s">
        <v>2</v>
      </c>
      <c r="B4" s="3" t="s">
        <v>3</v>
      </c>
      <c r="C4" s="3" t="s">
        <v>226</v>
      </c>
      <c r="D4" s="3" t="s">
        <v>15</v>
      </c>
      <c r="E4" s="3" t="s">
        <v>193</v>
      </c>
      <c r="F4" s="3" t="s">
        <v>1988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230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55" t="s">
        <v>4</v>
      </c>
      <c r="B5" s="3"/>
      <c r="C5" s="3"/>
      <c r="D5" s="3"/>
      <c r="E5" s="3"/>
      <c r="F5" s="39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55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220</v>
      </c>
      <c r="L6" s="3" t="s">
        <v>179</v>
      </c>
      <c r="M6" s="3" t="s">
        <v>180</v>
      </c>
      <c r="N6" s="3" t="s">
        <v>220</v>
      </c>
      <c r="O6" s="3" t="s">
        <v>179</v>
      </c>
      <c r="P6" s="3" t="s">
        <v>180</v>
      </c>
      <c r="Q6" s="3" t="s">
        <v>220</v>
      </c>
      <c r="R6" s="3" t="s">
        <v>179</v>
      </c>
      <c r="S6" s="3" t="s">
        <v>180</v>
      </c>
      <c r="T6" s="3" t="s">
        <v>220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55" t="s">
        <v>1921</v>
      </c>
      <c r="B7" s="3"/>
      <c r="C7" s="3"/>
      <c r="D7" s="3"/>
      <c r="E7" s="3"/>
      <c r="F7" s="3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55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55" t="s">
        <v>10</v>
      </c>
      <c r="B9" s="5" t="s">
        <v>11</v>
      </c>
      <c r="C9" s="5" t="s">
        <v>227</v>
      </c>
      <c r="D9" s="5" t="s">
        <v>229</v>
      </c>
      <c r="E9" s="5" t="s">
        <v>201</v>
      </c>
      <c r="F9" s="6" t="s">
        <v>1930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221</v>
      </c>
      <c r="L9" s="6" t="s">
        <v>182</v>
      </c>
      <c r="M9" s="6" t="s">
        <v>183</v>
      </c>
      <c r="N9" s="6" t="s">
        <v>221</v>
      </c>
      <c r="O9" s="6" t="s">
        <v>182</v>
      </c>
      <c r="P9" s="6" t="s">
        <v>183</v>
      </c>
      <c r="Q9" s="6" t="s">
        <v>221</v>
      </c>
      <c r="R9" s="6" t="s">
        <v>182</v>
      </c>
      <c r="S9" s="6" t="s">
        <v>183</v>
      </c>
      <c r="T9" s="6" t="s">
        <v>221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55" t="s">
        <v>12</v>
      </c>
      <c r="B10" s="18"/>
      <c r="C10" s="19" t="s">
        <v>228</v>
      </c>
      <c r="D10" s="19"/>
      <c r="E10" s="19"/>
      <c r="F10" s="6" t="s">
        <v>123</v>
      </c>
      <c r="G10" s="19"/>
      <c r="H10" s="19"/>
      <c r="I10" s="19" t="s">
        <v>231</v>
      </c>
      <c r="J10" s="19"/>
      <c r="K10" s="19"/>
      <c r="L10" s="19" t="s">
        <v>231</v>
      </c>
      <c r="M10" s="19"/>
      <c r="N10" s="19"/>
      <c r="O10" s="19" t="s">
        <v>231</v>
      </c>
      <c r="P10" s="18"/>
      <c r="Q10" s="19"/>
      <c r="R10" s="19" t="s">
        <v>231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56" t="s">
        <v>13</v>
      </c>
      <c r="B11" s="14">
        <v>100010001</v>
      </c>
      <c r="C11" s="14">
        <v>1</v>
      </c>
      <c r="D11" s="14" t="s">
        <v>232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233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237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238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239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240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34"/>
      <c r="M49" s="34"/>
      <c r="N49" s="14"/>
      <c r="O49" s="14"/>
      <c r="P49" s="14"/>
      <c r="Q49" s="14"/>
      <c r="R49" s="34"/>
      <c r="S49" s="34"/>
      <c r="T49" s="1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52"/>
      <c r="AF49" s="34"/>
      <c r="AG49" s="34"/>
      <c r="AH49" s="34"/>
      <c r="AI49" s="34"/>
      <c r="AJ49" s="34"/>
      <c r="AK49" s="34"/>
      <c r="AL49" s="34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34"/>
      <c r="M50" s="34"/>
      <c r="N50" s="14"/>
      <c r="O50" s="14"/>
      <c r="P50" s="14"/>
      <c r="Q50" s="14"/>
      <c r="R50" s="34"/>
      <c r="S50" s="34"/>
      <c r="T50" s="1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52"/>
      <c r="AF50" s="34"/>
      <c r="AG50" s="34"/>
      <c r="AH50" s="34"/>
      <c r="AI50" s="34"/>
      <c r="AJ50" s="34"/>
      <c r="AK50" s="34"/>
      <c r="AL50" s="34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34"/>
      <c r="M51" s="34"/>
      <c r="N51" s="14"/>
      <c r="O51" s="14"/>
      <c r="P51" s="14"/>
      <c r="Q51" s="14"/>
      <c r="R51" s="34"/>
      <c r="S51" s="34"/>
      <c r="T51" s="1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52"/>
      <c r="AF51" s="34"/>
      <c r="AG51" s="34"/>
      <c r="AH51" s="34"/>
      <c r="AI51" s="34"/>
      <c r="AJ51" s="34"/>
      <c r="AK51" s="34"/>
      <c r="AL51" s="34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34"/>
      <c r="M52" s="34"/>
      <c r="N52" s="14"/>
      <c r="O52" s="14"/>
      <c r="P52" s="14"/>
      <c r="Q52" s="14"/>
      <c r="R52" s="34"/>
      <c r="S52" s="34"/>
      <c r="T52" s="1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52"/>
      <c r="AF52" s="34"/>
      <c r="AG52" s="34"/>
      <c r="AH52" s="34"/>
      <c r="AI52" s="34"/>
      <c r="AJ52" s="34"/>
      <c r="AK52" s="34"/>
      <c r="AL52" s="34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34"/>
      <c r="M53" s="34"/>
      <c r="N53" s="14"/>
      <c r="O53" s="14"/>
      <c r="P53" s="14"/>
      <c r="Q53" s="14"/>
      <c r="R53" s="34"/>
      <c r="S53" s="34"/>
      <c r="T53" s="1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52"/>
      <c r="AF53" s="34"/>
      <c r="AG53" s="34"/>
      <c r="AH53" s="34"/>
      <c r="AI53" s="34"/>
      <c r="AJ53" s="34"/>
      <c r="AK53" s="34"/>
      <c r="AL53" s="34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34"/>
      <c r="M54" s="34"/>
      <c r="N54" s="14"/>
      <c r="O54" s="14"/>
      <c r="P54" s="14"/>
      <c r="Q54" s="14"/>
      <c r="R54" s="34"/>
      <c r="S54" s="34"/>
      <c r="T54" s="1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52"/>
      <c r="AF54" s="34"/>
      <c r="AG54" s="34"/>
      <c r="AH54" s="34"/>
      <c r="AI54" s="34"/>
      <c r="AJ54" s="34"/>
      <c r="AK54" s="34"/>
      <c r="AL54" s="34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34"/>
      <c r="M55" s="34"/>
      <c r="N55" s="14"/>
      <c r="O55" s="14"/>
      <c r="P55" s="14"/>
      <c r="Q55" s="14"/>
      <c r="R55" s="34"/>
      <c r="S55" s="34"/>
      <c r="T55" s="1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52"/>
      <c r="AF55" s="34"/>
      <c r="AG55" s="34"/>
      <c r="AH55" s="34"/>
      <c r="AI55" s="34"/>
      <c r="AJ55" s="34"/>
      <c r="AK55" s="34"/>
      <c r="AL55" s="34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34"/>
      <c r="M56" s="34"/>
      <c r="N56" s="14"/>
      <c r="O56" s="14"/>
      <c r="P56" s="14"/>
      <c r="Q56" s="14"/>
      <c r="R56" s="34"/>
      <c r="S56" s="34"/>
      <c r="T56" s="1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52"/>
      <c r="AF56" s="34"/>
      <c r="AG56" s="34"/>
      <c r="AH56" s="34"/>
      <c r="AI56" s="34"/>
      <c r="AJ56" s="34"/>
      <c r="AK56" s="34"/>
      <c r="AL56" s="34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34"/>
      <c r="M57" s="34"/>
      <c r="N57" s="14"/>
      <c r="O57" s="14"/>
      <c r="P57" s="14"/>
      <c r="Q57" s="14"/>
      <c r="R57" s="34"/>
      <c r="S57" s="34"/>
      <c r="T57" s="1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52"/>
      <c r="AF57" s="34"/>
      <c r="AG57" s="34"/>
      <c r="AH57" s="34"/>
      <c r="AI57" s="34"/>
      <c r="AJ57" s="34"/>
      <c r="AK57" s="34"/>
      <c r="AL57" s="34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34"/>
      <c r="M58" s="34"/>
      <c r="N58" s="21"/>
      <c r="O58" s="14"/>
      <c r="P58" s="21"/>
      <c r="Q58" s="21"/>
      <c r="R58" s="34"/>
      <c r="S58" s="34"/>
      <c r="T58" s="21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52"/>
      <c r="AF58" s="34"/>
      <c r="AG58" s="34"/>
      <c r="AH58" s="34"/>
      <c r="AI58" s="34"/>
      <c r="AJ58" s="34"/>
      <c r="AK58" s="34"/>
      <c r="AL58" s="34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34"/>
      <c r="M59" s="34"/>
      <c r="N59" s="14"/>
      <c r="O59" s="14"/>
      <c r="P59" s="14"/>
      <c r="Q59" s="14"/>
      <c r="R59" s="34"/>
      <c r="S59" s="34"/>
      <c r="T59" s="1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52"/>
      <c r="AF59" s="34"/>
      <c r="AG59" s="34"/>
      <c r="AH59" s="34"/>
      <c r="AI59" s="34"/>
      <c r="AJ59" s="34"/>
      <c r="AK59" s="34"/>
      <c r="AL59" s="34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34"/>
      <c r="M60" s="34"/>
      <c r="N60" s="14"/>
      <c r="O60" s="14"/>
      <c r="P60" s="14"/>
      <c r="Q60" s="14"/>
      <c r="R60" s="34"/>
      <c r="S60" s="34"/>
      <c r="T60" s="1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52"/>
      <c r="AF60" s="34"/>
      <c r="AG60" s="34"/>
      <c r="AH60" s="34"/>
      <c r="AI60" s="34"/>
      <c r="AJ60" s="34"/>
      <c r="AK60" s="34"/>
      <c r="AL60" s="34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34"/>
      <c r="M61" s="34"/>
      <c r="N61" s="21"/>
      <c r="O61" s="14"/>
      <c r="P61" s="21"/>
      <c r="Q61" s="21"/>
      <c r="R61" s="34"/>
      <c r="S61" s="34"/>
      <c r="T61" s="21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52"/>
      <c r="AF61" s="34"/>
      <c r="AG61" s="34"/>
      <c r="AH61" s="34"/>
      <c r="AI61" s="34"/>
      <c r="AJ61" s="34"/>
      <c r="AK61" s="34"/>
      <c r="AL61" s="34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34"/>
      <c r="M62" s="34"/>
      <c r="N62" s="14"/>
      <c r="O62" s="14"/>
      <c r="P62" s="14"/>
      <c r="Q62" s="14"/>
      <c r="R62" s="34"/>
      <c r="S62" s="34"/>
      <c r="T62" s="1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52"/>
      <c r="AF62" s="34"/>
      <c r="AG62" s="34"/>
      <c r="AH62" s="34"/>
      <c r="AI62" s="34"/>
      <c r="AJ62" s="34"/>
      <c r="AK62" s="34"/>
      <c r="AL62" s="34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34"/>
      <c r="M63" s="34"/>
      <c r="N63" s="14"/>
      <c r="O63" s="14"/>
      <c r="P63" s="14"/>
      <c r="Q63" s="14"/>
      <c r="R63" s="34"/>
      <c r="S63" s="34"/>
      <c r="T63" s="1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52"/>
      <c r="AF63" s="34"/>
      <c r="AG63" s="34"/>
      <c r="AH63" s="34"/>
      <c r="AI63" s="34"/>
      <c r="AJ63" s="34"/>
      <c r="AK63" s="34"/>
      <c r="AL63" s="34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34"/>
      <c r="M64" s="34"/>
      <c r="N64" s="21"/>
      <c r="O64" s="14"/>
      <c r="P64" s="21"/>
      <c r="Q64" s="21"/>
      <c r="R64" s="34"/>
      <c r="S64" s="34"/>
      <c r="T64" s="21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52"/>
      <c r="AF64" s="34"/>
      <c r="AG64" s="34"/>
      <c r="AH64" s="34"/>
      <c r="AI64" s="34"/>
      <c r="AJ64" s="34"/>
      <c r="AK64" s="34"/>
      <c r="AL64" s="34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34"/>
      <c r="M65" s="34"/>
      <c r="N65" s="14"/>
      <c r="O65" s="14"/>
      <c r="P65" s="14"/>
      <c r="Q65" s="14"/>
      <c r="R65" s="34"/>
      <c r="S65" s="34"/>
      <c r="T65" s="1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52"/>
      <c r="AF65" s="34"/>
      <c r="AG65" s="34"/>
      <c r="AH65" s="34"/>
      <c r="AI65" s="34"/>
      <c r="AJ65" s="34"/>
      <c r="AK65" s="34"/>
      <c r="AL65" s="34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34"/>
      <c r="M66" s="34"/>
      <c r="N66" s="14"/>
      <c r="O66" s="14"/>
      <c r="P66" s="14"/>
      <c r="Q66" s="14"/>
      <c r="R66" s="34"/>
      <c r="S66" s="34"/>
      <c r="T66" s="1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52"/>
      <c r="AF66" s="34"/>
      <c r="AG66" s="34"/>
      <c r="AH66" s="34"/>
      <c r="AI66" s="34"/>
      <c r="AJ66" s="34"/>
      <c r="AK66" s="34"/>
      <c r="AL66" s="34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34"/>
      <c r="M67" s="34"/>
      <c r="N67" s="21"/>
      <c r="O67" s="14"/>
      <c r="P67" s="21"/>
      <c r="Q67" s="21"/>
      <c r="R67" s="34"/>
      <c r="S67" s="34"/>
      <c r="T67" s="21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52"/>
      <c r="AF67" s="34"/>
      <c r="AG67" s="34"/>
      <c r="AH67" s="34"/>
      <c r="AI67" s="34"/>
      <c r="AJ67" s="34"/>
      <c r="AK67" s="34"/>
      <c r="AL67" s="34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34"/>
      <c r="M68" s="34"/>
      <c r="N68" s="14"/>
      <c r="O68" s="14"/>
      <c r="P68" s="14"/>
      <c r="Q68" s="14"/>
      <c r="R68" s="34"/>
      <c r="S68" s="34"/>
      <c r="T68" s="1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52"/>
      <c r="AF68" s="34"/>
      <c r="AG68" s="34"/>
      <c r="AH68" s="34"/>
      <c r="AI68" s="34"/>
      <c r="AJ68" s="34"/>
      <c r="AK68" s="34"/>
      <c r="AL68" s="34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34"/>
      <c r="M69" s="34"/>
      <c r="N69" s="14"/>
      <c r="O69" s="14"/>
      <c r="P69" s="14"/>
      <c r="Q69" s="14"/>
      <c r="R69" s="34"/>
      <c r="S69" s="34"/>
      <c r="T69" s="1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52"/>
      <c r="AF69" s="34"/>
      <c r="AG69" s="34"/>
      <c r="AH69" s="34"/>
      <c r="AI69" s="34"/>
      <c r="AJ69" s="34"/>
      <c r="AK69" s="34"/>
      <c r="AL69" s="34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34"/>
      <c r="M70" s="34"/>
      <c r="N70" s="21"/>
      <c r="O70" s="14"/>
      <c r="P70" s="21"/>
      <c r="Q70" s="21"/>
      <c r="R70" s="34"/>
      <c r="S70" s="34"/>
      <c r="T70" s="21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52"/>
      <c r="AF70" s="34"/>
      <c r="AG70" s="34"/>
      <c r="AH70" s="34"/>
      <c r="AI70" s="34"/>
      <c r="AJ70" s="34"/>
      <c r="AK70" s="34"/>
      <c r="AL70" s="34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34"/>
      <c r="M71" s="34"/>
      <c r="N71" s="14"/>
      <c r="O71" s="14"/>
      <c r="P71" s="14"/>
      <c r="Q71" s="14"/>
      <c r="R71" s="34"/>
      <c r="S71" s="34"/>
      <c r="T71" s="1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52"/>
      <c r="AF71" s="34"/>
      <c r="AG71" s="34"/>
      <c r="AH71" s="34"/>
      <c r="AI71" s="34"/>
      <c r="AJ71" s="34"/>
      <c r="AK71" s="34"/>
      <c r="AL71" s="34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34"/>
      <c r="M72" s="34"/>
      <c r="N72" s="14"/>
      <c r="O72" s="14"/>
      <c r="P72" s="14"/>
      <c r="Q72" s="14"/>
      <c r="R72" s="34"/>
      <c r="S72" s="34"/>
      <c r="T72" s="1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52"/>
      <c r="AF72" s="34"/>
      <c r="AG72" s="34"/>
      <c r="AH72" s="34"/>
      <c r="AI72" s="34"/>
      <c r="AJ72" s="34"/>
      <c r="AK72" s="34"/>
      <c r="AL72" s="34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34"/>
      <c r="M73" s="34"/>
      <c r="N73" s="14"/>
      <c r="O73" s="14"/>
      <c r="P73" s="14"/>
      <c r="Q73" s="14"/>
      <c r="R73" s="34"/>
      <c r="S73" s="34"/>
      <c r="T73" s="1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52"/>
      <c r="AF73" s="34"/>
      <c r="AG73" s="34"/>
      <c r="AH73" s="34"/>
      <c r="AI73" s="34"/>
      <c r="AJ73" s="34"/>
      <c r="AK73" s="34"/>
      <c r="AL73" s="34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34"/>
      <c r="M74" s="34"/>
      <c r="N74" s="14"/>
      <c r="O74" s="14"/>
      <c r="P74" s="14"/>
      <c r="Q74" s="14"/>
      <c r="R74" s="34"/>
      <c r="S74" s="34"/>
      <c r="T74" s="1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52"/>
      <c r="AF74" s="34"/>
      <c r="AG74" s="34"/>
      <c r="AH74" s="34"/>
      <c r="AI74" s="34"/>
      <c r="AJ74" s="34"/>
      <c r="AK74" s="34"/>
      <c r="AL74" s="34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34"/>
      <c r="M75" s="34"/>
      <c r="N75" s="14"/>
      <c r="O75" s="14"/>
      <c r="P75" s="14"/>
      <c r="Q75" s="14"/>
      <c r="R75" s="34"/>
      <c r="S75" s="34"/>
      <c r="T75" s="1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52"/>
      <c r="AF75" s="34"/>
      <c r="AG75" s="34"/>
      <c r="AH75" s="34"/>
      <c r="AI75" s="34"/>
      <c r="AJ75" s="34"/>
      <c r="AK75" s="34"/>
      <c r="AL75" s="34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34"/>
      <c r="M76" s="34"/>
      <c r="N76" s="14"/>
      <c r="O76" s="14"/>
      <c r="P76" s="14"/>
      <c r="Q76" s="14"/>
      <c r="R76" s="34"/>
      <c r="S76" s="34"/>
      <c r="T76" s="1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52"/>
      <c r="AF76" s="34"/>
      <c r="AG76" s="34"/>
      <c r="AH76" s="34"/>
      <c r="AI76" s="34"/>
      <c r="AJ76" s="34"/>
      <c r="AK76" s="34"/>
      <c r="AL76" s="34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34"/>
      <c r="M77" s="34"/>
      <c r="N77" s="14"/>
      <c r="O77" s="14"/>
      <c r="P77" s="14"/>
      <c r="Q77" s="14"/>
      <c r="R77" s="34"/>
      <c r="S77" s="34"/>
      <c r="T77" s="1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52"/>
      <c r="AF77" s="34"/>
      <c r="AG77" s="34"/>
      <c r="AH77" s="34"/>
      <c r="AI77" s="34"/>
      <c r="AJ77" s="34"/>
      <c r="AK77" s="34"/>
      <c r="AL77" s="34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34"/>
      <c r="M78" s="34"/>
      <c r="N78" s="14"/>
      <c r="O78" s="14"/>
      <c r="P78" s="14"/>
      <c r="Q78" s="14"/>
      <c r="R78" s="34"/>
      <c r="S78" s="34"/>
      <c r="T78" s="1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52"/>
      <c r="AF78" s="34"/>
      <c r="AG78" s="34"/>
      <c r="AH78" s="34"/>
      <c r="AI78" s="34"/>
      <c r="AJ78" s="34"/>
      <c r="AK78" s="34"/>
      <c r="AL78" s="34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34"/>
      <c r="M79" s="34"/>
      <c r="N79" s="14"/>
      <c r="O79" s="14"/>
      <c r="P79" s="14"/>
      <c r="Q79" s="14"/>
      <c r="R79" s="34"/>
      <c r="S79" s="34"/>
      <c r="T79" s="1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52"/>
      <c r="AF79" s="34"/>
      <c r="AG79" s="34"/>
      <c r="AH79" s="34"/>
      <c r="AI79" s="34"/>
      <c r="AJ79" s="34"/>
      <c r="AK79" s="34"/>
      <c r="AL79" s="34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34"/>
      <c r="M80" s="34"/>
      <c r="N80" s="14"/>
      <c r="O80" s="14"/>
      <c r="P80" s="14"/>
      <c r="Q80" s="14"/>
      <c r="R80" s="34"/>
      <c r="S80" s="34"/>
      <c r="T80" s="1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52"/>
      <c r="AF80" s="34"/>
      <c r="AG80" s="34"/>
      <c r="AH80" s="34"/>
      <c r="AI80" s="34"/>
      <c r="AJ80" s="34"/>
      <c r="AK80" s="34"/>
      <c r="AL80" s="34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34"/>
      <c r="M81" s="34"/>
      <c r="N81" s="14"/>
      <c r="O81" s="14"/>
      <c r="P81" s="14"/>
      <c r="Q81" s="14"/>
      <c r="R81" s="34"/>
      <c r="S81" s="34"/>
      <c r="T81" s="1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52"/>
      <c r="AF81" s="34"/>
      <c r="AG81" s="34"/>
      <c r="AH81" s="34"/>
      <c r="AI81" s="34"/>
      <c r="AJ81" s="34"/>
      <c r="AK81" s="34"/>
      <c r="AL81" s="34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34"/>
      <c r="M82" s="34"/>
      <c r="N82" s="14"/>
      <c r="O82" s="14"/>
      <c r="P82" s="14"/>
      <c r="Q82" s="14"/>
      <c r="R82" s="34"/>
      <c r="S82" s="34"/>
      <c r="T82" s="1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52"/>
      <c r="AF82" s="34"/>
      <c r="AG82" s="34"/>
      <c r="AH82" s="34"/>
      <c r="AI82" s="34"/>
      <c r="AJ82" s="34"/>
      <c r="AK82" s="34"/>
      <c r="AL82" s="34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34"/>
      <c r="M83" s="34"/>
      <c r="N83" s="14"/>
      <c r="O83" s="14"/>
      <c r="P83" s="14"/>
      <c r="Q83" s="14"/>
      <c r="R83" s="34"/>
      <c r="S83" s="34"/>
      <c r="T83" s="1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52"/>
      <c r="AF83" s="34"/>
      <c r="AG83" s="34"/>
      <c r="AH83" s="34"/>
      <c r="AI83" s="34"/>
      <c r="AJ83" s="34"/>
      <c r="AK83" s="34"/>
      <c r="AL83" s="34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34"/>
      <c r="M84" s="34"/>
      <c r="N84" s="14"/>
      <c r="O84" s="14"/>
      <c r="P84" s="14"/>
      <c r="Q84" s="14"/>
      <c r="R84" s="34"/>
      <c r="S84" s="34"/>
      <c r="T84" s="1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52"/>
      <c r="AF84" s="34"/>
      <c r="AG84" s="34"/>
      <c r="AH84" s="34"/>
      <c r="AI84" s="34"/>
      <c r="AJ84" s="34"/>
      <c r="AK84" s="34"/>
      <c r="AL84" s="34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34"/>
      <c r="N85" s="23"/>
      <c r="O85" s="14"/>
      <c r="P85" s="14"/>
      <c r="Q85" s="14"/>
      <c r="R85" s="34"/>
      <c r="S85" s="34"/>
      <c r="T85" s="1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52"/>
      <c r="AF85" s="34"/>
      <c r="AG85" s="34"/>
      <c r="AH85" s="34"/>
      <c r="AI85" s="34"/>
      <c r="AJ85" s="34"/>
      <c r="AK85" s="34"/>
      <c r="AL85" s="34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34"/>
      <c r="N86" s="23"/>
      <c r="O86" s="14"/>
      <c r="P86" s="14"/>
      <c r="Q86" s="14"/>
      <c r="R86" s="34"/>
      <c r="S86" s="34"/>
      <c r="T86" s="1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52"/>
      <c r="AF86" s="34"/>
      <c r="AG86" s="34"/>
      <c r="AH86" s="34"/>
      <c r="AI86" s="34"/>
      <c r="AJ86" s="34"/>
      <c r="AK86" s="34"/>
      <c r="AL86" s="34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34"/>
      <c r="N87" s="23"/>
      <c r="O87" s="14"/>
      <c r="P87" s="14"/>
      <c r="Q87" s="14"/>
      <c r="R87" s="34"/>
      <c r="S87" s="34"/>
      <c r="T87" s="1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52"/>
      <c r="AF87" s="34"/>
      <c r="AG87" s="34"/>
      <c r="AH87" s="34"/>
      <c r="AI87" s="34"/>
      <c r="AJ87" s="34"/>
      <c r="AK87" s="34"/>
      <c r="AL87" s="34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34"/>
      <c r="N88" s="23"/>
      <c r="O88" s="14"/>
      <c r="P88" s="14"/>
      <c r="Q88" s="14"/>
      <c r="R88" s="34"/>
      <c r="S88" s="34"/>
      <c r="T88" s="1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52"/>
      <c r="AF88" s="34"/>
      <c r="AG88" s="34"/>
      <c r="AH88" s="34"/>
      <c r="AI88" s="34"/>
      <c r="AJ88" s="34"/>
      <c r="AK88" s="34"/>
      <c r="AL88" s="34"/>
    </row>
    <row r="89" spans="2:38" ht="18.75" customHeight="1">
      <c r="B89" s="14"/>
      <c r="C89" s="14"/>
      <c r="D89" s="14"/>
      <c r="E89" s="14"/>
      <c r="F89" s="14"/>
      <c r="G89" s="14"/>
      <c r="H89" s="14"/>
      <c r="I89" s="24"/>
      <c r="J89" s="34"/>
      <c r="K89" s="23"/>
      <c r="L89" s="24"/>
      <c r="M89" s="34"/>
      <c r="N89" s="23"/>
      <c r="O89" s="14"/>
      <c r="P89" s="1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5"/>
    </row>
    <row r="90" spans="2:38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5"/>
    </row>
    <row r="91" spans="2:38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5"/>
    </row>
    <row r="92" spans="2:38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5"/>
    </row>
    <row r="93" spans="2:38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5"/>
    </row>
    <row r="94" spans="2:38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5"/>
    </row>
    <row r="95" spans="2:38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5"/>
    </row>
    <row r="96" spans="2:38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5"/>
    </row>
    <row r="97" spans="2:31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5"/>
    </row>
    <row r="98" spans="2:31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5"/>
    </row>
    <row r="99" spans="2:31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5"/>
    </row>
    <row r="100" spans="2:31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5"/>
    </row>
    <row r="101" spans="2:31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5"/>
    </row>
    <row r="102" spans="2:31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5"/>
    </row>
    <row r="103" spans="2:31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5"/>
    </row>
    <row r="104" spans="2:31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5"/>
    </row>
    <row r="105" spans="2:31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5"/>
    </row>
    <row r="106" spans="2:31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5"/>
    </row>
    <row r="107" spans="2:31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5"/>
    </row>
    <row r="108" spans="2:31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5"/>
    </row>
    <row r="109" spans="2:31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5"/>
    </row>
    <row r="110" spans="2:31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5"/>
    </row>
    <row r="111" spans="2:31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5"/>
    </row>
    <row r="112" spans="2:31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5"/>
    </row>
    <row r="113" spans="2:31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5"/>
    </row>
    <row r="114" spans="2:31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5"/>
    </row>
    <row r="115" spans="2:31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5"/>
    </row>
    <row r="116" spans="2:31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5"/>
    </row>
    <row r="117" spans="2:31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5"/>
    </row>
    <row r="118" spans="2:31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5"/>
    </row>
    <row r="119" spans="2:31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5"/>
    </row>
    <row r="120" spans="2:31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5"/>
    </row>
    <row r="121" spans="2:31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5"/>
    </row>
    <row r="122" spans="2:31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5"/>
    </row>
    <row r="123" spans="2:31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5"/>
    </row>
    <row r="124" spans="2:31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5"/>
    </row>
    <row r="125" spans="2:31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5"/>
    </row>
    <row r="126" spans="2:31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5"/>
    </row>
    <row r="127" spans="2:31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5"/>
    </row>
    <row r="128" spans="2:31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5"/>
    </row>
    <row r="129" spans="2:31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5"/>
    </row>
    <row r="130" spans="2:31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5"/>
    </row>
    <row r="131" spans="2:31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5"/>
    </row>
    <row r="132" spans="2:31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5"/>
    </row>
    <row r="133" spans="2:31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5"/>
    </row>
    <row r="134" spans="2:31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5"/>
    </row>
    <row r="135" spans="2:31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5"/>
    </row>
    <row r="136" spans="2:31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5"/>
    </row>
    <row r="137" spans="2:31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5"/>
    </row>
    <row r="138" spans="2:31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5"/>
    </row>
    <row r="139" spans="2:31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5"/>
    </row>
    <row r="140" spans="2:31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5"/>
    </row>
    <row r="141" spans="2:31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5"/>
    </row>
    <row r="142" spans="2:31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5"/>
    </row>
    <row r="143" spans="2:31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5"/>
    </row>
    <row r="144" spans="2:31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5"/>
    </row>
    <row r="145" spans="2:31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5"/>
    </row>
    <row r="146" spans="2:31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5"/>
    </row>
    <row r="147" spans="2:31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5"/>
    </row>
    <row r="148" spans="2:31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5"/>
    </row>
    <row r="149" spans="2:31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5"/>
    </row>
    <row r="150" spans="2:31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5"/>
    </row>
    <row r="151" spans="2:31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5"/>
    </row>
    <row r="152" spans="2:31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5"/>
    </row>
    <row r="153" spans="2:31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5"/>
    </row>
    <row r="154" spans="2:31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5"/>
    </row>
    <row r="155" spans="2:31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5"/>
    </row>
    <row r="156" spans="2:31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5"/>
    </row>
    <row r="157" spans="2:31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5"/>
    </row>
    <row r="158" spans="2:31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5"/>
    </row>
    <row r="159" spans="2:31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5"/>
    </row>
    <row r="160" spans="2:31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5"/>
    </row>
    <row r="161" spans="2:31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5"/>
    </row>
    <row r="162" spans="2:31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5"/>
    </row>
    <row r="163" spans="2:31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5"/>
    </row>
    <row r="164" spans="2:31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5"/>
    </row>
    <row r="165" spans="2:31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5"/>
    </row>
    <row r="166" spans="2:31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5"/>
    </row>
    <row r="167" spans="2:31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5"/>
    </row>
    <row r="168" spans="2:31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5"/>
    </row>
    <row r="169" spans="2:31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5"/>
    </row>
    <row r="170" spans="2:31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5"/>
    </row>
    <row r="171" spans="2:31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5"/>
    </row>
    <row r="172" spans="2:31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5"/>
    </row>
    <row r="173" spans="2:31" ht="18.75" customHeight="1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5"/>
    </row>
    <row r="174" spans="2:31" ht="18.75" customHeight="1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5"/>
    </row>
    <row r="175" spans="2:31" ht="18.75" customHeight="1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5"/>
    </row>
    <row r="176" spans="2:31" ht="18.75" customHeight="1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6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E8" sqref="E8:G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4" width="46.625" style="36" customWidth="1"/>
    <col min="5" max="19" width="10" style="36" customWidth="1"/>
    <col min="20" max="39" width="12.625" style="36" customWidth="1"/>
    <col min="40" max="16384" width="12.625" style="36"/>
  </cols>
  <sheetData>
    <row r="1" spans="1:42" ht="12" customHeight="1"/>
    <row r="2" spans="1:42" ht="40.5" customHeight="1">
      <c r="A2" s="55" t="s">
        <v>0</v>
      </c>
      <c r="B2" s="7" t="s">
        <v>249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253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254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5" t="s">
        <v>10</v>
      </c>
      <c r="B9" s="5" t="s">
        <v>11</v>
      </c>
      <c r="C9" s="5" t="s">
        <v>33</v>
      </c>
      <c r="D9" s="5" t="s">
        <v>255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6" t="s">
        <v>107</v>
      </c>
      <c r="B11" s="5">
        <v>100010001</v>
      </c>
      <c r="C11" s="6" t="s">
        <v>250</v>
      </c>
      <c r="D11" s="6" t="s">
        <v>256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6"/>
      <c r="B12" s="5">
        <v>100010002</v>
      </c>
      <c r="C12" s="6" t="s">
        <v>251</v>
      </c>
      <c r="D12" s="6" t="s">
        <v>257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7">
        <v>200010001</v>
      </c>
      <c r="C13" s="48" t="s">
        <v>252</v>
      </c>
      <c r="D13" s="48" t="s">
        <v>258</v>
      </c>
      <c r="E13" s="48">
        <v>1</v>
      </c>
      <c r="F13" s="48">
        <v>1</v>
      </c>
      <c r="G13" s="48">
        <v>50</v>
      </c>
      <c r="H13" s="48">
        <v>2</v>
      </c>
      <c r="I13" s="48">
        <v>5</v>
      </c>
      <c r="J13" s="49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260</v>
      </c>
      <c r="D14" s="6" t="s">
        <v>266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265</v>
      </c>
      <c r="D15" s="6" t="s">
        <v>267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5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I13" sqref="I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.25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13" width="12.375" style="36" customWidth="1"/>
    <col min="14" max="102" width="12.625" style="36" customWidth="1"/>
    <col min="103" max="16384" width="12.625" style="36"/>
  </cols>
  <sheetData>
    <row r="1" spans="1:114" ht="12" customHeight="1"/>
    <row r="2" spans="1:114" ht="40.5" customHeight="1">
      <c r="A2" s="55" t="s">
        <v>0</v>
      </c>
      <c r="B2" s="7" t="s">
        <v>259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5" t="s">
        <v>2</v>
      </c>
      <c r="B4" s="3" t="s">
        <v>3</v>
      </c>
      <c r="C4" s="3" t="s">
        <v>261</v>
      </c>
      <c r="D4" s="3" t="s">
        <v>253</v>
      </c>
      <c r="E4" s="3" t="s">
        <v>1982</v>
      </c>
      <c r="F4" s="3" t="s">
        <v>1985</v>
      </c>
      <c r="G4" s="3" t="s">
        <v>264</v>
      </c>
      <c r="H4" s="3"/>
      <c r="I4" s="3"/>
      <c r="J4" s="3"/>
      <c r="K4" s="3"/>
      <c r="L4" s="3"/>
      <c r="M4" s="3" t="s">
        <v>1977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5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220</v>
      </c>
      <c r="J6" s="3" t="s">
        <v>179</v>
      </c>
      <c r="K6" s="3" t="s">
        <v>180</v>
      </c>
      <c r="L6" s="3" t="s">
        <v>220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5" t="s">
        <v>6</v>
      </c>
      <c r="B8" s="4" t="s">
        <v>7</v>
      </c>
      <c r="C8" s="4" t="s">
        <v>254</v>
      </c>
      <c r="D8" s="4" t="s">
        <v>254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5" t="s">
        <v>10</v>
      </c>
      <c r="B9" s="5" t="s">
        <v>11</v>
      </c>
      <c r="C9" s="5" t="s">
        <v>262</v>
      </c>
      <c r="D9" s="5" t="s">
        <v>263</v>
      </c>
      <c r="E9" s="5" t="s">
        <v>1983</v>
      </c>
      <c r="F9" s="5" t="s">
        <v>1986</v>
      </c>
      <c r="G9" s="6" t="s">
        <v>182</v>
      </c>
      <c r="H9" s="6" t="s">
        <v>183</v>
      </c>
      <c r="I9" s="6" t="s">
        <v>221</v>
      </c>
      <c r="J9" s="6" t="s">
        <v>182</v>
      </c>
      <c r="K9" s="6" t="s">
        <v>183</v>
      </c>
      <c r="L9" s="6" t="s">
        <v>221</v>
      </c>
      <c r="M9" s="6" t="s">
        <v>1930</v>
      </c>
      <c r="N9" s="6" t="s">
        <v>118</v>
      </c>
      <c r="O9" s="5" t="s">
        <v>32</v>
      </c>
      <c r="P9" s="6" t="s">
        <v>1930</v>
      </c>
      <c r="Q9" s="6" t="s">
        <v>118</v>
      </c>
      <c r="R9" s="5" t="s">
        <v>32</v>
      </c>
      <c r="S9" s="6" t="s">
        <v>1930</v>
      </c>
      <c r="T9" s="6" t="s">
        <v>118</v>
      </c>
      <c r="U9" s="5" t="s">
        <v>32</v>
      </c>
      <c r="V9" s="6" t="s">
        <v>1930</v>
      </c>
      <c r="W9" s="6" t="s">
        <v>118</v>
      </c>
      <c r="X9" s="5" t="s">
        <v>32</v>
      </c>
      <c r="Y9" s="6" t="s">
        <v>1930</v>
      </c>
      <c r="Z9" s="6" t="s">
        <v>118</v>
      </c>
      <c r="AA9" s="5" t="s">
        <v>32</v>
      </c>
      <c r="AB9" s="6" t="s">
        <v>1930</v>
      </c>
      <c r="AC9" s="6" t="s">
        <v>118</v>
      </c>
      <c r="AD9" s="5" t="s">
        <v>32</v>
      </c>
      <c r="AE9" s="6" t="s">
        <v>1930</v>
      </c>
      <c r="AF9" s="6" t="s">
        <v>118</v>
      </c>
      <c r="AG9" s="5" t="s">
        <v>32</v>
      </c>
      <c r="AH9" s="6" t="s">
        <v>1930</v>
      </c>
      <c r="AI9" s="6" t="s">
        <v>118</v>
      </c>
      <c r="AJ9" s="5" t="s">
        <v>32</v>
      </c>
      <c r="AK9" s="6" t="s">
        <v>1930</v>
      </c>
      <c r="AL9" s="6" t="s">
        <v>118</v>
      </c>
      <c r="AM9" s="5" t="s">
        <v>32</v>
      </c>
      <c r="AN9" s="6" t="s">
        <v>1930</v>
      </c>
      <c r="AO9" s="6" t="s">
        <v>118</v>
      </c>
      <c r="AP9" s="5" t="s">
        <v>32</v>
      </c>
      <c r="AQ9" s="6" t="s">
        <v>1930</v>
      </c>
      <c r="AR9" s="6" t="s">
        <v>118</v>
      </c>
      <c r="AS9" s="5" t="s">
        <v>32</v>
      </c>
      <c r="AT9" s="6" t="s">
        <v>1930</v>
      </c>
      <c r="AU9" s="6" t="s">
        <v>118</v>
      </c>
      <c r="AV9" s="5" t="s">
        <v>32</v>
      </c>
      <c r="AW9" s="6" t="s">
        <v>1930</v>
      </c>
      <c r="AX9" s="6" t="s">
        <v>118</v>
      </c>
      <c r="AY9" s="5" t="s">
        <v>32</v>
      </c>
      <c r="AZ9" s="6" t="s">
        <v>1930</v>
      </c>
      <c r="BA9" s="6" t="s">
        <v>118</v>
      </c>
      <c r="BB9" s="5" t="s">
        <v>32</v>
      </c>
      <c r="BC9" s="6" t="s">
        <v>1930</v>
      </c>
      <c r="BD9" s="6" t="s">
        <v>118</v>
      </c>
      <c r="BE9" s="5" t="s">
        <v>32</v>
      </c>
      <c r="BF9" s="6" t="s">
        <v>1930</v>
      </c>
      <c r="BG9" s="6" t="s">
        <v>118</v>
      </c>
      <c r="BH9" s="5" t="s">
        <v>32</v>
      </c>
      <c r="BI9" s="6" t="s">
        <v>1930</v>
      </c>
      <c r="BJ9" s="6" t="s">
        <v>118</v>
      </c>
      <c r="BK9" s="5" t="s">
        <v>32</v>
      </c>
      <c r="BL9" s="6" t="s">
        <v>1930</v>
      </c>
      <c r="BM9" s="6" t="s">
        <v>118</v>
      </c>
      <c r="BN9" s="5" t="s">
        <v>32</v>
      </c>
      <c r="BO9" s="6" t="s">
        <v>1930</v>
      </c>
      <c r="BP9" s="6" t="s">
        <v>118</v>
      </c>
      <c r="BQ9" s="5" t="s">
        <v>32</v>
      </c>
      <c r="BR9" s="6" t="s">
        <v>1930</v>
      </c>
      <c r="BS9" s="6" t="s">
        <v>118</v>
      </c>
      <c r="BT9" s="5" t="s">
        <v>32</v>
      </c>
      <c r="BU9" s="6" t="s">
        <v>1930</v>
      </c>
      <c r="BV9" s="6" t="s">
        <v>118</v>
      </c>
      <c r="BW9" s="5" t="s">
        <v>32</v>
      </c>
      <c r="BX9" s="6" t="s">
        <v>1930</v>
      </c>
      <c r="BY9" s="6" t="s">
        <v>118</v>
      </c>
      <c r="BZ9" s="5" t="s">
        <v>32</v>
      </c>
      <c r="CA9" s="6" t="s">
        <v>1930</v>
      </c>
      <c r="CB9" s="6" t="s">
        <v>118</v>
      </c>
      <c r="CC9" s="5" t="s">
        <v>32</v>
      </c>
      <c r="CD9" s="6" t="s">
        <v>1930</v>
      </c>
      <c r="CE9" s="6" t="s">
        <v>118</v>
      </c>
      <c r="CF9" s="5" t="s">
        <v>32</v>
      </c>
      <c r="CG9" s="6" t="s">
        <v>1930</v>
      </c>
      <c r="CH9" s="6" t="s">
        <v>118</v>
      </c>
      <c r="CI9" s="5" t="s">
        <v>32</v>
      </c>
      <c r="CJ9" s="6" t="s">
        <v>1930</v>
      </c>
      <c r="CK9" s="6" t="s">
        <v>118</v>
      </c>
      <c r="CL9" s="5" t="s">
        <v>32</v>
      </c>
      <c r="CM9" s="6" t="s">
        <v>1930</v>
      </c>
      <c r="CN9" s="6" t="s">
        <v>118</v>
      </c>
      <c r="CO9" s="5" t="s">
        <v>32</v>
      </c>
      <c r="CP9" s="6" t="s">
        <v>1930</v>
      </c>
      <c r="CQ9" s="6" t="s">
        <v>118</v>
      </c>
      <c r="CR9" s="5" t="s">
        <v>32</v>
      </c>
      <c r="CS9" s="6" t="s">
        <v>1930</v>
      </c>
      <c r="CT9" s="6" t="s">
        <v>118</v>
      </c>
      <c r="CU9" s="5" t="s">
        <v>32</v>
      </c>
      <c r="CV9" s="6" t="s">
        <v>1930</v>
      </c>
      <c r="CW9" s="6" t="s">
        <v>118</v>
      </c>
      <c r="CX9" s="5" t="s">
        <v>32</v>
      </c>
    </row>
    <row r="10" spans="1:114" ht="191.25" customHeight="1">
      <c r="A10" s="55" t="s">
        <v>12</v>
      </c>
      <c r="B10" s="18"/>
      <c r="C10" s="18"/>
      <c r="D10" s="18"/>
      <c r="E10" s="19" t="s">
        <v>1984</v>
      </c>
      <c r="F10" s="19"/>
      <c r="G10" s="19" t="s">
        <v>231</v>
      </c>
      <c r="H10" s="19"/>
      <c r="I10" s="19"/>
      <c r="J10" s="19" t="s">
        <v>231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56" t="s">
        <v>13</v>
      </c>
      <c r="B11" s="14">
        <v>1001</v>
      </c>
      <c r="C11" s="14" t="s">
        <v>260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6"/>
      <c r="B12" s="14">
        <v>1002</v>
      </c>
      <c r="C12" s="14" t="s">
        <v>1981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1976</v>
      </c>
      <c r="D13" s="14"/>
      <c r="E13" s="14">
        <v>0</v>
      </c>
      <c r="F13" s="14">
        <v>0</v>
      </c>
      <c r="G13" s="14">
        <v>3</v>
      </c>
      <c r="H13" s="14"/>
      <c r="I13" s="23" t="s">
        <v>1978</v>
      </c>
      <c r="J13" s="14">
        <v>4</v>
      </c>
      <c r="K13" s="14"/>
      <c r="L13" s="23" t="s">
        <v>1979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1980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34"/>
      <c r="K53" s="34"/>
      <c r="L53" s="1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34"/>
      <c r="K54" s="34"/>
      <c r="L54" s="21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34"/>
      <c r="K56" s="34"/>
      <c r="L56" s="1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34"/>
      <c r="K57" s="34"/>
      <c r="L57" s="21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34"/>
      <c r="K59" s="34"/>
      <c r="L59" s="1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34"/>
      <c r="K60" s="34"/>
      <c r="L60" s="21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34"/>
      <c r="K62" s="34"/>
      <c r="L62" s="1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34"/>
      <c r="K63" s="34"/>
      <c r="L63" s="21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34"/>
      <c r="K65" s="34"/>
      <c r="L65" s="1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34"/>
      <c r="K66" s="34"/>
      <c r="L66" s="21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34"/>
      <c r="K80" s="34"/>
      <c r="L80" s="1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52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</row>
    <row r="85" spans="2:102" ht="18.75" customHeight="1">
      <c r="B85" s="14"/>
      <c r="C85" s="14"/>
      <c r="D85" s="14"/>
      <c r="E85" s="14"/>
      <c r="F85" s="14"/>
      <c r="G85" s="24"/>
      <c r="H85" s="34"/>
      <c r="I85" s="23"/>
      <c r="J85" s="24"/>
      <c r="K85" s="34"/>
      <c r="L85" s="2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102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102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102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102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102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102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102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102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102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102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102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5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4" priority="30">
      <formula>CELL("ROW")=ROW()</formula>
    </cfRule>
  </conditionalFormatting>
  <conditionalFormatting sqref="P7:R7">
    <cfRule type="expression" dxfId="33" priority="29">
      <formula>CELL("ROW")=ROW()</formula>
    </cfRule>
  </conditionalFormatting>
  <conditionalFormatting sqref="S7:U7">
    <cfRule type="expression" dxfId="32" priority="28">
      <formula>CELL("ROW")=ROW()</formula>
    </cfRule>
  </conditionalFormatting>
  <conditionalFormatting sqref="V7:X7">
    <cfRule type="expression" dxfId="31" priority="27">
      <formula>CELL("ROW")=ROW()</formula>
    </cfRule>
  </conditionalFormatting>
  <conditionalFormatting sqref="Y7:AA7">
    <cfRule type="expression" dxfId="30" priority="26">
      <formula>CELL("ROW")=ROW()</formula>
    </cfRule>
  </conditionalFormatting>
  <conditionalFormatting sqref="AB7:AD7">
    <cfRule type="expression" dxfId="29" priority="25">
      <formula>CELL("ROW")=ROW()</formula>
    </cfRule>
  </conditionalFormatting>
  <conditionalFormatting sqref="AE7:AG7">
    <cfRule type="expression" dxfId="28" priority="24">
      <formula>CELL("ROW")=ROW()</formula>
    </cfRule>
  </conditionalFormatting>
  <conditionalFormatting sqref="AH7:AJ7">
    <cfRule type="expression" dxfId="27" priority="23">
      <formula>CELL("ROW")=ROW()</formula>
    </cfRule>
  </conditionalFormatting>
  <conditionalFormatting sqref="AK7:AM7">
    <cfRule type="expression" dxfId="26" priority="22">
      <formula>CELL("ROW")=ROW()</formula>
    </cfRule>
  </conditionalFormatting>
  <conditionalFormatting sqref="AN7:AP7">
    <cfRule type="expression" dxfId="25" priority="21">
      <formula>CELL("ROW")=ROW()</formula>
    </cfRule>
  </conditionalFormatting>
  <conditionalFormatting sqref="AQ7:AS7">
    <cfRule type="expression" dxfId="24" priority="20">
      <formula>CELL("ROW")=ROW()</formula>
    </cfRule>
  </conditionalFormatting>
  <conditionalFormatting sqref="AT7:AV7">
    <cfRule type="expression" dxfId="23" priority="19">
      <formula>CELL("ROW")=ROW()</formula>
    </cfRule>
  </conditionalFormatting>
  <conditionalFormatting sqref="AW7:AY7">
    <cfRule type="expression" dxfId="22" priority="18">
      <formula>CELL("ROW")=ROW()</formula>
    </cfRule>
  </conditionalFormatting>
  <conditionalFormatting sqref="AZ7:BB7">
    <cfRule type="expression" dxfId="21" priority="17">
      <formula>CELL("ROW")=ROW()</formula>
    </cfRule>
  </conditionalFormatting>
  <conditionalFormatting sqref="BC7:BE7">
    <cfRule type="expression" dxfId="20" priority="16">
      <formula>CELL("ROW")=ROW()</formula>
    </cfRule>
  </conditionalFormatting>
  <conditionalFormatting sqref="BF7:BH7">
    <cfRule type="expression" dxfId="19" priority="15">
      <formula>CELL("ROW")=ROW()</formula>
    </cfRule>
  </conditionalFormatting>
  <conditionalFormatting sqref="BI7:BK7">
    <cfRule type="expression" dxfId="18" priority="14">
      <formula>CELL("ROW")=ROW()</formula>
    </cfRule>
  </conditionalFormatting>
  <conditionalFormatting sqref="BL7:BN7">
    <cfRule type="expression" dxfId="17" priority="13">
      <formula>CELL("ROW")=ROW()</formula>
    </cfRule>
  </conditionalFormatting>
  <conditionalFormatting sqref="BO7:BQ7">
    <cfRule type="expression" dxfId="16" priority="12">
      <formula>CELL("ROW")=ROW()</formula>
    </cfRule>
  </conditionalFormatting>
  <conditionalFormatting sqref="BR7:BT7">
    <cfRule type="expression" dxfId="15" priority="11">
      <formula>CELL("ROW")=ROW()</formula>
    </cfRule>
  </conditionalFormatting>
  <conditionalFormatting sqref="BU7:BW7">
    <cfRule type="expression" dxfId="14" priority="10">
      <formula>CELL("ROW")=ROW()</formula>
    </cfRule>
  </conditionalFormatting>
  <conditionalFormatting sqref="BX7:BZ7">
    <cfRule type="expression" dxfId="13" priority="9">
      <formula>CELL("ROW")=ROW()</formula>
    </cfRule>
  </conditionalFormatting>
  <conditionalFormatting sqref="CA7:CC7">
    <cfRule type="expression" dxfId="12" priority="8">
      <formula>CELL("ROW")=ROW()</formula>
    </cfRule>
  </conditionalFormatting>
  <conditionalFormatting sqref="CD7:CF7">
    <cfRule type="expression" dxfId="11" priority="7">
      <formula>CELL("ROW")=ROW()</formula>
    </cfRule>
  </conditionalFormatting>
  <conditionalFormatting sqref="CG7:CI7">
    <cfRule type="expression" dxfId="10" priority="6">
      <formula>CELL("ROW")=ROW()</formula>
    </cfRule>
  </conditionalFormatting>
  <conditionalFormatting sqref="CJ7:CL7">
    <cfRule type="expression" dxfId="9" priority="5">
      <formula>CELL("ROW")=ROW()</formula>
    </cfRule>
  </conditionalFormatting>
  <conditionalFormatting sqref="CM7:CO7">
    <cfRule type="expression" dxfId="8" priority="4">
      <formula>CELL("ROW")=ROW()</formula>
    </cfRule>
  </conditionalFormatting>
  <conditionalFormatting sqref="CP7:CR7">
    <cfRule type="expression" dxfId="7" priority="3">
      <formula>CELL("ROW")=ROW()</formula>
    </cfRule>
  </conditionalFormatting>
  <conditionalFormatting sqref="CS7:CU7">
    <cfRule type="expression" dxfId="6" priority="2">
      <formula>CELL("ROW")=ROW()</formula>
    </cfRule>
  </conditionalFormatting>
  <conditionalFormatting sqref="CV7:CX7">
    <cfRule type="expression" dxfId="5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1276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1277</v>
      </c>
      <c r="D4" s="3" t="s">
        <v>1279</v>
      </c>
      <c r="E4" s="3" t="s">
        <v>1281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1278</v>
      </c>
      <c r="D9" s="5" t="s">
        <v>1280</v>
      </c>
      <c r="E9" s="6" t="s">
        <v>1282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1283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1732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1725</v>
      </c>
      <c r="D4" s="3" t="s">
        <v>1726</v>
      </c>
      <c r="E4" s="3" t="s">
        <v>1727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1728</v>
      </c>
      <c r="D9" s="5" t="s">
        <v>1729</v>
      </c>
      <c r="E9" s="6" t="s">
        <v>1730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1731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3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3.625" style="36" customWidth="1"/>
    <col min="4" max="4" width="17" style="36" customWidth="1"/>
    <col min="5" max="16" width="13" style="36" customWidth="1"/>
    <col min="17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1741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1742</v>
      </c>
      <c r="D4" s="3" t="s">
        <v>1743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5" t="s">
        <v>10</v>
      </c>
      <c r="B9" s="5" t="s">
        <v>11</v>
      </c>
      <c r="C9" s="5" t="s">
        <v>1745</v>
      </c>
      <c r="D9" s="5" t="s">
        <v>1744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32"/>
      <c r="J11" s="33"/>
      <c r="K11" s="33"/>
      <c r="L11" s="32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33">
        <v>6</v>
      </c>
      <c r="J12" s="33">
        <v>10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33">
        <v>6</v>
      </c>
      <c r="J13" s="33">
        <v>25</v>
      </c>
      <c r="K13" s="33">
        <v>3</v>
      </c>
      <c r="L13" s="33">
        <v>11</v>
      </c>
      <c r="M13" s="33">
        <v>10</v>
      </c>
      <c r="N13" s="33"/>
      <c r="O13" s="33"/>
      <c r="P13" s="33"/>
      <c r="Q13" s="33"/>
      <c r="R13" s="33"/>
      <c r="S13" s="33"/>
      <c r="T13" s="33"/>
      <c r="U13" s="33"/>
      <c r="V13" s="33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33">
        <v>6</v>
      </c>
      <c r="J14" s="33">
        <v>50</v>
      </c>
      <c r="K14" s="33">
        <v>3</v>
      </c>
      <c r="L14" s="33">
        <v>11</v>
      </c>
      <c r="M14" s="33">
        <v>25</v>
      </c>
      <c r="N14" s="33">
        <v>3</v>
      </c>
      <c r="O14" s="33">
        <v>16</v>
      </c>
      <c r="P14" s="33">
        <v>10</v>
      </c>
      <c r="Q14" s="33"/>
      <c r="R14" s="33"/>
      <c r="S14" s="33"/>
      <c r="T14" s="33"/>
      <c r="U14" s="33"/>
      <c r="V14" s="33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33">
        <v>6</v>
      </c>
      <c r="J15" s="33">
        <v>100</v>
      </c>
      <c r="K15" s="33">
        <v>3</v>
      </c>
      <c r="L15" s="33">
        <v>11</v>
      </c>
      <c r="M15" s="33">
        <v>50</v>
      </c>
      <c r="N15" s="33">
        <v>3</v>
      </c>
      <c r="O15" s="33">
        <v>16</v>
      </c>
      <c r="P15" s="33">
        <v>25</v>
      </c>
      <c r="Q15" s="33">
        <v>3</v>
      </c>
      <c r="R15" s="33">
        <v>21</v>
      </c>
      <c r="S15" s="33">
        <v>1</v>
      </c>
      <c r="T15" s="33"/>
      <c r="U15" s="33"/>
      <c r="V15" s="33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32"/>
      <c r="J16" s="33"/>
      <c r="K16" s="33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33">
        <v>7</v>
      </c>
      <c r="J17" s="33">
        <v>10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33">
        <v>7</v>
      </c>
      <c r="J18" s="33">
        <v>25</v>
      </c>
      <c r="K18" s="33">
        <v>3</v>
      </c>
      <c r="L18" s="33">
        <v>12</v>
      </c>
      <c r="M18" s="33">
        <v>10</v>
      </c>
      <c r="N18" s="33"/>
      <c r="O18" s="33"/>
      <c r="P18" s="33"/>
      <c r="Q18" s="33"/>
      <c r="R18" s="33"/>
      <c r="S18" s="33"/>
      <c r="T18" s="33"/>
      <c r="U18" s="33"/>
      <c r="V18" s="33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33">
        <v>7</v>
      </c>
      <c r="J19" s="33">
        <v>50</v>
      </c>
      <c r="K19" s="33">
        <v>3</v>
      </c>
      <c r="L19" s="33">
        <v>12</v>
      </c>
      <c r="M19" s="33">
        <v>25</v>
      </c>
      <c r="N19" s="33">
        <v>3</v>
      </c>
      <c r="O19" s="33">
        <v>17</v>
      </c>
      <c r="P19" s="33">
        <v>10</v>
      </c>
      <c r="Q19" s="33"/>
      <c r="R19" s="33"/>
      <c r="S19" s="33"/>
      <c r="T19" s="33"/>
      <c r="U19" s="33"/>
      <c r="V19" s="33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33">
        <v>7</v>
      </c>
      <c r="J20" s="33">
        <v>100</v>
      </c>
      <c r="K20" s="33">
        <v>3</v>
      </c>
      <c r="L20" s="33">
        <v>12</v>
      </c>
      <c r="M20" s="33">
        <v>50</v>
      </c>
      <c r="N20" s="33">
        <v>3</v>
      </c>
      <c r="O20" s="33">
        <v>17</v>
      </c>
      <c r="P20" s="33">
        <v>25</v>
      </c>
      <c r="Q20" s="33">
        <v>3</v>
      </c>
      <c r="R20" s="33">
        <v>21</v>
      </c>
      <c r="S20" s="33">
        <v>1</v>
      </c>
      <c r="T20" s="33"/>
      <c r="U20" s="33"/>
      <c r="V20" s="33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32"/>
      <c r="J21" s="33"/>
      <c r="K21" s="33"/>
      <c r="L21" s="32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33">
        <v>8</v>
      </c>
      <c r="J22" s="33">
        <v>10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33">
        <v>8</v>
      </c>
      <c r="J23" s="33">
        <v>25</v>
      </c>
      <c r="K23" s="33">
        <v>3</v>
      </c>
      <c r="L23" s="33">
        <v>13</v>
      </c>
      <c r="M23" s="33">
        <v>10</v>
      </c>
      <c r="N23" s="33"/>
      <c r="O23" s="33"/>
      <c r="P23" s="33"/>
      <c r="Q23" s="33"/>
      <c r="R23" s="33"/>
      <c r="S23" s="33"/>
      <c r="T23" s="33"/>
      <c r="U23" s="33"/>
      <c r="V23" s="33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33">
        <v>8</v>
      </c>
      <c r="J24" s="33">
        <v>50</v>
      </c>
      <c r="K24" s="33">
        <v>3</v>
      </c>
      <c r="L24" s="33">
        <v>13</v>
      </c>
      <c r="M24" s="33">
        <v>25</v>
      </c>
      <c r="N24" s="33">
        <v>3</v>
      </c>
      <c r="O24" s="33">
        <v>18</v>
      </c>
      <c r="P24" s="33">
        <v>10</v>
      </c>
      <c r="Q24" s="33"/>
      <c r="R24" s="33"/>
      <c r="S24" s="33"/>
      <c r="T24" s="33"/>
      <c r="U24" s="33"/>
      <c r="V24" s="33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33">
        <v>8</v>
      </c>
      <c r="J25" s="33">
        <v>100</v>
      </c>
      <c r="K25" s="33">
        <v>3</v>
      </c>
      <c r="L25" s="33">
        <v>13</v>
      </c>
      <c r="M25" s="33">
        <v>50</v>
      </c>
      <c r="N25" s="33">
        <v>3</v>
      </c>
      <c r="O25" s="33">
        <v>18</v>
      </c>
      <c r="P25" s="33">
        <v>25</v>
      </c>
      <c r="Q25" s="33">
        <v>3</v>
      </c>
      <c r="R25" s="33">
        <v>21</v>
      </c>
      <c r="S25" s="33">
        <v>1</v>
      </c>
      <c r="T25" s="33"/>
      <c r="U25" s="33"/>
      <c r="V25" s="33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32"/>
      <c r="J26" s="33"/>
      <c r="K26" s="33"/>
      <c r="L26" s="32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33">
        <v>9</v>
      </c>
      <c r="J27" s="33">
        <v>10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33">
        <v>9</v>
      </c>
      <c r="J28" s="33">
        <v>25</v>
      </c>
      <c r="K28" s="33">
        <v>3</v>
      </c>
      <c r="L28" s="33">
        <v>14</v>
      </c>
      <c r="M28" s="33">
        <v>10</v>
      </c>
      <c r="N28" s="33"/>
      <c r="O28" s="33"/>
      <c r="P28" s="33"/>
      <c r="Q28" s="33"/>
      <c r="R28" s="33"/>
      <c r="S28" s="33"/>
      <c r="T28" s="33"/>
      <c r="U28" s="33"/>
      <c r="V28" s="33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33">
        <v>9</v>
      </c>
      <c r="J29" s="33">
        <v>50</v>
      </c>
      <c r="K29" s="33">
        <v>3</v>
      </c>
      <c r="L29" s="33">
        <v>14</v>
      </c>
      <c r="M29" s="33">
        <v>25</v>
      </c>
      <c r="N29" s="33">
        <v>3</v>
      </c>
      <c r="O29" s="33">
        <v>19</v>
      </c>
      <c r="P29" s="33">
        <v>10</v>
      </c>
      <c r="Q29" s="33"/>
      <c r="R29" s="33"/>
      <c r="S29" s="33"/>
      <c r="T29" s="33"/>
      <c r="U29" s="33"/>
      <c r="V29" s="33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33">
        <v>9</v>
      </c>
      <c r="J30" s="33">
        <v>100</v>
      </c>
      <c r="K30" s="33">
        <v>3</v>
      </c>
      <c r="L30" s="33">
        <v>14</v>
      </c>
      <c r="M30" s="33">
        <v>50</v>
      </c>
      <c r="N30" s="33">
        <v>3</v>
      </c>
      <c r="O30" s="33">
        <v>19</v>
      </c>
      <c r="P30" s="33">
        <v>25</v>
      </c>
      <c r="Q30" s="33">
        <v>3</v>
      </c>
      <c r="R30" s="33">
        <v>21</v>
      </c>
      <c r="S30" s="33">
        <v>1</v>
      </c>
      <c r="T30" s="33"/>
      <c r="U30" s="33"/>
      <c r="V30" s="33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32"/>
      <c r="J31" s="33"/>
      <c r="K31" s="33"/>
      <c r="L31" s="32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33">
        <v>10</v>
      </c>
      <c r="J32" s="33">
        <v>10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33">
        <v>10</v>
      </c>
      <c r="J33" s="33">
        <v>25</v>
      </c>
      <c r="K33" s="33">
        <v>3</v>
      </c>
      <c r="L33" s="33">
        <v>15</v>
      </c>
      <c r="M33" s="33">
        <v>10</v>
      </c>
      <c r="N33" s="33"/>
      <c r="O33" s="33"/>
      <c r="P33" s="33"/>
      <c r="Q33" s="33"/>
      <c r="R33" s="33"/>
      <c r="S33" s="33"/>
      <c r="T33" s="33"/>
      <c r="U33" s="33"/>
      <c r="V33" s="33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33">
        <v>10</v>
      </c>
      <c r="J34" s="33">
        <v>50</v>
      </c>
      <c r="K34" s="33">
        <v>3</v>
      </c>
      <c r="L34" s="33">
        <v>15</v>
      </c>
      <c r="M34" s="33">
        <v>25</v>
      </c>
      <c r="N34" s="33">
        <v>3</v>
      </c>
      <c r="O34" s="33">
        <v>20</v>
      </c>
      <c r="P34" s="33">
        <v>10</v>
      </c>
      <c r="Q34" s="33"/>
      <c r="R34" s="33"/>
      <c r="S34" s="33"/>
      <c r="T34" s="33"/>
      <c r="U34" s="33"/>
      <c r="V34" s="33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33">
        <v>10</v>
      </c>
      <c r="J35" s="33">
        <v>100</v>
      </c>
      <c r="K35" s="33">
        <v>3</v>
      </c>
      <c r="L35" s="33">
        <v>15</v>
      </c>
      <c r="M35" s="33">
        <v>50</v>
      </c>
      <c r="N35" s="33">
        <v>3</v>
      </c>
      <c r="O35" s="33">
        <v>20</v>
      </c>
      <c r="P35" s="33">
        <v>25</v>
      </c>
      <c r="Q35" s="33">
        <v>3</v>
      </c>
      <c r="R35" s="33">
        <v>21</v>
      </c>
      <c r="S35" s="33">
        <v>1</v>
      </c>
      <c r="T35" s="33"/>
      <c r="U35" s="33"/>
      <c r="V35" s="33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3"/>
      <c r="J44" s="51"/>
      <c r="K44" s="51"/>
      <c r="L44" s="33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33"/>
      <c r="J45" s="51"/>
      <c r="K45" s="51"/>
      <c r="L45" s="33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33"/>
      <c r="J46" s="51"/>
      <c r="K46" s="51"/>
      <c r="L46" s="33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33"/>
      <c r="J47" s="51"/>
      <c r="K47" s="51"/>
      <c r="L47" s="33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33"/>
      <c r="J48" s="51"/>
      <c r="K48" s="51"/>
      <c r="L48" s="33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33"/>
      <c r="J49" s="51"/>
      <c r="K49" s="51"/>
      <c r="L49" s="33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33"/>
      <c r="J50" s="51"/>
      <c r="K50" s="51"/>
      <c r="L50" s="33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33"/>
      <c r="J51" s="51"/>
      <c r="K51" s="51"/>
      <c r="L51" s="33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33"/>
      <c r="J52" s="51"/>
      <c r="K52" s="51"/>
      <c r="L52" s="33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32"/>
      <c r="J53" s="51"/>
      <c r="K53" s="51"/>
      <c r="L53" s="32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33"/>
      <c r="J54" s="51"/>
      <c r="K54" s="51"/>
      <c r="L54" s="33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33"/>
      <c r="J55" s="51"/>
      <c r="K55" s="51"/>
      <c r="L55" s="33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32"/>
      <c r="J56" s="51"/>
      <c r="K56" s="51"/>
      <c r="L56" s="32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33"/>
      <c r="J57" s="51"/>
      <c r="K57" s="51"/>
      <c r="L57" s="33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33"/>
      <c r="J58" s="51"/>
      <c r="K58" s="51"/>
      <c r="L58" s="33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32"/>
      <c r="J59" s="51"/>
      <c r="K59" s="51"/>
      <c r="L59" s="32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33"/>
      <c r="J60" s="51"/>
      <c r="K60" s="51"/>
      <c r="L60" s="33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33"/>
      <c r="J61" s="51"/>
      <c r="K61" s="51"/>
      <c r="L61" s="33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32"/>
      <c r="J62" s="51"/>
      <c r="K62" s="51"/>
      <c r="L62" s="32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33"/>
      <c r="J63" s="51"/>
      <c r="K63" s="51"/>
      <c r="L63" s="33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33"/>
      <c r="J64" s="51"/>
      <c r="K64" s="51"/>
      <c r="L64" s="33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32"/>
      <c r="J65" s="51"/>
      <c r="K65" s="51"/>
      <c r="L65" s="32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33"/>
      <c r="J66" s="51"/>
      <c r="K66" s="51"/>
      <c r="L66" s="33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33"/>
      <c r="J67" s="51"/>
      <c r="K67" s="51"/>
      <c r="L67" s="33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2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2" sqref="D12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9" width="21.25" style="36" customWidth="1"/>
    <col min="10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2019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253</v>
      </c>
      <c r="D4" s="3" t="s">
        <v>2020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 t="s">
        <v>179</v>
      </c>
      <c r="E6" s="3" t="s">
        <v>180</v>
      </c>
      <c r="F6" s="3" t="s">
        <v>220</v>
      </c>
      <c r="G6" s="3" t="s">
        <v>179</v>
      </c>
      <c r="H6" s="3" t="s">
        <v>180</v>
      </c>
      <c r="I6" s="3" t="s">
        <v>220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254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263</v>
      </c>
      <c r="D9" s="6" t="s">
        <v>182</v>
      </c>
      <c r="E9" s="6" t="s">
        <v>183</v>
      </c>
      <c r="F9" s="6" t="s">
        <v>221</v>
      </c>
      <c r="G9" s="6" t="s">
        <v>182</v>
      </c>
      <c r="H9" s="6" t="s">
        <v>183</v>
      </c>
      <c r="I9" s="6" t="s">
        <v>221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/>
      <c r="D10" s="19" t="s">
        <v>231</v>
      </c>
      <c r="E10" s="19"/>
      <c r="F10" s="19"/>
      <c r="G10" s="19" t="s">
        <v>231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 t="s">
        <v>2021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1" priority="2">
      <formula>CELL("ROW")=ROW()</formula>
    </cfRule>
  </conditionalFormatting>
  <conditionalFormatting sqref="D7:I7">
    <cfRule type="expression" dxfId="0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A1:O35"/>
  <sheetViews>
    <sheetView topLeftCell="C3" workbookViewId="0">
      <selection activeCell="H35" sqref="H35"/>
    </sheetView>
  </sheetViews>
  <sheetFormatPr defaultRowHeight="14.25"/>
  <cols>
    <col min="1" max="1" width="9" style="57" hidden="1" customWidth="1"/>
    <col min="2" max="2" width="10.625" style="57" hidden="1" customWidth="1"/>
    <col min="3" max="3" width="3.75" style="57" customWidth="1"/>
    <col min="4" max="15" width="13.25" style="57" customWidth="1"/>
    <col min="16" max="16384" width="9" style="57"/>
  </cols>
  <sheetData>
    <row r="1" spans="2:15" ht="15" hidden="1" thickBot="1"/>
    <row r="2" spans="2:15" ht="15" hidden="1" customHeight="1" thickBot="1">
      <c r="B2" s="58" t="s">
        <v>1874</v>
      </c>
    </row>
    <row r="3" spans="2:15" ht="15" customHeight="1" thickBot="1">
      <c r="B3" s="74"/>
    </row>
    <row r="4" spans="2:15" ht="15" thickBot="1">
      <c r="D4" s="62" t="s">
        <v>1880</v>
      </c>
      <c r="E4" s="61" t="s">
        <v>1425</v>
      </c>
      <c r="F4" s="60" t="s">
        <v>1876</v>
      </c>
      <c r="G4" s="60" t="s">
        <v>1878</v>
      </c>
      <c r="H4" s="59" t="s">
        <v>1879</v>
      </c>
      <c r="I4" s="74"/>
      <c r="J4" s="74"/>
    </row>
    <row r="5" spans="2:15">
      <c r="D5" s="63" t="s">
        <v>1875</v>
      </c>
      <c r="E5" s="67">
        <v>1</v>
      </c>
      <c r="F5" s="68">
        <v>100</v>
      </c>
      <c r="G5" s="68">
        <v>0</v>
      </c>
      <c r="H5" s="69">
        <v>0</v>
      </c>
      <c r="I5" s="74"/>
      <c r="J5" s="74"/>
    </row>
    <row r="6" spans="2:15" ht="15" thickBot="1">
      <c r="D6" s="64" t="s">
        <v>1877</v>
      </c>
      <c r="E6" s="70">
        <v>2</v>
      </c>
      <c r="F6" s="71">
        <v>100</v>
      </c>
      <c r="G6" s="71">
        <v>0</v>
      </c>
      <c r="H6" s="72">
        <v>0</v>
      </c>
      <c r="I6" s="74"/>
      <c r="J6" s="74"/>
    </row>
    <row r="7" spans="2:15" ht="15" thickBot="1"/>
    <row r="8" spans="2:15" ht="15" thickBot="1">
      <c r="D8" s="62" t="s">
        <v>1886</v>
      </c>
      <c r="E8" s="66">
        <v>100</v>
      </c>
    </row>
    <row r="9" spans="2:15" ht="15" thickBot="1"/>
    <row r="10" spans="2:15" ht="15" thickBot="1">
      <c r="D10" s="62" t="s">
        <v>1881</v>
      </c>
      <c r="E10" s="61" t="s">
        <v>1906</v>
      </c>
      <c r="F10" s="66" t="s">
        <v>1907</v>
      </c>
      <c r="G10" s="74"/>
      <c r="H10" s="74"/>
      <c r="I10" s="74"/>
      <c r="J10" s="74"/>
    </row>
    <row r="11" spans="2:15" ht="15" thickBot="1">
      <c r="D11" s="65" t="s">
        <v>1892</v>
      </c>
      <c r="E11" s="76">
        <v>31</v>
      </c>
      <c r="F11" s="73">
        <v>252</v>
      </c>
      <c r="G11" s="74"/>
      <c r="H11" s="74"/>
      <c r="I11" s="74"/>
      <c r="J11" s="74"/>
    </row>
    <row r="12" spans="2:15" ht="15" thickBot="1"/>
    <row r="13" spans="2:15" ht="15" hidden="1" thickBot="1">
      <c r="D13" s="79" t="s">
        <v>1915</v>
      </c>
    </row>
    <row r="14" spans="2:15" ht="15" hidden="1" thickBot="1">
      <c r="D14" s="75" t="s">
        <v>1890</v>
      </c>
      <c r="E14" s="61" t="s">
        <v>1891</v>
      </c>
      <c r="F14" s="60" t="s">
        <v>1882</v>
      </c>
      <c r="G14" s="60" t="s">
        <v>1883</v>
      </c>
      <c r="H14" s="60" t="s">
        <v>1884</v>
      </c>
      <c r="I14" s="60" t="s">
        <v>1910</v>
      </c>
      <c r="J14" s="60" t="s">
        <v>1911</v>
      </c>
      <c r="K14" s="60" t="s">
        <v>1885</v>
      </c>
      <c r="L14" s="61" t="s">
        <v>1902</v>
      </c>
      <c r="M14" s="60" t="s">
        <v>1903</v>
      </c>
      <c r="N14" s="60" t="s">
        <v>1904</v>
      </c>
      <c r="O14" s="59" t="s">
        <v>1905</v>
      </c>
    </row>
    <row r="15" spans="2:15" hidden="1">
      <c r="D15" s="63" t="s">
        <v>1875</v>
      </c>
      <c r="E15" s="67" t="str">
        <f>_xlfn.XLOOKUP($E$5,MonsterMB!$B:$B,MonsterMB!$C:$C)</f>
        <v>火</v>
      </c>
      <c r="F15" s="68">
        <f>ROUNDDOWN((L15*2+$E$11+$F$11/4)*$F$5/100+$F$5+10,0)</f>
        <v>244</v>
      </c>
      <c r="G15" s="68">
        <f>ROUNDDOWN((M15*2+$E$11+$F$11/4)*$F$5/100+5,0)</f>
        <v>173</v>
      </c>
      <c r="H15" s="68">
        <f>ROUNDDOWN((N15*2+$E$11+$F$11/4)*$F$5/100+5,0)</f>
        <v>149</v>
      </c>
      <c r="I15" s="68">
        <f>ROUNDDOWN(G15*(100+$G$5)/100,0)</f>
        <v>173</v>
      </c>
      <c r="J15" s="68">
        <f>ROUNDDOWN(H15*(100+$H$5)/100,0)</f>
        <v>149</v>
      </c>
      <c r="K15" s="68">
        <f>ROUNDDOWN((O15*2+$E$11+$F$11/4)*$F$5/100+5,0)</f>
        <v>219</v>
      </c>
      <c r="L15" s="67">
        <f>_xlfn.XLOOKUP($E$5,MonsterMB!$B:$B,MonsterMB!$I:$I)</f>
        <v>20</v>
      </c>
      <c r="M15" s="68">
        <f>_xlfn.XLOOKUP($E$5,MonsterMB!$B:$B,MonsterMB!$J:$J)</f>
        <v>37</v>
      </c>
      <c r="N15" s="68">
        <f>_xlfn.XLOOKUP($E$5,MonsterMB!$B:$B,MonsterMB!$K:$K)</f>
        <v>25</v>
      </c>
      <c r="O15" s="69">
        <f>_xlfn.XLOOKUP($E$5,MonsterMB!$B:$B,MonsterMB!$L:$L)</f>
        <v>60</v>
      </c>
    </row>
    <row r="16" spans="2:15" ht="15" hidden="1" thickBot="1">
      <c r="D16" s="64" t="s">
        <v>1877</v>
      </c>
      <c r="E16" s="70" t="str">
        <f>_xlfn.XLOOKUP($E$6,MonsterMB!$B:$B,MonsterMB!$C:$C)</f>
        <v>水</v>
      </c>
      <c r="F16" s="71">
        <f>ROUNDDOWN((L16*2+$E$11+$F$11/4)*$F$6/100+$F$6+10,0)</f>
        <v>274</v>
      </c>
      <c r="G16" s="71">
        <f>ROUNDDOWN((M16*2+$E$11+$F$11/4)*$F$6/100+5,0)</f>
        <v>169</v>
      </c>
      <c r="H16" s="71">
        <f>ROUNDDOWN((N16*2+$E$11+$F$11/4)*$F$6/100+5,0)</f>
        <v>169</v>
      </c>
      <c r="I16" s="71">
        <f>ROUNDDOWN(G16*(100+$G$6)/100,0)</f>
        <v>169</v>
      </c>
      <c r="J16" s="71">
        <f>ROUNDDOWN(H16*(100+$H$6)/100,0)</f>
        <v>169</v>
      </c>
      <c r="K16" s="71">
        <f>ROUNDDOWN((O16*2+$E$11+$F$11/4)*$F$6/100+5,0)</f>
        <v>169</v>
      </c>
      <c r="L16" s="71">
        <f>_xlfn.XLOOKUP($E$6,MonsterMB!$B:$B,MonsterMB!$I:$I)</f>
        <v>35</v>
      </c>
      <c r="M16" s="71">
        <f>_xlfn.XLOOKUP($E$6,MonsterMB!$B:$B,MonsterMB!$J:$J)</f>
        <v>35</v>
      </c>
      <c r="N16" s="71">
        <f>_xlfn.XLOOKUP($E$6,MonsterMB!$B:$B,MonsterMB!$K:$K)</f>
        <v>35</v>
      </c>
      <c r="O16" s="72">
        <f>_xlfn.XLOOKUP($E$6,MonsterMB!$B:$B,MonsterMB!$L:$L)</f>
        <v>35</v>
      </c>
    </row>
    <row r="17" spans="4:15" ht="15" hidden="1" thickBot="1">
      <c r="D17" s="77" t="s">
        <v>1887</v>
      </c>
      <c r="E17" s="61" t="s">
        <v>1888</v>
      </c>
      <c r="F17" s="60" t="s">
        <v>1889</v>
      </c>
      <c r="G17" s="60" t="s">
        <v>1917</v>
      </c>
      <c r="H17" s="60" t="s">
        <v>1912</v>
      </c>
      <c r="I17" s="60" t="s">
        <v>1913</v>
      </c>
      <c r="J17" s="78" t="s">
        <v>1914</v>
      </c>
    </row>
    <row r="18" spans="4:15" hidden="1">
      <c r="D18" s="63" t="s">
        <v>1908</v>
      </c>
      <c r="E18" s="67">
        <f>ROUNDDOWN((ROUNDDOWN(ROUNDDOWN(ROUNDDOWN($F$5*2/5+2,0)*$E$8*I15/J16,0)/50,0)+2)*0.85,0)</f>
        <v>73</v>
      </c>
      <c r="F18" s="68">
        <f>ROUNDDOWN((ROUNDDOWN(ROUNDDOWN(ROUNDDOWN($F$5*2/5+2,0)*$E$8*I15/J16,0)/50,0)+2)*1,0)</f>
        <v>87</v>
      </c>
      <c r="G18" s="68" t="str">
        <f>ROUND(E18/F16*100,1)&amp;"% ~ "&amp;ROUND(F18/F16*100,1)&amp;"%"</f>
        <v>26.6% ~ 31.8%</v>
      </c>
      <c r="H18" s="68"/>
      <c r="I18" s="68"/>
      <c r="J18" s="69"/>
    </row>
    <row r="19" spans="4:15" ht="15" hidden="1" thickBot="1">
      <c r="D19" s="64" t="s">
        <v>1909</v>
      </c>
      <c r="E19" s="70">
        <f>ROUNDDOWN((I15*($E$8/100)*(1-(J16/(180+20*$F$6))))*0.85,0)</f>
        <v>135</v>
      </c>
      <c r="F19" s="71">
        <f>ROUNDDOWN(I15*($E$8/100)*(1-(J16/(180+20*$F$6))),0)</f>
        <v>159</v>
      </c>
      <c r="G19" s="71" t="str">
        <f>ROUND(E19/F16*100,1)&amp;"% ~ "&amp;ROUND(F19/F16*100,1)&amp;"%"</f>
        <v>49.3% ~ 58%</v>
      </c>
      <c r="H19" s="71"/>
      <c r="I19" s="71"/>
      <c r="J19" s="72"/>
    </row>
    <row r="20" spans="4:15" ht="15" hidden="1" thickBot="1"/>
    <row r="21" spans="4:15" ht="15" hidden="1" thickBot="1">
      <c r="D21" s="79" t="s">
        <v>1916</v>
      </c>
      <c r="E21" s="80" t="s">
        <v>1918</v>
      </c>
      <c r="F21" s="81"/>
      <c r="G21" s="81"/>
    </row>
    <row r="22" spans="4:15" ht="15" hidden="1" thickBot="1">
      <c r="D22" s="75" t="s">
        <v>1890</v>
      </c>
      <c r="E22" s="61" t="s">
        <v>1891</v>
      </c>
      <c r="F22" s="60" t="s">
        <v>1882</v>
      </c>
      <c r="G22" s="60" t="s">
        <v>1883</v>
      </c>
      <c r="H22" s="60" t="s">
        <v>1884</v>
      </c>
      <c r="I22" s="60" t="s">
        <v>1910</v>
      </c>
      <c r="J22" s="60" t="s">
        <v>1911</v>
      </c>
      <c r="K22" s="60" t="s">
        <v>1885</v>
      </c>
      <c r="L22" s="61" t="s">
        <v>1902</v>
      </c>
      <c r="M22" s="60" t="s">
        <v>1903</v>
      </c>
      <c r="N22" s="60" t="s">
        <v>1904</v>
      </c>
      <c r="O22" s="59" t="s">
        <v>1905</v>
      </c>
    </row>
    <row r="23" spans="4:15" hidden="1">
      <c r="D23" s="63" t="s">
        <v>1875</v>
      </c>
      <c r="E23" s="67" t="str">
        <f>_xlfn.XLOOKUP($E$5,MonsterMB!$B:$B,MonsterMB!$C:$C)</f>
        <v>火</v>
      </c>
      <c r="F23" s="68">
        <f>ROUNDDOWN(($L$23*2+$E$11+$F$11/4)*F5^2/100+F5^2+10,0)*3</f>
        <v>70230</v>
      </c>
      <c r="G23" s="68">
        <f>ROUNDDOWN(($M$23*2+$E$11+$F$11/4)*$F$5^2/100+5,0)</f>
        <v>16805</v>
      </c>
      <c r="H23" s="68">
        <f>ROUNDDOWN(($N$23*2+$E$11+$F$11/4)*$F$5^2/100+5,0)</f>
        <v>14405</v>
      </c>
      <c r="I23" s="68">
        <f>ROUNDDOWN(G23*(100+$G$5)/100,0)</f>
        <v>16805</v>
      </c>
      <c r="J23" s="68">
        <f>ROUNDDOWN(H23*(100+$H$5)/100,0)</f>
        <v>14405</v>
      </c>
      <c r="K23" s="68">
        <f>ROUNDDOWN(($O$23*2+$E$11+$F$11/4)*$F$5^2/100+5,0)</f>
        <v>21405</v>
      </c>
      <c r="L23" s="67">
        <f>_xlfn.XLOOKUP($E$5,MonsterMB!$B:$B,MonsterMB!$I:$I)</f>
        <v>20</v>
      </c>
      <c r="M23" s="68">
        <f>_xlfn.XLOOKUP($E$5,MonsterMB!$B:$B,MonsterMB!$J:$J)</f>
        <v>37</v>
      </c>
      <c r="N23" s="68">
        <f>_xlfn.XLOOKUP($E$5,MonsterMB!$B:$B,MonsterMB!$K:$K)</f>
        <v>25</v>
      </c>
      <c r="O23" s="69">
        <f>_xlfn.XLOOKUP($E$5,MonsterMB!$B:$B,MonsterMB!$L:$L)</f>
        <v>60</v>
      </c>
    </row>
    <row r="24" spans="4:15" ht="15" hidden="1" thickBot="1">
      <c r="D24" s="64" t="s">
        <v>1877</v>
      </c>
      <c r="E24" s="70" t="str">
        <f>_xlfn.XLOOKUP($E$6,MonsterMB!$B:$B,MonsterMB!$C:$C)</f>
        <v>水</v>
      </c>
      <c r="F24" s="71">
        <f>ROUNDDOWN(($L$24*2+$E$11+$F$11/4)*$F$6^2/100+$F$6^2+10,0)*3</f>
        <v>79230</v>
      </c>
      <c r="G24" s="71">
        <f>ROUNDDOWN(($M$24*2+$E$11+$F$11/4)*$F$6^2/100+5,0)</f>
        <v>16405</v>
      </c>
      <c r="H24" s="71">
        <f>ROUNDDOWN(($N$24*2+$E$11+$F$11/4)*$F$6^2/100+5,0)</f>
        <v>16405</v>
      </c>
      <c r="I24" s="71">
        <f>ROUNDDOWN(G24*(100+$G$6)/100,0)</f>
        <v>16405</v>
      </c>
      <c r="J24" s="71">
        <f>ROUNDDOWN(H24*(100+$H$6)/100,0)</f>
        <v>16405</v>
      </c>
      <c r="K24" s="71">
        <f>ROUNDDOWN(($O$24*2+$E$11+$F$11/4)*$F$6^2/100+5,0)</f>
        <v>16405</v>
      </c>
      <c r="L24" s="71">
        <f>_xlfn.XLOOKUP($E$6,MonsterMB!$B:$B,MonsterMB!$I:$I)</f>
        <v>35</v>
      </c>
      <c r="M24" s="71">
        <f>_xlfn.XLOOKUP($E$6,MonsterMB!$B:$B,MonsterMB!$J:$J)</f>
        <v>35</v>
      </c>
      <c r="N24" s="71">
        <f>_xlfn.XLOOKUP($E$6,MonsterMB!$B:$B,MonsterMB!$K:$K)</f>
        <v>35</v>
      </c>
      <c r="O24" s="72">
        <f>_xlfn.XLOOKUP($E$6,MonsterMB!$B:$B,MonsterMB!$L:$L)</f>
        <v>35</v>
      </c>
    </row>
    <row r="25" spans="4:15" ht="15" hidden="1" thickBot="1">
      <c r="D25" s="77" t="s">
        <v>1887</v>
      </c>
      <c r="E25" s="61" t="s">
        <v>1888</v>
      </c>
      <c r="F25" s="60" t="s">
        <v>1889</v>
      </c>
      <c r="G25" s="60" t="s">
        <v>1917</v>
      </c>
      <c r="H25" s="60" t="s">
        <v>1912</v>
      </c>
      <c r="I25" s="60" t="s">
        <v>1913</v>
      </c>
      <c r="J25" s="78" t="s">
        <v>1914</v>
      </c>
    </row>
    <row r="26" spans="4:15" hidden="1">
      <c r="D26" s="63" t="s">
        <v>1908</v>
      </c>
      <c r="E26" s="67">
        <f>ROUNDDOWN((ROUNDDOWN(ROUNDDOWN(ROUNDDOWN($F$5^2*2/5+2,0)*$E$8*$I$23/$J$24,0)/50,0)+2)*0.85,0)</f>
        <v>6970</v>
      </c>
      <c r="F26" s="68">
        <f>ROUNDDOWN((ROUNDDOWN(ROUNDDOWN(ROUNDDOWN($F$5^2*2/5+2,0)*$E$8*$I$15/$J$16,0)/50,0)+2)*1,0)</f>
        <v>8195</v>
      </c>
      <c r="G26" s="68" t="str">
        <f>ROUND(E26/F24*100,1)&amp;"% ~ "&amp;ROUND(F26/F24*100,1)&amp;"%"</f>
        <v>8.8% ~ 10.3%</v>
      </c>
      <c r="H26" s="68"/>
      <c r="I26" s="68"/>
      <c r="J26" s="69"/>
    </row>
    <row r="27" spans="4:15" ht="15" hidden="1" thickBot="1">
      <c r="D27" s="64" t="s">
        <v>1909</v>
      </c>
      <c r="E27" s="70">
        <f>ROUNDDOWN((I23*(E8/100)*(1-(J24/(180+20*F6^2))))*0.85,0)</f>
        <v>13113</v>
      </c>
      <c r="F27" s="71">
        <f>ROUNDDOWN(I23*(E8/100)*(1-(J24/(180+20*F6^2))),0)</f>
        <v>15427</v>
      </c>
      <c r="G27" s="71" t="str">
        <f>ROUND(E27/F24*100,1)&amp;"% ~ "&amp;ROUND(F27/F24*100,1)&amp;"%"</f>
        <v>16.6% ~ 19.5%</v>
      </c>
      <c r="H27" s="71"/>
      <c r="I27" s="71"/>
      <c r="J27" s="72"/>
    </row>
    <row r="28" spans="4:15" ht="15" hidden="1" thickBot="1"/>
    <row r="29" spans="4:15" ht="15" thickBot="1">
      <c r="D29" s="79" t="s">
        <v>1919</v>
      </c>
      <c r="E29" s="80" t="s">
        <v>1920</v>
      </c>
      <c r="F29" s="81"/>
      <c r="G29" s="81"/>
    </row>
    <row r="30" spans="4:15" ht="15" thickBot="1">
      <c r="D30" s="75" t="s">
        <v>1890</v>
      </c>
      <c r="E30" s="61" t="s">
        <v>1891</v>
      </c>
      <c r="F30" s="60" t="s">
        <v>1882</v>
      </c>
      <c r="G30" s="60" t="s">
        <v>1883</v>
      </c>
      <c r="H30" s="60" t="s">
        <v>1884</v>
      </c>
      <c r="I30" s="60" t="s">
        <v>1910</v>
      </c>
      <c r="J30" s="60" t="s">
        <v>1911</v>
      </c>
      <c r="K30" s="60" t="s">
        <v>1885</v>
      </c>
      <c r="L30" s="61" t="s">
        <v>1902</v>
      </c>
      <c r="M30" s="60" t="s">
        <v>1903</v>
      </c>
      <c r="N30" s="60" t="s">
        <v>1904</v>
      </c>
      <c r="O30" s="59" t="s">
        <v>1905</v>
      </c>
    </row>
    <row r="31" spans="4:15">
      <c r="D31" s="63" t="s">
        <v>1875</v>
      </c>
      <c r="E31" s="67" t="str">
        <f>_xlfn.XLOOKUP($E$5,MonsterMB!$B:$B,MonsterMB!$C:$C)</f>
        <v>火</v>
      </c>
      <c r="F31" s="68">
        <f>ROUNDDOWN((L31^2+$E$11+$F$11/4)*$F$5/100+$F$5+10,0)*4</f>
        <v>2416</v>
      </c>
      <c r="G31" s="68">
        <f>ROUNDDOWN((M31^2+$E$11+$F$11/4)*$F$5/100+5,0)</f>
        <v>1468</v>
      </c>
      <c r="H31" s="68">
        <f>ROUNDDOWN((N31^2+$E$11+$F$11/4)*$F$5/100+5,0)</f>
        <v>724</v>
      </c>
      <c r="I31" s="68">
        <f>ROUNDDOWN(G31*(100+$G$5)/100,0)</f>
        <v>1468</v>
      </c>
      <c r="J31" s="68">
        <f>ROUNDDOWN(H31*(100+$H$5)/100,0)</f>
        <v>724</v>
      </c>
      <c r="K31" s="68">
        <f>ROUNDDOWN((O31^2+$E$11+$F$11/4)*$F$5/100+5,0)</f>
        <v>3699</v>
      </c>
      <c r="L31" s="67">
        <f>_xlfn.XLOOKUP($E$5,MonsterMB!$B:$B,MonsterMB!$I:$I)</f>
        <v>20</v>
      </c>
      <c r="M31" s="68">
        <f>_xlfn.XLOOKUP($E$5,MonsterMB!$B:$B,MonsterMB!$J:$J)</f>
        <v>37</v>
      </c>
      <c r="N31" s="68">
        <f>_xlfn.XLOOKUP($E$5,MonsterMB!$B:$B,MonsterMB!$K:$K)</f>
        <v>25</v>
      </c>
      <c r="O31" s="69">
        <f>_xlfn.XLOOKUP($E$5,MonsterMB!$B:$B,MonsterMB!$L:$L)</f>
        <v>60</v>
      </c>
    </row>
    <row r="32" spans="4:15" ht="15" thickBot="1">
      <c r="D32" s="64" t="s">
        <v>1877</v>
      </c>
      <c r="E32" s="70" t="str">
        <f>_xlfn.XLOOKUP($E$6,MonsterMB!$B:$B,MonsterMB!$C:$C)</f>
        <v>水</v>
      </c>
      <c r="F32" s="71">
        <f>ROUNDDOWN((L32^2+$E$11+$F$11/4)*$F$6/100+$F$6+10,0)*4</f>
        <v>5716</v>
      </c>
      <c r="G32" s="71">
        <f>ROUNDDOWN((M32^2+$E$11+$F$11/4)*$F$6/100+5,0)</f>
        <v>1324</v>
      </c>
      <c r="H32" s="71">
        <f>ROUNDDOWN((N32^2+$E$11+$F$11/4)*$F$6/100+5,0)</f>
        <v>1324</v>
      </c>
      <c r="I32" s="71">
        <f>ROUNDDOWN(G32*(100+$G$6)/100,0)</f>
        <v>1324</v>
      </c>
      <c r="J32" s="71">
        <f>ROUNDDOWN(H32*(100+$H$6)/100,0)</f>
        <v>1324</v>
      </c>
      <c r="K32" s="71">
        <f>ROUNDDOWN((O32^2+$E$11+$F$11/4)*$F$6/100+5,0)</f>
        <v>1324</v>
      </c>
      <c r="L32" s="71">
        <f>_xlfn.XLOOKUP($E$6,MonsterMB!$B:$B,MonsterMB!$I:$I)</f>
        <v>35</v>
      </c>
      <c r="M32" s="71">
        <f>_xlfn.XLOOKUP($E$6,MonsterMB!$B:$B,MonsterMB!$J:$J)</f>
        <v>35</v>
      </c>
      <c r="N32" s="71">
        <f>_xlfn.XLOOKUP($E$6,MonsterMB!$B:$B,MonsterMB!$K:$K)</f>
        <v>35</v>
      </c>
      <c r="O32" s="72">
        <f>_xlfn.XLOOKUP($E$6,MonsterMB!$B:$B,MonsterMB!$L:$L)</f>
        <v>35</v>
      </c>
    </row>
    <row r="33" spans="4:10" ht="12.75" customHeight="1" thickBot="1">
      <c r="D33" s="77" t="s">
        <v>1887</v>
      </c>
      <c r="E33" s="61" t="s">
        <v>1888</v>
      </c>
      <c r="F33" s="60" t="s">
        <v>1889</v>
      </c>
      <c r="G33" s="60" t="s">
        <v>1917</v>
      </c>
      <c r="H33" s="60" t="s">
        <v>1912</v>
      </c>
      <c r="I33" s="60" t="s">
        <v>1913</v>
      </c>
      <c r="J33" s="78" t="s">
        <v>1914</v>
      </c>
    </row>
    <row r="34" spans="4:10" hidden="1">
      <c r="D34" s="63" t="s">
        <v>1908</v>
      </c>
      <c r="E34" s="67">
        <f>ROUNDDOWN((ROUNDDOWN(ROUNDDOWN(ROUNDDOWN($F$5*2/5+2,0)*$E$8*I31/J32,0)/50,0)+2)*0.85,0)</f>
        <v>80</v>
      </c>
      <c r="F34" s="68">
        <f>ROUNDDOWN((ROUNDDOWN(ROUNDDOWN(ROUNDDOWN($F$5*2/5+2,0)*$E$8*I31/J32,0)/50,0)+2)*1,0)</f>
        <v>95</v>
      </c>
      <c r="G34" s="68" t="str">
        <f>ROUND(E34/F32*100,1)&amp;"% ~ "&amp;ROUND(F34/F32*100,1)&amp;"%"</f>
        <v>1.4% ~ 1.7%</v>
      </c>
      <c r="H34" s="68"/>
      <c r="I34" s="68"/>
      <c r="J34" s="69"/>
    </row>
    <row r="35" spans="4:10" ht="15" thickBot="1">
      <c r="D35" s="64" t="s">
        <v>1909</v>
      </c>
      <c r="E35" s="70">
        <f>ROUNDDOWN((I31*($E$8/100)*(1-((J32/10)/(180+$F$6))))*0.85,0)</f>
        <v>657</v>
      </c>
      <c r="F35" s="71">
        <f>ROUNDDOWN(I31*($E$8/100)*(1-((J32/10)/(180+$F$6))),0)</f>
        <v>773</v>
      </c>
      <c r="G35" s="71" t="str">
        <f>ROUND(E35/F32*100,1)&amp;"% ~ "&amp;ROUND(F35/F32*100,1)&amp;"%"</f>
        <v>11.5% ~ 13.5%</v>
      </c>
      <c r="H35" s="71"/>
      <c r="I35" s="71"/>
      <c r="J35" s="72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29</vt:i4>
      </vt:variant>
    </vt:vector>
  </HeadingPairs>
  <TitlesOfParts>
    <vt:vector size="29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2022-10-23T23:59:58Z</dcterms:modified>
</cp:coreProperties>
</file>